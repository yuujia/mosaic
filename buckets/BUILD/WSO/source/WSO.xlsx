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yuuji\Dropbox\Kaissa Consumer\Mosaic\buckets\BUILD\WSO\source\"/>
    </mc:Choice>
  </mc:AlternateContent>
  <xr:revisionPtr revIDLastSave="0" documentId="8_{BF7F1341-844E-48A5-B0F0-2FD330CFD041}" xr6:coauthVersionLast="47" xr6:coauthVersionMax="47" xr10:uidLastSave="{00000000-0000-0000-0000-000000000000}"/>
  <bookViews>
    <workbookView xWindow="21600" yWindow="-16200" windowWidth="19410" windowHeight="15585" firstSheet="1" activeTab="1" xr2:uid="{00000000-000D-0000-FFFF-FFFF00000000}"/>
  </bookViews>
  <sheets>
    <sheet name="__FDSCACHE__" sheetId="4" state="veryHidden" r:id="rId1"/>
    <sheet name="JEF Disclaimer" sheetId="2" r:id="rId2"/>
    <sheet name="Model" sheetId="6"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p">[1]NUMX.XLS!$C$472:$E$479</definedName>
    <definedName name="__FDS_HYPERLINK_TOGGLE_STATE__" hidden="1">"ON"</definedName>
    <definedName name="_1__123Graph_ACHART_1" hidden="1">[2]DISBCHT!$G$56:$G$111</definedName>
    <definedName name="_2__123Graph_ACHART_2" hidden="1">[3]PieChart!$F$61:$F$67</definedName>
    <definedName name="_3__123Graph_BCHART_1" hidden="1">[2]DISBCHT!$H$56:$H$111</definedName>
    <definedName name="_4__123Graph_CCHART_1" hidden="1">[3]PieChart!$B$61:$B$65</definedName>
    <definedName name="_5__123Graph_CCHART_2" hidden="1">[3]PieChart!$E$61:$E$67</definedName>
    <definedName name="_6__123Graph_DCHART_1" hidden="1">[2]DISBCHT!$J$56:$J$111</definedName>
    <definedName name="_xlnm._FilterDatabase" localSheetId="1" hidden="1">#REF!</definedName>
    <definedName name="_xlnm._FilterDatabase" hidden="1">#REF!</definedName>
    <definedName name="_pg10" localSheetId="1">#REF!</definedName>
    <definedName name="_pg10">#REF!</definedName>
    <definedName name="_pg13">'[4]Production 16'!$A$1:$P$53</definedName>
    <definedName name="_TOP1" localSheetId="1">#REF!</definedName>
    <definedName name="_TOP1">#REF!</definedName>
    <definedName name="_TOP10" localSheetId="1">'[5]elec. &amp; semiconductors'!#REF!</definedName>
    <definedName name="_TOP10">'[5]elec. &amp; semiconductors'!#REF!</definedName>
    <definedName name="_TOP100">[5]Capex!$H$26</definedName>
    <definedName name="_TOP101">[5]Capex!$T$26</definedName>
    <definedName name="_TOP102" localSheetId="1">[5]Capex!#REF!</definedName>
    <definedName name="_TOP102">[5]Capex!#REF!</definedName>
    <definedName name="_TOP103" localSheetId="1">'[5]Utilization, ppi,cpi'!#REF!</definedName>
    <definedName name="_TOP103">'[5]Utilization, ppi,cpi'!#REF!</definedName>
    <definedName name="_TOP104">'[5]Oil Forecast'!$T$3</definedName>
    <definedName name="_TOP105" localSheetId="1">[5]NAPM!#REF!</definedName>
    <definedName name="_TOP105">[5]NAPM!#REF!</definedName>
    <definedName name="_TOP106" localSheetId="1">[5]NAPM!#REF!</definedName>
    <definedName name="_TOP106">[5]NAPM!#REF!</definedName>
    <definedName name="_TOP107">'[5]elec. &amp; semiconductors'!$G$3</definedName>
    <definedName name="_TOP108">'[5]elec. &amp; semiconductors'!$G$2</definedName>
    <definedName name="_TOP109" localSheetId="1">[5]Autos!#REF!</definedName>
    <definedName name="_TOP109">[5]Autos!#REF!</definedName>
    <definedName name="_TOP11">'[5]elec. &amp; semiconductors'!$B$2</definedName>
    <definedName name="_TOP110" localSheetId="1">[5]Autos!#REF!</definedName>
    <definedName name="_TOP110">[5]Autos!#REF!</definedName>
    <definedName name="_TOP111">'[5]elec. &amp; semiconductors'!$AL$4</definedName>
    <definedName name="_TOP112" localSheetId="1">[5]NAPM!#REF!</definedName>
    <definedName name="_TOP112">[5]NAPM!#REF!</definedName>
    <definedName name="_TOP113" localSheetId="1">'[5]Utilization, ppi,cpi'!#REF!</definedName>
    <definedName name="_TOP113">'[5]Utilization, ppi,cpi'!#REF!</definedName>
    <definedName name="_TOP114">'[5]Leading Indicators'!#REF!</definedName>
    <definedName name="_TOP115">'[5]Leading Indicators'!#REF!</definedName>
    <definedName name="_TOP116">[5]capgoodsorders!#REF!</definedName>
    <definedName name="_TOP117">[5]Capex!#REF!</definedName>
    <definedName name="_TOP118">[5]Capex!#REF!</definedName>
    <definedName name="_TOP119">[5]Capex!#REF!</definedName>
    <definedName name="_TOP12">'[5]elec. &amp; semiconductors'!#REF!</definedName>
    <definedName name="_TOP120">'[5]Utilization, ppi,cpi'!#REF!</definedName>
    <definedName name="_TOP121">[5]Defense!$V$2</definedName>
    <definedName name="_TOP122">[5]Autos!$O$3</definedName>
    <definedName name="_TOP123">[5]Autos!$X$2</definedName>
    <definedName name="_TOP124">[5]Autos!$AW$3</definedName>
    <definedName name="_TOP125">'[5]Heavy Trucks'!$AN$2</definedName>
    <definedName name="_TOP126" localSheetId="1">[5]Construction!#REF!</definedName>
    <definedName name="_TOP126">[5]Construction!#REF!</definedName>
    <definedName name="_TOP127">[5]Construction!$AT$20</definedName>
    <definedName name="_TOP128" localSheetId="1">[5]Construction!#REF!</definedName>
    <definedName name="_TOP128">[5]Construction!#REF!</definedName>
    <definedName name="_TOP129" localSheetId="1">[5]Construction!#REF!</definedName>
    <definedName name="_TOP129">[5]Construction!#REF!</definedName>
    <definedName name="_TOP13">'[5]Natural Gas'!$B$2</definedName>
    <definedName name="_TOP130" localSheetId="1">[5]Construction!#REF!</definedName>
    <definedName name="_TOP130">[5]Construction!#REF!</definedName>
    <definedName name="_TOP131" localSheetId="1">[5]Construction!#REF!</definedName>
    <definedName name="_TOP131">[5]Construction!#REF!</definedName>
    <definedName name="_TOP132">[5]Construction!#REF!</definedName>
    <definedName name="_TOP133">'[5]elec. &amp; semiconductors'!$AL$3</definedName>
    <definedName name="_TOP134">'[5]elec. &amp; semiconductors'!$G$33</definedName>
    <definedName name="_TOP135">[5]Finance!$E$31</definedName>
    <definedName name="_TOP136">'[5]Natural Gas'!$J$2</definedName>
    <definedName name="_TOP137">'[5]Oil Forecast'!$BC$2</definedName>
    <definedName name="_TOP138">[5]Defense!$AK$2</definedName>
    <definedName name="_TOP139" localSheetId="1">[5]Construction!#REF!</definedName>
    <definedName name="_TOP139">[5]Construction!#REF!</definedName>
    <definedName name="_TOP14" localSheetId="1">[6]Sheet15!#REF!</definedName>
    <definedName name="_TOP14">[6]Sheet15!#REF!</definedName>
    <definedName name="_TOP140">[5]Finance!$E$29</definedName>
    <definedName name="_TOP141">'[5]elec. &amp; semiconductors'!$AQ$141</definedName>
    <definedName name="_TOP142">'[5]Oil Forecast'!$AC$277</definedName>
    <definedName name="_TOP143">'[5]Natural Gas'!$G$148</definedName>
    <definedName name="_TOP144" localSheetId="1">'[5]elec. &amp; semiconductors'!#REF!</definedName>
    <definedName name="_TOP144">'[5]elec. &amp; semiconductors'!#REF!</definedName>
    <definedName name="_TOP145" localSheetId="1">[5]NAPM!#REF!</definedName>
    <definedName name="_TOP145">[5]NAPM!#REF!</definedName>
    <definedName name="_TOP146">'[5]Utilization, ppi,cpi'!#REF!</definedName>
    <definedName name="_TOP147">'[5]Utilization, ppi,cpi'!$AD$2</definedName>
    <definedName name="_TOP148">'[5]Utilization, ppi,cpi'!$AI$2</definedName>
    <definedName name="_TOP149">'[5]Leading Indicators'!$X$2</definedName>
    <definedName name="_TOP15">'[5]Utilization, ppi,cpi'!$K$8</definedName>
    <definedName name="_TOP150" localSheetId="1">[5]capgoodsorders!#REF!</definedName>
    <definedName name="_TOP150">[5]capgoodsorders!#REF!</definedName>
    <definedName name="_TOP151">[5]Autos!$AL$4</definedName>
    <definedName name="_TOP152">[5]Autos!$X$9</definedName>
    <definedName name="_TOP153" localSheetId="1">'[5]Heavy Trucks'!#REF!</definedName>
    <definedName name="_TOP153">'[5]Heavy Trucks'!#REF!</definedName>
    <definedName name="_TOP154">[5]Construction!$E$11</definedName>
    <definedName name="_TOP155" localSheetId="1">[5]Construction!#REF!</definedName>
    <definedName name="_TOP155">[5]Construction!#REF!</definedName>
    <definedName name="_TOP156">[5]Construction!$AN$19</definedName>
    <definedName name="_TOP157">[5]Construction!$BP$36</definedName>
    <definedName name="_TOP158">[5]Construction!$BP$35</definedName>
    <definedName name="_TOP159">[5]Construction!$DD$32</definedName>
    <definedName name="_TOP16">'[5]Utilization, ppi,cpi'!$K$2</definedName>
    <definedName name="_TOP160" localSheetId="1">'[5]PCB, book to bill'!#REF!</definedName>
    <definedName name="_TOP160">'[5]PCB, book to bill'!#REF!</definedName>
    <definedName name="_TOP161">'[5]PCB, book to bill'!$T$3</definedName>
    <definedName name="_TOP162">'[5]Elec Comp'!$B$159</definedName>
    <definedName name="_TOP163">'[5]Elec Comp'!$B$158</definedName>
    <definedName name="_TOP164">'[5]Elec Comp'!$Y$2</definedName>
    <definedName name="_TOP165">'[5]Elec Comp'!$AE$2</definedName>
    <definedName name="_TOP166">[5]Finance!$B$154</definedName>
    <definedName name="_TOP167">'[5]Oil Forecast'!$AC$21</definedName>
    <definedName name="_TOP168">'[5]Oil Forecast'!$AC$323</definedName>
    <definedName name="_TOP169">'[5]Natural Gas'!$G$148</definedName>
    <definedName name="_TOP17" localSheetId="1">[5]Finance!#REF!</definedName>
    <definedName name="_TOP17">[5]Finance!#REF!</definedName>
    <definedName name="_TOP170">[5]Construction!$BP$35</definedName>
    <definedName name="_TOP171">'[5]Foreign Currency Charts'!$AO$2</definedName>
    <definedName name="_TOP172">[5]Construction!$E$27</definedName>
    <definedName name="_TOP173" localSheetId="1">[5]Construction!#REF!</definedName>
    <definedName name="_TOP173">[5]Construction!#REF!</definedName>
    <definedName name="_TOP174">[5]Construction!$AN$23</definedName>
    <definedName name="_TOP175">'[5]elec. &amp; semiconductors'!$AL$2</definedName>
    <definedName name="_TOP176" localSheetId="1">'[5]PCB, book to bill'!#REF!</definedName>
    <definedName name="_TOP176">'[5]PCB, book to bill'!#REF!</definedName>
    <definedName name="_TOP177">'[5]Elec Comp'!$S$29</definedName>
    <definedName name="_TOP178">'[5]Elec Comp'!$S$28</definedName>
    <definedName name="_TOP179" localSheetId="1">[5]NAPM!#REF!</definedName>
    <definedName name="_TOP179">[5]NAPM!#REF!</definedName>
    <definedName name="_TOP18">[5]Finance!$J$2</definedName>
    <definedName name="_TOP180" localSheetId="1">'[5]Utilization, ppi,cpi'!#REF!</definedName>
    <definedName name="_TOP180">'[5]Utilization, ppi,cpi'!#REF!</definedName>
    <definedName name="_TOP181" localSheetId="1">'[5]Utilization, ppi,cpi'!#REF!</definedName>
    <definedName name="_TOP181">'[5]Utilization, ppi,cpi'!#REF!</definedName>
    <definedName name="_TOP182">'[5]Leading Indicators'!$G$2</definedName>
    <definedName name="_TOP183">[5]capgoodsorders!$F$2</definedName>
    <definedName name="_TOP184">[5]Autos!$AL$3</definedName>
    <definedName name="_TOP185">[5]Autos!$X$8</definedName>
    <definedName name="_TOP186" localSheetId="1">'[5]Heavy Trucks'!#REF!</definedName>
    <definedName name="_TOP186">'[5]Heavy Trucks'!#REF!</definedName>
    <definedName name="_TOP187">[5]Construction!$DH$3</definedName>
    <definedName name="_TOP188">[5]Construction!$DD$8</definedName>
    <definedName name="_TOP189">[5]Construction!$DD$3</definedName>
    <definedName name="_TOP19">[5]Construction!$AI$2</definedName>
    <definedName name="_TOP190">[5]Construction!$BO$17</definedName>
    <definedName name="_TOP191">[5]Construction!$BO$20</definedName>
    <definedName name="_TOP192" localSheetId="1">'[5]Elec Comp'!#REF!</definedName>
    <definedName name="_TOP192">'[5]Elec Comp'!#REF!</definedName>
    <definedName name="_TOP193" localSheetId="1">'[5]Elec Comp'!#REF!</definedName>
    <definedName name="_TOP193">'[5]Elec Comp'!#REF!</definedName>
    <definedName name="_TOP194">[5]Finance!$E$29</definedName>
    <definedName name="_TOP195">'[5]Oil Forecast'!$AC$4</definedName>
    <definedName name="_TOP196">'[5]Natural Gas'!$H$3</definedName>
    <definedName name="_TOP197" localSheetId="1">[5]capgoodsorders!#REF!</definedName>
    <definedName name="_TOP197">[5]capgoodsorders!#REF!</definedName>
    <definedName name="_TOP198">[5]Construction!$E$18</definedName>
    <definedName name="_TOP199">[5]Construction!$DR$24</definedName>
    <definedName name="_TOP2" localSheetId="1">#REF!</definedName>
    <definedName name="_TOP2">#REF!</definedName>
    <definedName name="_TOP20">'[5]Utilization, ppi,cpi'!$U$2</definedName>
    <definedName name="_TOP200">[5]Construction!$BO$42</definedName>
    <definedName name="_TOP201" localSheetId="1">'[5]PCB, book to bill'!#REF!</definedName>
    <definedName name="_TOP201">'[5]PCB, book to bill'!#REF!</definedName>
    <definedName name="_TOP202">'[5]Natural Gas'!$H$2</definedName>
    <definedName name="_TOP203" localSheetId="1">'[5]Elec Comp'!#REF!</definedName>
    <definedName name="_TOP203">'[5]Elec Comp'!#REF!</definedName>
    <definedName name="_TOP204" localSheetId="1">'[5]Elec Comp'!#REF!</definedName>
    <definedName name="_TOP204">'[5]Elec Comp'!#REF!</definedName>
    <definedName name="_TOP205">'[5]Elec Comp'!#REF!</definedName>
    <definedName name="_TOP206">[5]NAPM!#REF!</definedName>
    <definedName name="_TOP207">'[5]Utilization, ppi,cpi'!#REF!</definedName>
    <definedName name="_TOP208">[5]Autos!$X$13</definedName>
    <definedName name="_TOP209">[5]Autos!$AL$2</definedName>
    <definedName name="_TOP21" localSheetId="1">#REF!</definedName>
    <definedName name="_TOP21">#REF!</definedName>
    <definedName name="_TOP210" localSheetId="1">'[5]Leading Indicators'!#REF!</definedName>
    <definedName name="_TOP210">'[5]Leading Indicators'!#REF!</definedName>
    <definedName name="_TOP211">[5]capgoodsorders!#REF!</definedName>
    <definedName name="_TOP212">'[5]Aerospace '!$EQ$2</definedName>
    <definedName name="_TOP213" localSheetId="1">'[5]Heavy Trucks'!#REF!</definedName>
    <definedName name="_TOP213">'[5]Heavy Trucks'!#REF!</definedName>
    <definedName name="_TOP214" localSheetId="1">[5]Construction!#REF!</definedName>
    <definedName name="_TOP214">[5]Construction!#REF!</definedName>
    <definedName name="_TOP215">[5]Construction!#REF!</definedName>
    <definedName name="_TOP216">'[5]elec. &amp; semiconductors'!$DO$2</definedName>
    <definedName name="_TOP217">'[5]PCB, book to bill'!$AB$2</definedName>
    <definedName name="_TOP218" localSheetId="1">'[5]Elec Comp'!#REF!</definedName>
    <definedName name="_TOP218">'[5]Elec Comp'!#REF!</definedName>
    <definedName name="_TOP219" localSheetId="1">'[5]Elec Comp'!#REF!</definedName>
    <definedName name="_TOP219">'[5]Elec Comp'!#REF!</definedName>
    <definedName name="_TOP22" localSheetId="1">#REF!</definedName>
    <definedName name="_TOP22">#REF!</definedName>
    <definedName name="_TOP220" localSheetId="1">'[5]Elec Comp'!#REF!</definedName>
    <definedName name="_TOP220">'[5]Elec Comp'!#REF!</definedName>
    <definedName name="_TOP221">[5]Finance!$AP$2</definedName>
    <definedName name="_TOP222">'[5]Oil Forecast'!$AC$3</definedName>
    <definedName name="_TOP223" localSheetId="1">'[5]Natural Gas'!#REF!</definedName>
    <definedName name="_TOP223">'[5]Natural Gas'!#REF!</definedName>
    <definedName name="_TOP224">'[5]Leading Indicators'!$F$4</definedName>
    <definedName name="_TOP225" localSheetId="1">[5]capgoodsorders!#REF!</definedName>
    <definedName name="_TOP225">[5]capgoodsorders!#REF!</definedName>
    <definedName name="_TOP226" localSheetId="1">[5]NAPM!#REF!</definedName>
    <definedName name="_TOP226">[5]NAPM!#REF!</definedName>
    <definedName name="_TOP227">'[5]Utilization, ppi,cpi'!#REF!</definedName>
    <definedName name="_TOP228">[5]Construction!$BP$5</definedName>
    <definedName name="_TOP229">[5]Construction!$BP$4</definedName>
    <definedName name="_TOP23" localSheetId="1">[5]Construction!#REF!</definedName>
    <definedName name="_TOP23">[5]Construction!#REF!</definedName>
    <definedName name="_TOP230" localSheetId="1">'[5]Elec Comp'!#REF!</definedName>
    <definedName name="_TOP230">'[5]Elec Comp'!#REF!</definedName>
    <definedName name="_TOP231">'[5]Elec Comp'!$I$154</definedName>
    <definedName name="_TOP232">'[5]PCB, book to bill'!$T$166</definedName>
    <definedName name="_TOP233" localSheetId="1">'[5]Oil Forecast'!#REF!</definedName>
    <definedName name="_TOP233">'[5]Oil Forecast'!#REF!</definedName>
    <definedName name="_TOP234">'[5]Natural Gas'!$AD$2</definedName>
    <definedName name="_TOP235">'[5]Oil Forecast'!$AB$3</definedName>
    <definedName name="_TOP236" localSheetId="1">'[5]Oil Forecast'!#REF!</definedName>
    <definedName name="_TOP236">'[5]Oil Forecast'!#REF!</definedName>
    <definedName name="_TOP237" localSheetId="1">[5]Finance!#REF!</definedName>
    <definedName name="_TOP237">[5]Finance!#REF!</definedName>
    <definedName name="_TOP238">'[5]Heavy Trucks'!#REF!</definedName>
    <definedName name="_TOP239">'[5]PCB, book to bill'!$AH$3</definedName>
    <definedName name="_TOP24" localSheetId="1">[5]Construction!#REF!</definedName>
    <definedName name="_TOP24">[5]Construction!#REF!</definedName>
    <definedName name="_TOP240" localSheetId="1">'[5]Elec Comp'!#REF!</definedName>
    <definedName name="_TOP240">'[5]Elec Comp'!#REF!</definedName>
    <definedName name="_TOP241">'[5]Elec Comp'!$AM$3</definedName>
    <definedName name="_TOP242" localSheetId="1">[5]NAPM!#REF!</definedName>
    <definedName name="_TOP242">[5]NAPM!#REF!</definedName>
    <definedName name="_TOP243" localSheetId="1">[5]NAPM!#REF!</definedName>
    <definedName name="_TOP243">[5]NAPM!#REF!</definedName>
    <definedName name="_TOP244">'[5]Leading Indicators'!$I$2</definedName>
    <definedName name="_TOP245">'[5]Utilization, ppi,cpi'!$AF$2</definedName>
    <definedName name="_TOP246" localSheetId="1">[5]capgoodsorders!#REF!</definedName>
    <definedName name="_TOP246">[5]capgoodsorders!#REF!</definedName>
    <definedName name="_TOP247">[5]Autos!$AW$2</definedName>
    <definedName name="_TOP248">[5]Autos!$O$2</definedName>
    <definedName name="_TOP249">[5]Construction!$E$3</definedName>
    <definedName name="_TOP25" localSheetId="1">[5]Defense!#REF!</definedName>
    <definedName name="_TOP25">[5]Defense!#REF!</definedName>
    <definedName name="_TOP250">[5]Construction!$E$3</definedName>
    <definedName name="_TOP251">[5]Construction!$AN$2</definedName>
    <definedName name="_TOP252" localSheetId="1">[5]Construction!#REF!</definedName>
    <definedName name="_TOP252">[5]Construction!#REF!</definedName>
    <definedName name="_TOP253" localSheetId="1">[5]Construction!#REF!</definedName>
    <definedName name="_TOP253">[5]Construction!#REF!</definedName>
    <definedName name="_TOP254">[5]Construction!$DD$2</definedName>
    <definedName name="_TOP255">[5]Construction!$BP$3</definedName>
    <definedName name="_TOP256">[5]Construction!$BQ$2</definedName>
    <definedName name="_TOP257">'[5]elec. &amp; semiconductors'!$EH$2</definedName>
    <definedName name="_TOP258">'[5]PCB, book to bill'!$T$165</definedName>
    <definedName name="_TOP259">'[5]PCB, book to bill'!$T$164</definedName>
    <definedName name="_TOP26">[5]Defense!$N$2</definedName>
    <definedName name="_TOP260">'[5]Elec Comp'!$B$164</definedName>
    <definedName name="_TOP261">'[5]Elec Comp'!$Y$146</definedName>
    <definedName name="_TOP262">'[5]Elec Comp'!$AE$153</definedName>
    <definedName name="_TOP263">[5]Finance!$B$161</definedName>
    <definedName name="_TOP264">'[5]Oil Forecast'!$AC$2</definedName>
    <definedName name="_TOP265">'[5]Natural Gas'!$B$173</definedName>
    <definedName name="_TOP266">'[5]PCB, book to bill'!$AH$2</definedName>
    <definedName name="_TOP267">'[5]Elec Comp'!$J$2</definedName>
    <definedName name="_TOP268">'[5]Elec Comp'!$AM$2</definedName>
    <definedName name="_TOP269">'[5]Oil Forecast'!$BZ$2</definedName>
    <definedName name="_TOP27" localSheetId="1">[5]NAPM!#REF!</definedName>
    <definedName name="_TOP27">[5]NAPM!#REF!</definedName>
    <definedName name="_TOP270">'[5]PCB, book to bill'!$AN$2</definedName>
    <definedName name="_TOP271" localSheetId="1">'[5]PCB, book to bill'!#REF!</definedName>
    <definedName name="_TOP271">'[5]PCB, book to bill'!#REF!</definedName>
    <definedName name="_TOP272">[7]Autos!#REF!</definedName>
    <definedName name="_TOP273">[7]Autos!#REF!</definedName>
    <definedName name="_TOP274">[7]Construction!#REF!</definedName>
    <definedName name="_TOP275">[7]Construction!#REF!</definedName>
    <definedName name="_TOP276">[7]Construction!#REF!</definedName>
    <definedName name="_TOP277">[7]Construction!#REF!</definedName>
    <definedName name="_TOP278">[7]Construction!#REF!</definedName>
    <definedName name="_TOP279">'[7]elec. &amp; semiconductors'!$BY$2</definedName>
    <definedName name="_TOP28" localSheetId="1">'[5]Utilization, ppi,cpi'!#REF!</definedName>
    <definedName name="_TOP28">'[5]Utilization, ppi,cpi'!#REF!</definedName>
    <definedName name="_TOP280">'[8]PCB, book to bill'!$S$4</definedName>
    <definedName name="_TOP281">'[7]Elec Comp'!#REF!</definedName>
    <definedName name="_TOP282">'[7]Elec Comp'!#REF!</definedName>
    <definedName name="_TOP283">'[7]Elec Comp'!#REF!</definedName>
    <definedName name="_TOP284">[7]Finance!$AP$3</definedName>
    <definedName name="_TOP285">'[7]Oil Fundamentals'!$AO$3</definedName>
    <definedName name="_TOP286">'[7]Oil Fundamentals'!$BR$2</definedName>
    <definedName name="_TOP287">'[7]Natural Gas Price'!#REF!</definedName>
    <definedName name="_TOP288">'[8]PCB, book to bill'!$AE$2</definedName>
    <definedName name="_TOP289">'[7]Elec Comp'!#REF!</definedName>
    <definedName name="_TOP29">'[5]Leading Indicators'!$F$28</definedName>
    <definedName name="_TOP290">'[8]PCB, book to bill'!$Y$9</definedName>
    <definedName name="_TOP291">'[8]PCB, book to bill'!$Y$6</definedName>
    <definedName name="_TOP292">'[7]Oil Fundamentals'!$AO$2</definedName>
    <definedName name="_TOP293">'[8]PCB, book to bill'!$Y$5</definedName>
    <definedName name="_TOP294">'[8]PCB, book to bill'!$AN$2</definedName>
    <definedName name="_TOP295">#REF!</definedName>
    <definedName name="_TOP296">#REF!</definedName>
    <definedName name="_TOP297">#REF!</definedName>
    <definedName name="_TOP298">#REF!</definedName>
    <definedName name="_TOP299">#REF!</definedName>
    <definedName name="_TOP3" localSheetId="1">#REF!</definedName>
    <definedName name="_TOP3">#REF!</definedName>
    <definedName name="_TOP30" localSheetId="1">[5]capgoodsorders!#REF!</definedName>
    <definedName name="_TOP30">[5]capgoodsorders!#REF!</definedName>
    <definedName name="_TOP300">#REF!</definedName>
    <definedName name="_TOP301">[7]NAPM!$C$3</definedName>
    <definedName name="_TOP302">'[7]PPI CPI'!#REF!</definedName>
    <definedName name="_TOP303">'[7]PPI CPI'!#REF!</definedName>
    <definedName name="_TOP304">'[7]Leading Indicators'!#REF!</definedName>
    <definedName name="_TOP305">[7]capgoodsorders!$I$3</definedName>
    <definedName name="_TOP306">'[7]Forex Forecast'!#REF!</definedName>
    <definedName name="_TOP307">[7]Autos!#REF!</definedName>
    <definedName name="_TOP308">[7]Construction!#REF!</definedName>
    <definedName name="_TOP309">[7]Construction!$AD$6</definedName>
    <definedName name="_TOP31">[5]Capex!#REF!</definedName>
    <definedName name="_TOP310">[7]Construction!#REF!</definedName>
    <definedName name="_TOP311">[7]Construction!#REF!</definedName>
    <definedName name="_TOP312">[7]Construction!$BL$2</definedName>
    <definedName name="_TOP313">[7]Construction!$BD$4</definedName>
    <definedName name="_TOP314">[7]Construction!$BD$3</definedName>
    <definedName name="_TOP315">'[7]elec. &amp; semiconductors'!#REF!</definedName>
    <definedName name="_TOP316">'[8]PCB, book to bill'!$U$3</definedName>
    <definedName name="_TOP317">'[7]Elec Comp'!#REF!</definedName>
    <definedName name="_TOP318">'[7]Elec Comp'!#REF!</definedName>
    <definedName name="_TOP319">'[7]Elec Comp'!#REF!</definedName>
    <definedName name="_TOP32">[5]Capex!$C$2</definedName>
    <definedName name="_TOP320">[7]Finance!$F$3</definedName>
    <definedName name="_TOP321">'[7]Oil Fundamentals'!$BF$2</definedName>
    <definedName name="_TOP322">'[7]Oil Fundamentals'!$T$2</definedName>
    <definedName name="_TOP323">'[7]Natural Gas Price'!$H$2</definedName>
    <definedName name="_TOP324">'[7]Elec Comp'!#REF!</definedName>
    <definedName name="_TOP325">[7]Construction!#REF!</definedName>
    <definedName name="_TOP326">'[8]PCB, book to bill'!$U$2</definedName>
    <definedName name="_TOP327">'[8]PCB, book to bill'!$Z$4</definedName>
    <definedName name="_TOP328">'[8]PCB, book to bill'!$Z$3</definedName>
    <definedName name="_TOP329">[7]NAPM!$C$2</definedName>
    <definedName name="_TOP33" localSheetId="1">[5]Construction!#REF!</definedName>
    <definedName name="_TOP33">[5]Construction!#REF!</definedName>
    <definedName name="_TOP330">'[7]Oil Fundamentals'!$AB$3</definedName>
    <definedName name="_TOP34">[5]Construction!$BO$27</definedName>
    <definedName name="_TOP35" localSheetId="1">[5]Construction!#REF!</definedName>
    <definedName name="_TOP35">[5]Construction!#REF!</definedName>
    <definedName name="_TOP36" localSheetId="1">'[5]elec. &amp; semiconductors'!#REF!</definedName>
    <definedName name="_TOP36">'[5]elec. &amp; semiconductors'!#REF!</definedName>
    <definedName name="_TOP37">[5]Finance!$B$2</definedName>
    <definedName name="_TOP38" localSheetId="1">'[5]1999E Segment Charts'!#REF!</definedName>
    <definedName name="_TOP38">'[5]1999E Segment Charts'!#REF!</definedName>
    <definedName name="_TOP39">[5]NAPM!$B$2</definedName>
    <definedName name="_TOP4" localSheetId="1">#REF!</definedName>
    <definedName name="_TOP4">#REF!</definedName>
    <definedName name="_TOP40" localSheetId="1">'[5]Utilization, ppi,cpi'!#REF!</definedName>
    <definedName name="_TOP40">'[5]Utilization, ppi,cpi'!#REF!</definedName>
    <definedName name="_TOP41">'[5]Utilization, ppi,cpi'!#REF!</definedName>
    <definedName name="_TOP42">'[5]Leading Indicators'!$F$23</definedName>
    <definedName name="_TOP43" localSheetId="1">[5]capgoodsorders!#REF!</definedName>
    <definedName name="_TOP43">[5]capgoodsorders!#REF!</definedName>
    <definedName name="_TOP44" localSheetId="1">'[5]Utilization, ppi,cpi'!#REF!</definedName>
    <definedName name="_TOP44">'[5]Utilization, ppi,cpi'!#REF!</definedName>
    <definedName name="_TOP45">[5]Defense!$AA$2</definedName>
    <definedName name="_TOP46">[5]Construction!$E$39</definedName>
    <definedName name="_TOP47" localSheetId="1">[5]Construction!#REF!</definedName>
    <definedName name="_TOP47">[5]Construction!#REF!</definedName>
    <definedName name="_TOP48">[5]Construction!$AN$30</definedName>
    <definedName name="_TOP49">[5]Construction!$BJ$16</definedName>
    <definedName name="_TOP5" localSheetId="1">#REF!</definedName>
    <definedName name="_TOP5">#REF!</definedName>
    <definedName name="_TOP50" localSheetId="1">[5]Construction!#REF!</definedName>
    <definedName name="_TOP50">[5]Construction!#REF!</definedName>
    <definedName name="_TOP51">'[5]elec. &amp; semiconductors'!$H$29</definedName>
    <definedName name="_TOP52">[5]Finance!$E$29</definedName>
    <definedName name="_TOP53">'[5]Natural Gas'!$F$39</definedName>
    <definedName name="_TOP54">[5]Defense!$E$26</definedName>
    <definedName name="_TOP55">'[5]Oil Forecast'!$Y$2</definedName>
    <definedName name="_TOP56" localSheetId="1">#REF!</definedName>
    <definedName name="_TOP56">#REF!</definedName>
    <definedName name="_TOP57">[5]Autos!$K$2</definedName>
    <definedName name="_TOP58">[5]Autos!$T$2</definedName>
    <definedName name="_TOP59">[5]Autos!$AL$5</definedName>
    <definedName name="_TOP6" localSheetId="1">'[5]Leading Indicators'!#REF!</definedName>
    <definedName name="_TOP6">'[5]Leading Indicators'!#REF!</definedName>
    <definedName name="_TOP60">'[5]Oil Forecast'!$AJ$2</definedName>
    <definedName name="_TOP61" localSheetId="1">[5]Population!#REF!</definedName>
    <definedName name="_TOP61">[5]Population!#REF!</definedName>
    <definedName name="_TOP62">[5]Finance!$E$142</definedName>
    <definedName name="_TOP63">'[5]Oil Forecast'!$AB$582</definedName>
    <definedName name="_TOP64">'[5]Natural Gas'!$G$141</definedName>
    <definedName name="_TOP65">[5]Construction!$V$9</definedName>
    <definedName name="_TOP66">[5]Construction!$CK$2</definedName>
    <definedName name="_TOP67" localSheetId="1">[5]NAPM!#REF!</definedName>
    <definedName name="_TOP67">[5]NAPM!#REF!</definedName>
    <definedName name="_TOP68" localSheetId="1">'[5]Utilization, ppi,cpi'!#REF!</definedName>
    <definedName name="_TOP68">'[5]Utilization, ppi,cpi'!#REF!</definedName>
    <definedName name="_TOP69">'[5]Leading Indicators'!$F$35</definedName>
    <definedName name="_TOP7" localSheetId="1">'[5]oil Background'!#REF!</definedName>
    <definedName name="_TOP7">'[5]oil Background'!#REF!</definedName>
    <definedName name="_TOP70" localSheetId="1">[5]capgoodsorders!#REF!</definedName>
    <definedName name="_TOP70">[5]capgoodsorders!#REF!</definedName>
    <definedName name="_TOP71">[5]Capex!$G$23</definedName>
    <definedName name="_TOP72">'[5]Utilization, ppi,cpi'!$E$23</definedName>
    <definedName name="_TOP73">[5]Capex!$N$2</definedName>
    <definedName name="_TOP74">[5]Capex!$Y$5</definedName>
    <definedName name="_TOP75">[5]Capex!$Y$2</definedName>
    <definedName name="_TOP76">[5]Defense!$Q$35</definedName>
    <definedName name="_TOP77">[5]Autos!$O$36</definedName>
    <definedName name="_TOP78">[5]Autos!$X$36</definedName>
    <definedName name="_TOP79">[5]Construction!$BJ$2</definedName>
    <definedName name="_TOP8" localSheetId="1">'[5]Natural Gas'!#REF!</definedName>
    <definedName name="_TOP8">'[5]Natural Gas'!#REF!</definedName>
    <definedName name="_TOP80">[5]Construction!$CW$2</definedName>
    <definedName name="_TOP81" localSheetId="1">#REF!</definedName>
    <definedName name="_TOP81">#REF!</definedName>
    <definedName name="_TOP82" localSheetId="1">#REF!</definedName>
    <definedName name="_TOP82">#REF!</definedName>
    <definedName name="_TOP83">'[5]elec. &amp; semiconductors'!$AQ$2</definedName>
    <definedName name="_TOP84">[5]Construction!$BP$32</definedName>
    <definedName name="_TOP85">'[5]elec. &amp; semiconductors'!$AL$23</definedName>
    <definedName name="_TOP86">'[5]elec. &amp; semiconductors'!$K$11</definedName>
    <definedName name="_TOP87" localSheetId="1">'[5]Oil Forecast'!#REF!</definedName>
    <definedName name="_TOP87">'[5]Oil Forecast'!#REF!</definedName>
    <definedName name="_TOP88">'[5]Natural Gas'!$G$10</definedName>
    <definedName name="_TOP89" localSheetId="1">[5]Finance!#REF!</definedName>
    <definedName name="_TOP89">[5]Finance!#REF!</definedName>
    <definedName name="_TOP9">[5]Construction!$AB$2</definedName>
    <definedName name="_TOP90">[5]Finance!$W$2</definedName>
    <definedName name="_TOP91">[5]Finance!$X$2</definedName>
    <definedName name="_TOP92" localSheetId="1">[5]Finance!#REF!</definedName>
    <definedName name="_TOP92">[5]Finance!#REF!</definedName>
    <definedName name="_TOP93" localSheetId="1">[5]Finance!#REF!</definedName>
    <definedName name="_TOP93">[5]Finance!#REF!</definedName>
    <definedName name="_TOP94">[5]Finance!#REF!</definedName>
    <definedName name="_TOP95">[5]Finance!#REF!</definedName>
    <definedName name="_TOP96">'[5]elec. &amp; semiconductors'!$K$2</definedName>
    <definedName name="_TOP97">'[5]elec. &amp; semiconductors'!$L$2</definedName>
    <definedName name="_TOP98">[5]Finance!$E$32</definedName>
    <definedName name="_TOP99">[5]Capex!$H$28</definedName>
    <definedName name="A" localSheetId="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A" localSheetId="2"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A"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aa" localSheetId="1" hidden="1">{#N/A,#N/A,FALSE,"SUR97";#N/A,#N/A,FALSE,"OBS97";#N/A,#N/A,FALSE,"MRO";#N/A,#N/A,FALSE,"hfsdlt"}</definedName>
    <definedName name="aa" localSheetId="2" hidden="1">{#N/A,#N/A,FALSE,"SUR97";#N/A,#N/A,FALSE,"OBS97";#N/A,#N/A,FALSE,"MRO";#N/A,#N/A,FALSE,"hfsdlt"}</definedName>
    <definedName name="aa" hidden="1">{#N/A,#N/A,FALSE,"SUR97";#N/A,#N/A,FALSE,"OBS97";#N/A,#N/A,FALSE,"MRO";#N/A,#N/A,FALSE,"hfsdlt"}</definedName>
    <definedName name="aassas" localSheetId="2" hidden="1">{"PR1","pr1",TRUE,"Sch PR-1"}</definedName>
    <definedName name="aassas" hidden="1">{"PR1","pr1",TRUE,"Sch PR-1"}</definedName>
    <definedName name="abc" localSheetId="1" hidden="1">{#N/A,#N/A,FALSE,"SUR97";#N/A,#N/A,FALSE,"OBS97";#N/A,#N/A,FALSE,"MRO";#N/A,#N/A,FALSE,"hfsdlt"}</definedName>
    <definedName name="abc" localSheetId="2" hidden="1">{#N/A,#N/A,FALSE,"SUR97";#N/A,#N/A,FALSE,"OBS97";#N/A,#N/A,FALSE,"MRO";#N/A,#N/A,FALSE,"hfsdlt"}</definedName>
    <definedName name="abc" hidden="1">{#N/A,#N/A,FALSE,"SUR97";#N/A,#N/A,FALSE,"OBS97";#N/A,#N/A,FALSE,"MRO";#N/A,#N/A,FALSE,"hfsdlt"}</definedName>
    <definedName name="ACT">#REF!</definedName>
    <definedName name="ACTUAL" localSheetId="1">#REF!</definedName>
    <definedName name="ACTUAL">#REF!</definedName>
    <definedName name="Actuals" localSheetId="1">#REF!</definedName>
    <definedName name="Actuals">#REF!</definedName>
    <definedName name="Actuals_YTD" localSheetId="1">#REF!</definedName>
    <definedName name="Actuals_YTD">#REF!</definedName>
    <definedName name="ACTYTD" localSheetId="1">#REF!</definedName>
    <definedName name="ACTYTD">#REF!</definedName>
    <definedName name="ACwvu._Current_." localSheetId="1" hidden="1">#REF!</definedName>
    <definedName name="ACwvu._Current_." hidden="1">#REF!</definedName>
    <definedName name="ACwvu.FIATOdd." localSheetId="1" hidden="1">#REF!</definedName>
    <definedName name="ACwvu.FIATOdd." hidden="1">#REF!</definedName>
    <definedName name="ACwvu.flightpack." localSheetId="1" hidden="1">#REF!</definedName>
    <definedName name="ACwvu.flightpack." hidden="1">#REF!</definedName>
    <definedName name="adasdasdasdasd" localSheetId="2" hidden="1">{"PR1","pr1",TRUE,"Sch PR-1"}</definedName>
    <definedName name="adasdasdasdasd" hidden="1">{"PR1","pr1",TRUE,"Sch PR-1"}</definedName>
    <definedName name="adv" localSheetId="1">#REF!</definedName>
    <definedName name="adv">#REF!</definedName>
    <definedName name="AGRICULTURAL_JOINT_VENTURE_TABLE" localSheetId="1">#REF!</definedName>
    <definedName name="AGRICULTURAL_JOINT_VENTURE_TABLE">#REF!</definedName>
    <definedName name="akldf" localSheetId="1" hidden="1">{"EuropeOdd",#N/A,FALSE,"Europe";"FIATEven",#N/A,FALSE,"FIAT Even";"FIATOdd",#N/A,FALSE,"FIAT Odd";"MclEven",#N/A,FALSE,"Michelin Even";"MclOdd",#N/A,FALSE,"Michelin Odd";"PSAEven",#N/A,FALSE,"PSA Even";"PSAOdd",#N/A,FALSE,"PSA Odd";"RenEven",#N/A,FALSE,"Renault Even";"RenOdd",#N/A,FALSE,"Renault Odd";"ValEven",#N/A,FALSE,"Valeo Even";"ValOdd",#N/A,FALSE,"Valeo Odd";"VWEven",#N/A,FALSE,"VW Even";"VWOdd",#N/A,FALSE,"VW Odd"}</definedName>
    <definedName name="akldf" localSheetId="2" hidden="1">{"EuropeOdd",#N/A,FALSE,"Europe";"FIATEven",#N/A,FALSE,"FIAT Even";"FIATOdd",#N/A,FALSE,"FIAT Odd";"MclEven",#N/A,FALSE,"Michelin Even";"MclOdd",#N/A,FALSE,"Michelin Odd";"PSAEven",#N/A,FALSE,"PSA Even";"PSAOdd",#N/A,FALSE,"PSA Odd";"RenEven",#N/A,FALSE,"Renault Even";"RenOdd",#N/A,FALSE,"Renault Odd";"ValEven",#N/A,FALSE,"Valeo Even";"ValOdd",#N/A,FALSE,"Valeo Odd";"VWEven",#N/A,FALSE,"VW Even";"VWOdd",#N/A,FALSE,"VW Odd"}</definedName>
    <definedName name="akldf" hidden="1">{"EuropeOdd",#N/A,FALSE,"Europe";"FIATEven",#N/A,FALSE,"FIAT Even";"FIATOdd",#N/A,FALSE,"FIAT Odd";"MclEven",#N/A,FALSE,"Michelin Even";"MclOdd",#N/A,FALSE,"Michelin Odd";"PSAEven",#N/A,FALSE,"PSA Even";"PSAOdd",#N/A,FALSE,"PSA Odd";"RenEven",#N/A,FALSE,"Renault Even";"RenOdd",#N/A,FALSE,"Renault Odd";"ValEven",#N/A,FALSE,"Valeo Even";"ValOdd",#N/A,FALSE,"Valeo Odd";"VWEven",#N/A,FALSE,"VW Even";"VWOdd",#N/A,FALSE,"VW Odd"}</definedName>
    <definedName name="alfj" localSheetId="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alfj" localSheetId="2"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alfj"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all" localSheetId="1">#REF!</definedName>
    <definedName name="all">#REF!</definedName>
    <definedName name="an" localSheetId="1" hidden="1">{#N/A,#N/A,FALSE,"SUR97";#N/A,#N/A,FALSE,"OBS97";#N/A,#N/A,FALSE,"MRO";#N/A,#N/A,FALSE,"hfsdlt"}</definedName>
    <definedName name="an" localSheetId="2" hidden="1">{#N/A,#N/A,FALSE,"SUR97";#N/A,#N/A,FALSE,"OBS97";#N/A,#N/A,FALSE,"MRO";#N/A,#N/A,FALSE,"hfsdlt"}</definedName>
    <definedName name="an" hidden="1">{#N/A,#N/A,FALSE,"SUR97";#N/A,#N/A,FALSE,"OBS97";#N/A,#N/A,FALSE,"MRO";#N/A,#N/A,FALSE,"hfsdlt"}</definedName>
    <definedName name="annual2">'[9]earnings-model'!$A$161:$AA$251</definedName>
    <definedName name="annualbalancesheet">[10]Model!$A$177:$V$247</definedName>
    <definedName name="annualcashflow">[10]Model!$A$123:$V$176</definedName>
    <definedName name="apr_bus" localSheetId="1">#REF!</definedName>
    <definedName name="apr_bus">#REF!</definedName>
    <definedName name="AS2DocOpenMode" hidden="1">"AS2DocumentEdit"</definedName>
    <definedName name="asasasasas" localSheetId="2" hidden="1">{"PR1","pr1",TRUE,"Sch PR-1"}</definedName>
    <definedName name="asasasasas" hidden="1">{"PR1","pr1",TRUE,"Sch PR-1"}</definedName>
    <definedName name="assasdafsda" localSheetId="2" hidden="1">{"PR1","pr1",TRUE,"Sch PR-1"}</definedName>
    <definedName name="assasdafsda" hidden="1">{"PR1","pr1",TRUE,"Sch PR-1"}</definedName>
    <definedName name="assetturns07">'[11]earnings-model'!$Z$183</definedName>
    <definedName name="aug_bus" localSheetId="1">#REF!</definedName>
    <definedName name="aug_bus">#REF!</definedName>
    <definedName name="Autodatechange">[12]!Autodatechange</definedName>
    <definedName name="B" localSheetId="2"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B"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back" localSheetId="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back" localSheetId="2"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back"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BLPH1" hidden="1">#REF!</definedName>
    <definedName name="BLPH10" localSheetId="1" hidden="1">#REF!</definedName>
    <definedName name="BLPH10" hidden="1">#REF!</definedName>
    <definedName name="BLPH11" localSheetId="1" hidden="1">#REF!</definedName>
    <definedName name="BLPH11" hidden="1">#REF!</definedName>
    <definedName name="BLPH12" localSheetId="1" hidden="1">#REF!</definedName>
    <definedName name="BLPH12" hidden="1">#REF!</definedName>
    <definedName name="BLPH13" localSheetId="1" hidden="1">#REF!</definedName>
    <definedName name="BLPH13" hidden="1">#REF!</definedName>
    <definedName name="BLPH14" localSheetId="1" hidden="1">#REF!</definedName>
    <definedName name="BLPH14" hidden="1">#REF!</definedName>
    <definedName name="BLPH15" localSheetId="1" hidden="1">#REF!</definedName>
    <definedName name="BLPH15" hidden="1">#REF!</definedName>
    <definedName name="BLPH16" localSheetId="1" hidden="1">#REF!</definedName>
    <definedName name="BLPH16" hidden="1">#REF!</definedName>
    <definedName name="BLPH17" localSheetId="1" hidden="1">#REF!</definedName>
    <definedName name="BLPH17" hidden="1">#REF!</definedName>
    <definedName name="BLPH19" localSheetId="1" hidden="1">#REF!</definedName>
    <definedName name="BLPH19" hidden="1">#REF!</definedName>
    <definedName name="BLPH2" localSheetId="1" hidden="1">#REF!</definedName>
    <definedName name="BLPH2" hidden="1">#REF!</definedName>
    <definedName name="BLPH20" localSheetId="1" hidden="1">[13]Sheet1!#REF!</definedName>
    <definedName name="BLPH20" hidden="1">[13]Sheet1!#REF!</definedName>
    <definedName name="BLPH3" localSheetId="1" hidden="1">#REF!</definedName>
    <definedName name="BLPH3" hidden="1">#REF!</definedName>
    <definedName name="BLPH4" localSheetId="1" hidden="1">#REF!</definedName>
    <definedName name="BLPH4" hidden="1">#REF!</definedName>
    <definedName name="BLPH5" localSheetId="1" hidden="1">#REF!</definedName>
    <definedName name="BLPH5" hidden="1">#REF!</definedName>
    <definedName name="BLPH6" localSheetId="1" hidden="1">#REF!</definedName>
    <definedName name="BLPH6" hidden="1">#REF!</definedName>
    <definedName name="BLPH7" localSheetId="1" hidden="1">#REF!</definedName>
    <definedName name="BLPH7" hidden="1">#REF!</definedName>
    <definedName name="BLPH8" localSheetId="1" hidden="1">#REF!</definedName>
    <definedName name="BLPH8" hidden="1">#REF!</definedName>
    <definedName name="BLPH9" localSheetId="1" hidden="1">#REF!</definedName>
    <definedName name="BLPH9" hidden="1">#REF!</definedName>
    <definedName name="BUS" localSheetId="1">#REF!</definedName>
    <definedName name="BUS">#REF!</definedName>
    <definedName name="Busca_Dados_e_Atualiza_Tabelas_Impressão">#N/A</definedName>
    <definedName name="Carloads_Quarterly">[14]EM!$A$90:$AN$210</definedName>
    <definedName name="cashbal">[15]model!$A$124:$AJ$196</definedName>
    <definedName name="cashflow2">[16]model!$CO$99:$DM$206</definedName>
    <definedName name="chargeouts_curr_actual" localSheetId="1">#REF!</definedName>
    <definedName name="chargeouts_curr_actual">#REF!</definedName>
    <definedName name="chargeouts_curr_fcst" localSheetId="1">#REF!</definedName>
    <definedName name="chargeouts_curr_fcst">#REF!</definedName>
    <definedName name="chargeouts_plan" localSheetId="1">#REF!</definedName>
    <definedName name="chargeouts_plan">#REF!</definedName>
    <definedName name="chargeouts_prior_2_actual" localSheetId="1">#REF!</definedName>
    <definedName name="chargeouts_prior_2_actual">#REF!</definedName>
    <definedName name="chargeouts_prior_actual" localSheetId="1">#REF!</definedName>
    <definedName name="chargeouts_prior_actual">#REF!</definedName>
    <definedName name="chargeouts_prior_fcst" localSheetId="1">#REF!</definedName>
    <definedName name="chargeouts_prior_fcst">#REF!</definedName>
    <definedName name="chargeouts_update" localSheetId="1">#REF!</definedName>
    <definedName name="chargeouts_update">#REF!</definedName>
    <definedName name="CLASS_5" localSheetId="1">#REF!</definedName>
    <definedName name="CLASS_5">#REF!</definedName>
    <definedName name="CLASS_8" localSheetId="1">#REF!</definedName>
    <definedName name="CLASS_8">#REF!</definedName>
    <definedName name="current" localSheetId="1">[17]Sheet4!#REF!</definedName>
    <definedName name="current">[17]Sheet4!#REF!</definedName>
    <definedName name="Cwvu.flightpack." localSheetId="1" hidden="1">#REF!,#REF!,#REF!</definedName>
    <definedName name="Cwvu.flightpack." hidden="1">#REF!,#REF!,#REF!</definedName>
    <definedName name="d" localSheetId="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d" localSheetId="2"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d"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data">#REF!</definedName>
    <definedName name="Data2" localSheetId="1">#REF!</definedName>
    <definedName name="Data2">#REF!</definedName>
    <definedName name="data3" localSheetId="1">#REF!</definedName>
    <definedName name="data3">#REF!</definedName>
    <definedName name="date" localSheetId="1">[18]SHIPSUM!#REF!</definedName>
    <definedName name="date">[18]SHIPSUM!#REF!</definedName>
    <definedName name="date1" localSheetId="1">[18]SHIPSUM!#REF!</definedName>
    <definedName name="date1">[18]SHIPSUM!#REF!</definedName>
    <definedName name="dates">[18]SHIPSUM!#REF!</definedName>
    <definedName name="dates1">[18]SHIPSUM!#REF!</definedName>
    <definedName name="de" localSheetId="2"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de"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DE_99TB" localSheetId="1">#REF!</definedName>
    <definedName name="DE_99TB">#REF!</definedName>
    <definedName name="Dec_89" localSheetId="1">#REF!</definedName>
    <definedName name="Dec_89">#REF!</definedName>
    <definedName name="dec_bus" localSheetId="1">#REF!</definedName>
    <definedName name="dec_bus">#REF!</definedName>
    <definedName name="EMCalendar" localSheetId="1">[19]EM!#REF!</definedName>
    <definedName name="EMCalendar">[19]EM!#REF!</definedName>
    <definedName name="EMP" localSheetId="1">#REF!</definedName>
    <definedName name="EMP">#REF!</definedName>
    <definedName name="EngOpers">[20]engdata!$A$9:$A$16</definedName>
    <definedName name="EngProductOrFunc">[20]engdata!$D$7:$D$13</definedName>
    <definedName name="EngProjs">[21]engdata!$N$137:$N$188</definedName>
    <definedName name="exchange.rate">[22]Van_Melle!$J$3</definedName>
    <definedName name="EXP" localSheetId="1">#REF!</definedName>
    <definedName name="EXP">#REF!</definedName>
    <definedName name="f" localSheetId="2" hidden="1">{"PR1","pr1",TRUE,"Sch PR-1"}</definedName>
    <definedName name="f" hidden="1">{"PR1","pr1",TRUE,"Sch PR-1"}</definedName>
    <definedName name="factor0" localSheetId="1">#REF!</definedName>
    <definedName name="factor0">#REF!</definedName>
    <definedName name="factor1" localSheetId="1">#REF!</definedName>
    <definedName name="factor1">#REF!</definedName>
    <definedName name="factor2" localSheetId="1">#REF!</definedName>
    <definedName name="factor2">#REF!</definedName>
    <definedName name="fasdfs" localSheetId="2" hidden="1">{#N/A,#N/A,FALSE,"Aging Summary";#N/A,#N/A,FALSE,"Ratio Analysis";#N/A,#N/A,FALSE,"Test 120 Day Accts";#N/A,#N/A,FALSE,"Tickmarks"}</definedName>
    <definedName name="fasdfs" hidden="1">{#N/A,#N/A,FALSE,"Aging Summary";#N/A,#N/A,FALSE,"Ratio Analysis";#N/A,#N/A,FALSE,"Test 120 Day Accts";#N/A,#N/A,FALSE,"Tickmarks"}</definedName>
    <definedName name="fax" localSheetId="1">#REF!</definedName>
    <definedName name="fax">#REF!</definedName>
    <definedName name="Fcst3" localSheetId="1">'[23]P Variances'!#REF!</definedName>
    <definedName name="Fcst3">'[23]P Variances'!#REF!</definedName>
    <definedName name="Fcst3_YTD" localSheetId="1">'[23]P Variances'!#REF!</definedName>
    <definedName name="Fcst3_YTD">'[23]P Variances'!#REF!</definedName>
    <definedName name="Fcst5" localSheetId="1">'[23]P Variances'!#REF!</definedName>
    <definedName name="Fcst5">'[23]P Variances'!#REF!</definedName>
    <definedName name="Fcst5_YTD" localSheetId="1">'[23]P Variances'!#REF!</definedName>
    <definedName name="Fcst5_YTD">'[23]P Variances'!#REF!</definedName>
    <definedName name="Fcst7">'[23]P Variances'!#REF!</definedName>
    <definedName name="Fcst7_YTD">'[23]P Variances'!#REF!</definedName>
    <definedName name="Fcst9">'[23]P Variances'!#REF!</definedName>
    <definedName name="Fcst9_YTD">'[23]P Variances'!#REF!</definedName>
    <definedName name="feb_bus" localSheetId="1">#REF!</definedName>
    <definedName name="feb_bus">#REF!</definedName>
    <definedName name="Ford" localSheetId="1">#REF!</definedName>
    <definedName name="Ford">#REF!</definedName>
    <definedName name="Ford_sum" localSheetId="1">#REF!</definedName>
    <definedName name="Ford_sum">#REF!</definedName>
    <definedName name="fy" localSheetId="1">#REF!</definedName>
    <definedName name="fy">#REF!</definedName>
    <definedName name="gf" hidden="1">1000</definedName>
    <definedName name="GM" localSheetId="1">#REF!</definedName>
    <definedName name="GM">#REF!</definedName>
    <definedName name="GM_sum" localSheetId="1">#REF!</definedName>
    <definedName name="GM_sum">#REF!</definedName>
    <definedName name="graphs" localSheetId="1">'[24]earnings-model'!#REF!</definedName>
    <definedName name="graphs">'[25]earnings-model'!#REF!</definedName>
    <definedName name="GTMGAL" localSheetId="1">#REF!</definedName>
    <definedName name="GTMGAL">#REF!</definedName>
    <definedName name="handout" localSheetId="1">#REF!</definedName>
    <definedName name="handout">#REF!</definedName>
    <definedName name="Historical" localSheetId="1">#REF!</definedName>
    <definedName name="Historical">#REF!</definedName>
    <definedName name="Historicalcashflows" localSheetId="1">#REF!</definedName>
    <definedName name="Historicalcashflows">#REF!</definedName>
    <definedName name="Impressão">#N/A</definedName>
    <definedName name="IN" localSheetId="1" hidden="1">{#N/A,#N/A,FALSE,"CTLPUR";#N/A,#N/A,FALSE,"CTLMFG";#N/A,#N/A,FALSE,"CTLIRON";#N/A,#N/A,FALSE,"gingdpln";#N/A,#N/A,FALSE,"CTLSTEEL";#N/A,#N/A,FALSE,"sbtngdpln"}</definedName>
    <definedName name="IN" localSheetId="2" hidden="1">{#N/A,#N/A,FALSE,"CTLPUR";#N/A,#N/A,FALSE,"CTLMFG";#N/A,#N/A,FALSE,"CTLIRON";#N/A,#N/A,FALSE,"gingdpln";#N/A,#N/A,FALSE,"CTLSTEEL";#N/A,#N/A,FALSE,"sbtngdpln"}</definedName>
    <definedName name="IN" hidden="1">{#N/A,#N/A,FALSE,"CTLPUR";#N/A,#N/A,FALSE,"CTLMFG";#N/A,#N/A,FALSE,"CTLIRON";#N/A,#N/A,FALSE,"gingdpln";#N/A,#N/A,FALSE,"CTLSTEEL";#N/A,#N/A,FALSE,"sbtngdpln"}</definedName>
    <definedName name="industry_">#REF!</definedName>
    <definedName name="industry_curr_actual" localSheetId="1">#REF!</definedName>
    <definedName name="industry_curr_actual">#REF!</definedName>
    <definedName name="industry_curr_fcst" localSheetId="1">#REF!</definedName>
    <definedName name="industry_curr_fcst">#REF!</definedName>
    <definedName name="industry_plan" localSheetId="1">#REF!</definedName>
    <definedName name="industry_plan">#REF!</definedName>
    <definedName name="industry_prior_2_actual" localSheetId="1">#REF!</definedName>
    <definedName name="industry_prior_2_actual">#REF!</definedName>
    <definedName name="industry_prior_actual" localSheetId="1">#REF!</definedName>
    <definedName name="industry_prior_actual">#REF!</definedName>
    <definedName name="industry_prior_fcst" localSheetId="1">#REF!</definedName>
    <definedName name="industry_prior_fcst">#REF!</definedName>
    <definedName name="industry_update" localSheetId="1">#REF!</definedName>
    <definedName name="industry_update">#REF!</definedName>
    <definedName name="INIT" localSheetId="1">#REF!</definedName>
    <definedName name="INIT">#REF!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 hidden="1">"c1349"</definedName>
    <definedName name="IQ_BV_SHARE" hidden="1">"c100"</definedName>
    <definedName name="IQ_BV_STDDEV_EST_REUT" hidden="1">"c5408"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IN_PROCESS_FDIC" hidden="1">"c6386"</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CE_FDIC" hidden="1">"c6296"</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VERAGE_NET_CHARGE_OFFS_FDIC" hidden="1">"c6735"</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FFO_REUT" hidden="1">"c3843"</definedName>
    <definedName name="IQ_EST_ACT_FFO_SHARE_SHARE_REUT" hidden="1">"c3843"</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BV_DIFF_REUT" hidden="1">"c5433"</definedName>
    <definedName name="IQ_EST_BV_SURPRISE_PERCENT_REUT" hidden="1">"c5434"</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DIFF_REUT" hidden="1">"c3890"</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HARE_SHARE_DIFF_REUT" hidden="1">"c3890"</definedName>
    <definedName name="IQ_EST_FFO_SHARE_SHARE_SURPRISE_PERCENT_REUT" hidden="1">"c3891"</definedName>
    <definedName name="IQ_EST_FFO_SURPRISE_PERCENT" hidden="1">"c1870"</definedName>
    <definedName name="IQ_EST_FFO_SURPRISE_PERCENT_REUT" hidden="1">"c3891"</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BUY_REUT" hidden="1">"c3869"</definedName>
    <definedName name="IQ_EST_NUM_HOLD" hidden="1">"c1761"</definedName>
    <definedName name="IQ_EST_NUM_HOLD_REUT" hidden="1">"c3871"</definedName>
    <definedName name="IQ_EST_NUM_NO_OPINION" hidden="1">"c1758"</definedName>
    <definedName name="IQ_EST_NUM_OUTPERFORM" hidden="1">"c1760"</definedName>
    <definedName name="IQ_EST_NUM_OUTPERFORM_REUT" hidden="1">"c3870"</definedName>
    <definedName name="IQ_EST_NUM_SELL" hidden="1">"c1763"</definedName>
    <definedName name="IQ_EST_NUM_SELL_REUT" hidden="1">"c3873"</definedName>
    <definedName name="IQ_EST_NUM_UNDERPERFORM" hidden="1">"c1762"</definedName>
    <definedName name="IQ_EST_NUM_UNDERPERFORM_REUT" hidden="1">"c3872"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EST" hidden="1">"c418"</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DATE" hidden="1">"c12212"</definedName>
    <definedName name="IQ_FFO_EST_DET_EST_DATE_CIQ" hidden="1">"c12267"</definedName>
    <definedName name="IQ_FFO_EST_DET_EST_DATE_REUT" hidden="1">"c12295"</definedName>
    <definedName name="IQ_FFO_EST_DET_EST_INCL" hidden="1">"c12349"</definedName>
    <definedName name="IQ_FFO_EST_DET_EST_INCL_CIQ" hidden="1">"c12395"</definedName>
    <definedName name="IQ_FFO_EST_DET_EST_INCL_REUT" hidden="1">"c12419"</definedName>
    <definedName name="IQ_FFO_EST_DET_EST_ORIGIN" hidden="1">"c12722"</definedName>
    <definedName name="IQ_FFO_EST_DET_EST_ORIGIN_CIQ" hidden="1">"c12720"</definedName>
    <definedName name="IQ_FFO_EST_DET_EST_ORIGIN_REUT" hidden="1">"c12724"</definedName>
    <definedName name="IQ_FFO_EST_DET_EST_REUT" hidden="1">"c12153"</definedName>
    <definedName name="IQ_FFO_EST_REUT" hidden="1">"c3837"</definedName>
    <definedName name="IQ_FFO_HIGH_EST" hidden="1">"c419"</definedName>
    <definedName name="IQ_FFO_HIGH_EST_REUT" hidden="1">"c3839"</definedName>
    <definedName name="IQ_FFO_LOW_EST" hidden="1">"c420"</definedName>
    <definedName name="IQ_FFO_LOW_EST_REUT" hidden="1">"c3840"</definedName>
    <definedName name="IQ_FFO_MEDIAN_EST" hidden="1">"c1665"</definedName>
    <definedName name="IQ_FFO_MEDIAN_EST_REUT" hidden="1">"c3838"</definedName>
    <definedName name="IQ_FFO_NUM_EST" hidden="1">"c421"</definedName>
    <definedName name="IQ_FFO_NUM_EST_REUT" hidden="1">"c3841"</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CURRENCY_REUT" hidden="1">"c12536"</definedName>
    <definedName name="IQ_FFO_SHARE_SHARE_EST_DET_EST_DATE" hidden="1">"c12212"</definedName>
    <definedName name="IQ_FFO_SHARE_SHARE_EST_DET_EST_DATE_CIQ" hidden="1">"c12267"</definedName>
    <definedName name="IQ_FFO_SHARE_SHARE_EST_DET_EST_DATE_REUT" hidden="1">"c12295"</definedName>
    <definedName name="IQ_FFO_SHARE_SHARE_EST_DET_EST_INCL" hidden="1">"c12349"</definedName>
    <definedName name="IQ_FFO_SHARE_SHARE_EST_DET_EST_INCL_CIQ" hidden="1">"c12395"</definedName>
    <definedName name="IQ_FFO_SHARE_SHARE_EST_DET_EST_INCL_REUT" hidden="1">"c12419"</definedName>
    <definedName name="IQ_FFO_SHARE_SHARE_EST_DET_EST_ORIGIN" hidden="1">"c12722"</definedName>
    <definedName name="IQ_FFO_SHARE_SHARE_EST_DET_EST_ORIGIN_CIQ" hidden="1">"c12720"</definedName>
    <definedName name="IQ_FFO_SHARE_SHARE_EST_DET_EST_ORIGIN_REUT" hidden="1">"c12724"</definedName>
    <definedName name="IQ_FFO_SHARE_SHARE_EST_DET_EST_REUT" hidden="1">"c12153"</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TDDEV_EST" hidden="1">"c422"</definedName>
    <definedName name="IQ_FFO_STDDEV_EST_REUT" hidden="1">"c3842"</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IGH_TARGET_PRICE" hidden="1">"c1651"</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1" hidden="1">41309.4913657407</definedName>
    <definedName name="IQ_NAMES_REVISION_DATE_" hidden="1">41045.702337963</definedName>
    <definedName name="IQ_NAMES_REVISION_DATE__1" hidden="1">40248.5962962963</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DAY" hidden="1">"c1822"</definedName>
    <definedName name="IQ_PERCENT_CHANGE_EST_FFO_DAY_CIQ" hidden="1">"c3764"</definedName>
    <definedName name="IQ_PERCENT_CHANGE_EST_FFO_DAY_REUT" hidden="1">"c3933"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39170.5951967593</definedName>
    <definedName name="IQ_REVOLVING_SECURED_1_4_NON_ACCRUAL_FFIEC" hidden="1">"c13314"</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A1" hidden="1">"$A$2:$A$1491"</definedName>
    <definedName name="IQRB1" hidden="1">"$B$2:$B$1491"</definedName>
    <definedName name="IQRB5" hidden="1">"$B$6:$B$1495"</definedName>
    <definedName name="IQRC5" hidden="1">"$C$6:$C$1495"</definedName>
    <definedName name="iQShowHideColumns" hidden="1">"iQShowAll"</definedName>
    <definedName name="jan_bus">#REF!</definedName>
    <definedName name="jul_bus" localSheetId="1">#REF!</definedName>
    <definedName name="jul_bus">#REF!</definedName>
    <definedName name="jun_bus" localSheetId="1">#REF!</definedName>
    <definedName name="jun_bus">#REF!</definedName>
    <definedName name="Labor" localSheetId="1">[23]MMH!#REF!</definedName>
    <definedName name="Labor">[23]MMH!#REF!</definedName>
    <definedName name="LastListUpdate">0</definedName>
    <definedName name="lkjf" localSheetId="1">#REF!</definedName>
    <definedName name="lkjf">#REF!</definedName>
    <definedName name="Logs">[26]HISTRY!$D$322:$DN$324</definedName>
    <definedName name="lzsum">'[27]L-Z'!$A$319:$FE$379</definedName>
    <definedName name="Macro1" localSheetId="1">#REF!</definedName>
    <definedName name="Macro1">#REF!</definedName>
    <definedName name="Macro2" localSheetId="1">#REF!</definedName>
    <definedName name="Macro2">#REF!</definedName>
    <definedName name="Manualdatechange">[12]!Manualdatechange</definedName>
    <definedName name="mar_bus" localSheetId="1">#REF!</definedName>
    <definedName name="mar_bus">#REF!</definedName>
    <definedName name="market_curr_actual" localSheetId="1">#REF!</definedName>
    <definedName name="market_curr_actual">#REF!</definedName>
    <definedName name="market_curr_fcst" localSheetId="1">#REF!</definedName>
    <definedName name="market_curr_fcst">#REF!</definedName>
    <definedName name="market_plan" localSheetId="1">#REF!</definedName>
    <definedName name="market_plan">#REF!</definedName>
    <definedName name="market_prior_2_actual" localSheetId="1">#REF!</definedName>
    <definedName name="market_prior_2_actual">#REF!</definedName>
    <definedName name="market_prior_actual" localSheetId="1">#REF!</definedName>
    <definedName name="market_prior_actual">#REF!</definedName>
    <definedName name="market_prior_fcst" localSheetId="1">#REF!</definedName>
    <definedName name="market_prior_fcst">#REF!</definedName>
    <definedName name="market_update" localSheetId="1">#REF!</definedName>
    <definedName name="market_update">#REF!</definedName>
    <definedName name="Marketing" localSheetId="1">[28]Sheet1!$AY$3:$BJ$66</definedName>
    <definedName name="Marketing">[28]Sheet1!$AY$3:$BJ$66</definedName>
    <definedName name="may_bus" localSheetId="1">#REF!</definedName>
    <definedName name="may_bus">#REF!</definedName>
    <definedName name="Merger_View_Calendarized_EM" localSheetId="1">#REF!</definedName>
    <definedName name="Merger_View_Calendarized_EM">#REF!</definedName>
    <definedName name="Merger_View_Fiscal_EM" localSheetId="1">#REF!</definedName>
    <definedName name="Merger_View_Fiscal_EM">#REF!</definedName>
    <definedName name="mktg" localSheetId="1">#REF!</definedName>
    <definedName name="mktg">#REF!</definedName>
    <definedName name="Month_Upload" localSheetId="1">#REF!</definedName>
    <definedName name="Month_Upload">#REF!</definedName>
    <definedName name="Monthly_Machinery_Data" localSheetId="1">'[24]earnings-model'!#REF!</definedName>
    <definedName name="Monthly_Machinery_Data">'[25]earnings-model'!#REF!</definedName>
    <definedName name="Months" localSheetId="1">#REF!</definedName>
    <definedName name="Months">#REF!</definedName>
    <definedName name="Months1" localSheetId="1">#REF!</definedName>
    <definedName name="Months1">#REF!</definedName>
    <definedName name="mrketing_graphs" localSheetId="1">#REF!</definedName>
    <definedName name="mrketing_graphs">#REF!</definedName>
    <definedName name="multSecurities_L">[29]MultipleSecurities!$A$2:$A$17</definedName>
    <definedName name="n" localSheetId="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n" localSheetId="2"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n"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N_A">[30]model!#REF!</definedName>
    <definedName name="NAME" localSheetId="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NAME" localSheetId="2"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NAME"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NATOTTRK">#REF!</definedName>
    <definedName name="Navistar_qtly_sls" localSheetId="1">#REF!</definedName>
    <definedName name="Navistar_qtly_sls">#REF!</definedName>
    <definedName name="NBK" localSheetId="1">#REF!</definedName>
    <definedName name="NBK">#REF!</definedName>
    <definedName name="nd" localSheetId="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nd" localSheetId="2"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nd"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Net_Sales">'[9]earnings-model'!$C$11</definedName>
    <definedName name="newname" localSheetId="1" hidden="1">{#N/A,#N/A,FALSE,"SUR97";#N/A,#N/A,FALSE,"OBS97";#N/A,#N/A,FALSE,"MRO";#N/A,#N/A,FALSE,"hfsdlt"}</definedName>
    <definedName name="newname" localSheetId="2" hidden="1">{#N/A,#N/A,FALSE,"SUR97";#N/A,#N/A,FALSE,"OBS97";#N/A,#N/A,FALSE,"MRO";#N/A,#N/A,FALSE,"hfsdlt"}</definedName>
    <definedName name="newname" hidden="1">{#N/A,#N/A,FALSE,"SUR97";#N/A,#N/A,FALSE,"OBS97";#N/A,#N/A,FALSE,"MRO";#N/A,#N/A,FALSE,"hfsdlt"}</definedName>
    <definedName name="NEWWEEK">[31]!NEWWEEK</definedName>
    <definedName name="no" localSheetId="2" hidden="1">{"PR1","pr1",TRUE,"Sch PR-1"}</definedName>
    <definedName name="no" hidden="1">{"PR1","pr1",TRUE,"Sch PR-1"}</definedName>
    <definedName name="nov_bus" localSheetId="1">#REF!</definedName>
    <definedName name="nov_bus">#REF!</definedName>
    <definedName name="oct_bus" localSheetId="1">#REF!</definedName>
    <definedName name="oct_bus">#REF!</definedName>
    <definedName name="OP_GTM" localSheetId="1">#REF!</definedName>
    <definedName name="OP_GTM">#REF!</definedName>
    <definedName name="p" localSheetId="1">#REF!</definedName>
    <definedName name="p">#REF!</definedName>
    <definedName name="page" localSheetId="1">#REF!</definedName>
    <definedName name="page">#REF!</definedName>
    <definedName name="Page_03" localSheetId="1">#REF!</definedName>
    <definedName name="Page_03">#REF!</definedName>
    <definedName name="Page_04" localSheetId="1">#REF!</definedName>
    <definedName name="Page_04">#REF!</definedName>
    <definedName name="Page_05" localSheetId="1">#REF!</definedName>
    <definedName name="Page_05">#REF!</definedName>
    <definedName name="Page_06" localSheetId="1">#REF!</definedName>
    <definedName name="Page_06">#REF!</definedName>
    <definedName name="Page_07" localSheetId="1">#REF!</definedName>
    <definedName name="Page_07">#REF!</definedName>
    <definedName name="Page_08" localSheetId="1">#REF!</definedName>
    <definedName name="Page_08">#REF!</definedName>
    <definedName name="Page_09" localSheetId="1">#REF!</definedName>
    <definedName name="Page_09">#REF!</definedName>
    <definedName name="Page_10" localSheetId="1">#REF!</definedName>
    <definedName name="Page_10">#REF!</definedName>
    <definedName name="Page_11" localSheetId="1">#REF!</definedName>
    <definedName name="Page_11">#REF!</definedName>
    <definedName name="Page_12" localSheetId="1">#REF!</definedName>
    <definedName name="Page_12">#REF!</definedName>
    <definedName name="Page_13" localSheetId="1">#REF!</definedName>
    <definedName name="Page_13">#REF!</definedName>
    <definedName name="page_4" localSheetId="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page_4" localSheetId="2"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page_4"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page13" localSheetId="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page13" localSheetId="2"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page13"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Page4" localSheetId="1">[28]Sheet1!$AY$3:$BK$58</definedName>
    <definedName name="Page4">[28]Sheet1!$AY$3:$BK$58</definedName>
    <definedName name="Page5" localSheetId="1">[28]Sheet1!$BO$9:$BX$64</definedName>
    <definedName name="Page5">[28]Sheet1!$BO$9:$BX$64</definedName>
    <definedName name="parts" localSheetId="1">#REF!</definedName>
    <definedName name="parts">#REF!</definedName>
    <definedName name="PEs" localSheetId="1">#REF!</definedName>
    <definedName name="PEs">#REF!</definedName>
    <definedName name="pg" localSheetId="1">#REF!</definedName>
    <definedName name="pg">#REF!</definedName>
    <definedName name="Print" localSheetId="1">#REF!</definedName>
    <definedName name="Print">#REF!</definedName>
    <definedName name="Print_Area_MI" localSheetId="1">#REF!</definedName>
    <definedName name="Print_Area_MI">#REF!</definedName>
    <definedName name="Print_Area_MI1" localSheetId="1">#REF!</definedName>
    <definedName name="Print_Area_MI1">#REF!</definedName>
    <definedName name="Print_Titles_MI">[32]NUMX.XLS!$A$2:$IV$8,[32]NUMX.XLS!$A$1:$B$65536</definedName>
    <definedName name="Print1" localSheetId="1">#REF!</definedName>
    <definedName name="Print1">#REF!</definedName>
    <definedName name="PrintData">[1]NUMX.XLS!$B$177:$AW$225</definedName>
    <definedName name="Printer" localSheetId="1">#REF!</definedName>
    <definedName name="Printer">#REF!</definedName>
    <definedName name="PRTALL" localSheetId="1">#REF!</definedName>
    <definedName name="PRTALL">#REF!</definedName>
    <definedName name="PRTEMP" localSheetId="1">#REF!</definedName>
    <definedName name="PRTEMP">#REF!</definedName>
    <definedName name="PRTEXP" localSheetId="1">#REF!</definedName>
    <definedName name="PRTEXP">#REF!</definedName>
    <definedName name="PRTFRTCG" localSheetId="1">#REF!</definedName>
    <definedName name="PRTFRTCG">#REF!</definedName>
    <definedName name="PRTGTMGL" localSheetId="1">#REF!</definedName>
    <definedName name="PRTGTMGL">#REF!</definedName>
    <definedName name="PRTOPGTM" localSheetId="1">#REF!</definedName>
    <definedName name="PRTOPGTM">#REF!</definedName>
    <definedName name="PRTREV" localSheetId="1">#REF!</definedName>
    <definedName name="PRTREV">#REF!</definedName>
    <definedName name="PRTUNITS" localSheetId="1">#REF!</definedName>
    <definedName name="PRTUNITS">#REF!</definedName>
    <definedName name="pt">'[4]Inventory 4'!$A$1:$F$60</definedName>
    <definedName name="pts" localSheetId="1">#REF!</definedName>
    <definedName name="pts">#REF!</definedName>
    <definedName name="ptss">'[33]Market Share 8'!$M$3</definedName>
    <definedName name="ptssss">'[33]Market Share 9'!$A$1:$P$68</definedName>
    <definedName name="quarterlybalancesheet">[34]model!$CX$232:$DI$298</definedName>
    <definedName name="quarterlycashflow">[34]model!$CX$185:$DI$231</definedName>
    <definedName name="Quarters1" localSheetId="1">#REF!</definedName>
    <definedName name="Quarters1">#REF!</definedName>
    <definedName name="Quarters2" localSheetId="1">#REF!</definedName>
    <definedName name="Quarters2">#REF!</definedName>
    <definedName name="_xlnm.Recorder" localSheetId="1">#REF!</definedName>
    <definedName name="_xlnm.Recorder">#REF!</definedName>
    <definedName name="regional" localSheetId="1">'[35]earnings-model'!#REF!</definedName>
    <definedName name="regional">'[35]earnings-model'!#REF!</definedName>
    <definedName name="retail_curr_actual" localSheetId="1">#REF!</definedName>
    <definedName name="retail_curr_actual">#REF!</definedName>
    <definedName name="retail_curr_fcst" localSheetId="1">#REF!</definedName>
    <definedName name="retail_curr_fcst">#REF!</definedName>
    <definedName name="retail_plan" localSheetId="1">#REF!</definedName>
    <definedName name="retail_plan">#REF!</definedName>
    <definedName name="retail_prior_2_actual" localSheetId="1">#REF!</definedName>
    <definedName name="retail_prior_2_actual">#REF!</definedName>
    <definedName name="retail_prior_actual" localSheetId="1">#REF!</definedName>
    <definedName name="retail_prior_actual">#REF!</definedName>
    <definedName name="retail_prior_fcst" localSheetId="1">#REF!</definedName>
    <definedName name="retail_prior_fcst">#REF!</definedName>
    <definedName name="retail_update" localSheetId="1">#REF!</definedName>
    <definedName name="retail_update">#REF!</definedName>
    <definedName name="REV" localSheetId="1">#REF!</definedName>
    <definedName name="REV">#REF!</definedName>
    <definedName name="RGA" localSheetId="1">#REF!</definedName>
    <definedName name="RGA">#REF!</definedName>
    <definedName name="RMCOptions">"*000000000000000"</definedName>
    <definedName name="Rwvu.flightpack." localSheetId="1" hidden="1">#REF!,#REF!</definedName>
    <definedName name="Rwvu.flightpack." hidden="1">#REF!,#REF!</definedName>
    <definedName name="s" localSheetId="2" hidden="1">{"PR1","pr1",TRUE,"Sch PR-1"}</definedName>
    <definedName name="s" hidden="1">{"PR1","pr1",TRUE,"Sch PR-1"}</definedName>
    <definedName name="sahil" localSheetId="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sahil" localSheetId="2"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sahil"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salesgrowth07">'[11]earnings-model'!$AG$12</definedName>
    <definedName name="sdf" localSheetId="2" hidden="1">{"EuropeOdd",#N/A,FALSE,"Europe";"FIATEven",#N/A,FALSE,"FIAT Even";"FIATOdd",#N/A,FALSE,"FIAT Odd";"MclEven",#N/A,FALSE,"Michelin Even";"MclOdd",#N/A,FALSE,"Michelin Odd";"PSAEven",#N/A,FALSE,"PSA Even";"PSAOdd",#N/A,FALSE,"PSA Odd";"RenEven",#N/A,FALSE,"Renault Even";"RenOdd",#N/A,FALSE,"Renault Odd";"ValEven",#N/A,FALSE,"Valeo Even";"ValOdd",#N/A,FALSE,"Valeo Odd";"VWEven",#N/A,FALSE,"VW Even";"VWOdd",#N/A,FALSE,"VW Odd"}</definedName>
    <definedName name="sdf" hidden="1">{"EuropeOdd",#N/A,FALSE,"Europe";"FIATEven",#N/A,FALSE,"FIAT Even";"FIATOdd",#N/A,FALSE,"FIAT Odd";"MclEven",#N/A,FALSE,"Michelin Even";"MclOdd",#N/A,FALSE,"Michelin Odd";"PSAEven",#N/A,FALSE,"PSA Even";"PSAOdd",#N/A,FALSE,"PSA Odd";"RenEven",#N/A,FALSE,"Renault Even";"RenOdd",#N/A,FALSE,"Renault Odd";"ValEven",#N/A,FALSE,"Valeo Even";"ValOdd",#N/A,FALSE,"Valeo Odd";"VWEven",#N/A,FALSE,"VW Even";"VWOdd",#N/A,FALSE,"VW Odd"}</definedName>
    <definedName name="sdsds" localSheetId="2" hidden="1">{"PR1","pr1",TRUE,"Sch PR-1"}</definedName>
    <definedName name="sdsds" hidden="1">{"PR1","pr1",TRUE,"Sch PR-1"}</definedName>
    <definedName name="sep_bus" localSheetId="1">#REF!</definedName>
    <definedName name="sep_bus">#REF!</definedName>
    <definedName name="smj">'[36]FCST 9'!$F$6:$Q$229</definedName>
    <definedName name="sojo" localSheetId="1">#REF!</definedName>
    <definedName name="sojo">#REF!</definedName>
    <definedName name="solver_adj" localSheetId="1" hidden="1">[37]EM!#REF!</definedName>
    <definedName name="solver_adj" hidden="1">[37]EM!#REF!</definedName>
    <definedName name="solver_cvg" hidden="1">0.0001</definedName>
    <definedName name="solver_drv" hidden="1">1</definedName>
    <definedName name="solver_est" hidden="1">1</definedName>
    <definedName name="solver_itr" hidden="1">100</definedName>
    <definedName name="solver_lhs1" hidden="1">#REF!</definedName>
    <definedName name="solver_lhs10" hidden="1">#REF!</definedName>
    <definedName name="solver_lhs11" hidden="1">#REF!</definedName>
    <definedName name="solver_lhs2" hidden="1">#REF!</definedName>
    <definedName name="solver_lhs3" hidden="1">#REF!</definedName>
    <definedName name="solver_lhs4" hidden="1">#REF!</definedName>
    <definedName name="solver_lhs5" hidden="1">#REF!</definedName>
    <definedName name="solver_lhs6" hidden="1">#REF!</definedName>
    <definedName name="solver_lhs7" hidden="1">#REF!</definedName>
    <definedName name="solver_lhs8" hidden="1">#REF!</definedName>
    <definedName name="solver_lhs9" hidden="1">#REF!</definedName>
    <definedName name="solver_lin" hidden="1">0</definedName>
    <definedName name="solver_neg" hidden="1">2</definedName>
    <definedName name="solver_num" hidden="1">0</definedName>
    <definedName name="solver_nwt" hidden="1">1</definedName>
    <definedName name="solver_opt" localSheetId="1" hidden="1">#REF!</definedName>
    <definedName name="solver_opt" hidden="1">#REF!</definedName>
    <definedName name="solver_pre" hidden="1">0.000001</definedName>
    <definedName name="solver_rel1" hidden="1">2</definedName>
    <definedName name="solver_rel10" hidden="1">1</definedName>
    <definedName name="solver_rel11" hidden="1">3</definedName>
    <definedName name="solver_rel2" hidden="1">2</definedName>
    <definedName name="solver_rel3" hidden="1">2</definedName>
    <definedName name="solver_rel4" hidden="1">2</definedName>
    <definedName name="solver_rel5" hidden="1">1</definedName>
    <definedName name="solver_rel6" hidden="1">3</definedName>
    <definedName name="solver_rel7" hidden="1">2</definedName>
    <definedName name="solver_rel8" hidden="1">1</definedName>
    <definedName name="solver_rel9" hidden="1">3</definedName>
    <definedName name="solver_rhs1" hidden="1">#REF!</definedName>
    <definedName name="solver_rhs10" hidden="1">#REF!</definedName>
    <definedName name="solver_rhs11" hidden="1">#REF!</definedName>
    <definedName name="solver_rhs2" hidden="1">#REF!</definedName>
    <definedName name="solver_rhs3" hidden="1">#REF!</definedName>
    <definedName name="solver_rhs4" hidden="1">#REF!</definedName>
    <definedName name="solver_rhs5" hidden="1">#REF!</definedName>
    <definedName name="solver_rhs6" hidden="1">#REF!</definedName>
    <definedName name="solver_rhs7" hidden="1">#REF!</definedName>
    <definedName name="solver_rhs8" hidden="1">#REF!</definedName>
    <definedName name="solver_rhs9" hidden="1">#REF!</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3729</definedName>
    <definedName name="sonja" localSheetId="1">#REF!</definedName>
    <definedName name="sonja">#REF!</definedName>
    <definedName name="sssssss" localSheetId="2" hidden="1">{"PR1","pr1",TRUE,"Sch PR-1"}</definedName>
    <definedName name="sssssss" hidden="1">{"PR1","pr1",TRUE,"Sch PR-1"}</definedName>
    <definedName name="ST_Rel_Perf">[26]HISTRY!$BZ$124</definedName>
    <definedName name="StockPerformance">[15]Marketing!$Q$4:$Y$51</definedName>
    <definedName name="ston97">[17]Sheet4!#REF!</definedName>
    <definedName name="Swvu._Current_." localSheetId="1" hidden="1">#REF!</definedName>
    <definedName name="Swvu._Current_." hidden="1">#REF!</definedName>
    <definedName name="Swvu.FIATOdd." localSheetId="1" hidden="1">#REF!</definedName>
    <definedName name="Swvu.FIATOdd." hidden="1">#REF!</definedName>
    <definedName name="Swvu.flightpack." localSheetId="1" hidden="1">#REF!</definedName>
    <definedName name="Swvu.flightpack." hidden="1">#REF!</definedName>
    <definedName name="TBD" localSheetId="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TBD" localSheetId="2"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TBD"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ticker">OFFSET('[38]Exclusion List'!$A$1,1,0,COUNTA('[38]Exclusion List'!$A$1:$A$65536)-1,1)</definedName>
    <definedName name="top" localSheetId="1">#REF!</definedName>
    <definedName name="top">#REF!</definedName>
    <definedName name="tope" localSheetId="1">#REF!</definedName>
    <definedName name="tope">#REF!</definedName>
    <definedName name="TOTOE" localSheetId="1">#REF!</definedName>
    <definedName name="TOTOE">#REF!</definedName>
    <definedName name="truck_graphs">[1]NUMX.XLS!$BY$30:$CE$83</definedName>
    <definedName name="trucks" localSheetId="1">#REF!</definedName>
    <definedName name="trucks">#REF!</definedName>
    <definedName name="uku" localSheetId="1" hidden="1">#REF!</definedName>
    <definedName name="uku" hidden="1">#REF!</definedName>
    <definedName name="UNITS" localSheetId="1">#REF!</definedName>
    <definedName name="UNITS">#REF!</definedName>
    <definedName name="v" localSheetId="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v" localSheetId="2"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v"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VersusGE">[15]Marketing!$AP$4:$AZ$50</definedName>
    <definedName name="W" localSheetId="1" hidden="1">{#N/A,#N/A,FALSE,"SUR97";#N/A,#N/A,FALSE,"OBS97";#N/A,#N/A,FALSE,"MRO";#N/A,#N/A,FALSE,"hfsdlt"}</definedName>
    <definedName name="W" localSheetId="2" hidden="1">{#N/A,#N/A,FALSE,"SUR97";#N/A,#N/A,FALSE,"OBS97";#N/A,#N/A,FALSE,"MRO";#N/A,#N/A,FALSE,"hfsdlt"}</definedName>
    <definedName name="W" hidden="1">{#N/A,#N/A,FALSE,"SUR97";#N/A,#N/A,FALSE,"OBS97";#N/A,#N/A,FALSE,"MRO";#N/A,#N/A,FALSE,"hfsdlt"}</definedName>
    <definedName name="WHAT">#REF!</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FARES." localSheetId="1" hidden="1">{"fares",#N/A,FALSE;"comparison",#N/A,FALSE;"graphs",#N/A,FALSE}</definedName>
    <definedName name="wrn.FARES." localSheetId="2" hidden="1">{"fares",#N/A,FALSE;"comparison",#N/A,FALSE;"graphs",#N/A,FALSE}</definedName>
    <definedName name="wrn.FARES." hidden="1">{"fares",#N/A,FALSE;"comparison",#N/A,FALSE;"graphs",#N/A,FALSE}</definedName>
    <definedName name="wrn.Model." localSheetId="1" hidden="1">{"EM",#N/A,FALSE,"EM";"EM_Quarters",#N/A,FALSE,"EM";"BS",#N/A,FALSE,"BS";"CF",#N/A,FALSE,"CF"}</definedName>
    <definedName name="wrn.Model." localSheetId="2" hidden="1">{"EM",#N/A,FALSE,"EM";"EM_Quarters",#N/A,FALSE,"EM";"BS",#N/A,FALSE,"BS";"CF",#N/A,FALSE,"CF"}</definedName>
    <definedName name="wrn.Model." hidden="1">{"EM",#N/A,FALSE,"EM";"EM_Quarters",#N/A,FALSE,"EM";"BS",#N/A,FALSE,"BS";"CF",#N/A,FALSE,"CF"}</definedName>
    <definedName name="wrn.PLAN._.INVENTORY." localSheetId="1" hidden="1">{#N/A,#N/A,FALSE,"INV1995";#N/A,#N/A,FALSE,"INVACCTG";#N/A,#N/A,FALSE,"OHINV";#N/A,#N/A,FALSE,"CTLPUR";#N/A,#N/A,FALSE,"CTLMFG";#N/A,#N/A,FALSE,"CTLIRON";#N/A,#N/A,FALSE,"gingdpln";#N/A,#N/A,FALSE,"gi73pln";#N/A,#N/A,FALSE,"CTLSTEEL";#N/A,#N/A,FALSE,"sbtngdpln";#N/A,#N/A,FALSE,"sbt73pln";#N/A,#N/A,FALSE,"MRO";#N/A,#N/A,FALSE,"SUR95";#N/A,#N/A,FALSE,"OBS95";#N/A,#N/A,FALSE,"hfsdlt";#N/A,#N/A,FALSE,"LINETHD";#N/A,#N/A,FALSE,"coppln"}</definedName>
    <definedName name="wrn.PLAN._.INVENTORY." localSheetId="2" hidden="1">{#N/A,#N/A,FALSE,"INV1995";#N/A,#N/A,FALSE,"INVACCTG";#N/A,#N/A,FALSE,"OHINV";#N/A,#N/A,FALSE,"CTLPUR";#N/A,#N/A,FALSE,"CTLMFG";#N/A,#N/A,FALSE,"CTLIRON";#N/A,#N/A,FALSE,"gingdpln";#N/A,#N/A,FALSE,"gi73pln";#N/A,#N/A,FALSE,"CTLSTEEL";#N/A,#N/A,FALSE,"sbtngdpln";#N/A,#N/A,FALSE,"sbt73pln";#N/A,#N/A,FALSE,"MRO";#N/A,#N/A,FALSE,"SUR95";#N/A,#N/A,FALSE,"OBS95";#N/A,#N/A,FALSE,"hfsdlt";#N/A,#N/A,FALSE,"LINETHD";#N/A,#N/A,FALSE,"coppln"}</definedName>
    <definedName name="wrn.PLAN._.INVENTORY." hidden="1">{#N/A,#N/A,FALSE,"INV1995";#N/A,#N/A,FALSE,"INVACCTG";#N/A,#N/A,FALSE,"OHINV";#N/A,#N/A,FALSE,"CTLPUR";#N/A,#N/A,FALSE,"CTLMFG";#N/A,#N/A,FALSE,"CTLIRON";#N/A,#N/A,FALSE,"gingdpln";#N/A,#N/A,FALSE,"gi73pln";#N/A,#N/A,FALSE,"CTLSTEEL";#N/A,#N/A,FALSE,"sbtngdpln";#N/A,#N/A,FALSE,"sbt73pln";#N/A,#N/A,FALSE,"MRO";#N/A,#N/A,FALSE,"SUR95";#N/A,#N/A,FALSE,"OBS95";#N/A,#N/A,FALSE,"hfsdlt";#N/A,#N/A,FALSE,"LINETHD";#N/A,#N/A,FALSE,"coppln"}</definedName>
    <definedName name="wrn.PLANINVENGS." localSheetId="1" hidden="1">{#N/A,#N/A,FALSE,"LINETHD";#N/A,#N/A,FALSE,"OHINV"}</definedName>
    <definedName name="wrn.PLANINVENGS." localSheetId="2" hidden="1">{#N/A,#N/A,FALSE,"LINETHD";#N/A,#N/A,FALSE,"OHINV"}</definedName>
    <definedName name="wrn.PLANINVENGS." hidden="1">{#N/A,#N/A,FALSE,"LINETHD";#N/A,#N/A,FALSE,"OHINV"}</definedName>
    <definedName name="wrn.PLANLOOSEPIECES." localSheetId="1" hidden="1">{#N/A,#N/A,FALSE,"CTLPUR";#N/A,#N/A,FALSE,"CTLMFG";#N/A,#N/A,FALSE,"CTLIRON";#N/A,#N/A,FALSE,"gingdpln";#N/A,#N/A,FALSE,"CTLSTEEL";#N/A,#N/A,FALSE,"sbtngdpln"}</definedName>
    <definedName name="wrn.PLANLOOSEPIECES." localSheetId="2" hidden="1">{#N/A,#N/A,FALSE,"CTLPUR";#N/A,#N/A,FALSE,"CTLMFG";#N/A,#N/A,FALSE,"CTLIRON";#N/A,#N/A,FALSE,"gingdpln";#N/A,#N/A,FALSE,"CTLSTEEL";#N/A,#N/A,FALSE,"sbtngdpln"}</definedName>
    <definedName name="wrn.PLANLOOSEPIECES." hidden="1">{#N/A,#N/A,FALSE,"CTLPUR";#N/A,#N/A,FALSE,"CTLMFG";#N/A,#N/A,FALSE,"CTLIRON";#N/A,#N/A,FALSE,"gingdpln";#N/A,#N/A,FALSE,"CTLSTEEL";#N/A,#N/A,FALSE,"sbtngdpln"}</definedName>
    <definedName name="wrn.PLANMISCINV." localSheetId="1" hidden="1">{#N/A,#N/A,FALSE,"SUR97";#N/A,#N/A,FALSE,"OBS97";#N/A,#N/A,FALSE,"MRO";#N/A,#N/A,FALSE,"hfsdlt"}</definedName>
    <definedName name="wrn.PLANMISCINV." localSheetId="2" hidden="1">{#N/A,#N/A,FALSE,"SUR97";#N/A,#N/A,FALSE,"OBS97";#N/A,#N/A,FALSE,"MRO";#N/A,#N/A,FALSE,"hfsdlt"}</definedName>
    <definedName name="wrn.PLANMISCINV." hidden="1">{#N/A,#N/A,FALSE,"SUR97";#N/A,#N/A,FALSE,"OBS97";#N/A,#N/A,FALSE,"MRO";#N/A,#N/A,FALSE,"hfsdlt"}</definedName>
    <definedName name="wrn.PublishPort." localSheetId="1" hidden="1">{"EuropeOdd",#N/A,FALSE,"Europe";"FIATEven",#N/A,FALSE,"FIAT Even";"FIATOdd",#N/A,FALSE,"FIAT Odd";"MclEven",#N/A,FALSE,"Michelin Even";"MclOdd",#N/A,FALSE,"Michelin Odd";"PSAEven",#N/A,FALSE,"PSA Even";"PSAOdd",#N/A,FALSE,"PSA Odd";"RenEven",#N/A,FALSE,"Renault Even";"RenOdd",#N/A,FALSE,"Renault Odd";"ValEven",#N/A,FALSE,"Valeo Even";"ValOdd",#N/A,FALSE,"Valeo Odd";"VWEven",#N/A,FALSE,"VW Even";"VWOdd",#N/A,FALSE,"VW Odd"}</definedName>
    <definedName name="wrn.PublishPort." localSheetId="2" hidden="1">{"EuropeOdd",#N/A,FALSE,"Europe";"FIATEven",#N/A,FALSE,"FIAT Even";"FIATOdd",#N/A,FALSE,"FIAT Odd";"MclEven",#N/A,FALSE,"Michelin Even";"MclOdd",#N/A,FALSE,"Michelin Odd";"PSAEven",#N/A,FALSE,"PSA Even";"PSAOdd",#N/A,FALSE,"PSA Odd";"RenEven",#N/A,FALSE,"Renault Even";"RenOdd",#N/A,FALSE,"Renault Odd";"ValEven",#N/A,FALSE,"Valeo Even";"ValOdd",#N/A,FALSE,"Valeo Odd";"VWEven",#N/A,FALSE,"VW Even";"VWOdd",#N/A,FALSE,"VW Odd"}</definedName>
    <definedName name="wrn.PublishPort." hidden="1">{"EuropeOdd",#N/A,FALSE,"Europe";"FIATEven",#N/A,FALSE,"FIAT Even";"FIATOdd",#N/A,FALSE,"FIAT Odd";"MclEven",#N/A,FALSE,"Michelin Even";"MclOdd",#N/A,FALSE,"Michelin Odd";"PSAEven",#N/A,FALSE,"PSA Even";"PSAOdd",#N/A,FALSE,"PSA Odd";"RenEven",#N/A,FALSE,"Renault Even";"RenOdd",#N/A,FALSE,"Renault Odd";"ValEven",#N/A,FALSE,"Valeo Even";"ValOdd",#N/A,FALSE,"Valeo Odd";"VWEven",#N/A,FALSE,"VW Even";"VWOdd",#N/A,FALSE,"VW Odd"}</definedName>
    <definedName name="wrn.Report_PR_1." localSheetId="2" hidden="1">{"PR1","pr1",TRUE,"Sch PR-1"}</definedName>
    <definedName name="wrn.Report_PR_1." hidden="1">{"PR1","pr1",TRUE,"Sch PR-1"}</definedName>
    <definedName name="wrn.TOP30PLAN." localSheetId="1" hidden="1">{#N/A,#N/A,FALSE,"action plans";#N/A,#N/A,FALSE,"INVTOP30";#N/A,#N/A,FALSE,"TOP30ACTUAL";#N/A,#N/A,FALSE,"TOPPART#"}</definedName>
    <definedName name="wrn.TOP30PLAN." localSheetId="2" hidden="1">{#N/A,#N/A,FALSE,"action plans";#N/A,#N/A,FALSE,"INVTOP30";#N/A,#N/A,FALSE,"TOP30ACTUAL";#N/A,#N/A,FALSE,"TOPPART#"}</definedName>
    <definedName name="wrn.TOP30PLAN." hidden="1">{#N/A,#N/A,FALSE,"action plans";#N/A,#N/A,FALSE,"INVTOP30";#N/A,#N/A,FALSE,"TOP30ACTUAL";#N/A,#N/A,FALSE,"TOPPART#"}</definedName>
    <definedName name="wrn.U.S.._.Monthly._.Autos." localSheetId="1"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wrn.U.S.._.Monthly._.Autos." localSheetId="2"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wrn.U.S.._.Monthly._.Autos." hidden="1">{#N/A,#N/A,FALSE,"SAAR 2";#N/A,#N/A,FALSE,"Inventory 3";#N/A,#N/A,FALSE,"Inventory 4";#N/A,#N/A,FALSE,"Market Share 5";#N/A,#N/A,FALSE,"Market Share 6";#N/A,#N/A,FALSE,"Market Share 7";#N/A,#N/A,FALSE,"New Product Trends 8";#N/A,#N/A,FALSE,"Economic Data 9";#N/A,#N/A,FALSE,"Incentives 10";#N/A,#N/A,FALSE,"Fleet Sales 11";#N/A,#N/A,FALSE,"Production 12";#N/A,#N/A,FALSE,"Capacity 13";#N/A,#N/A,FALSE,"Price 14";#N/A,#N/A,FALSE,"Valuation 15"}</definedName>
    <definedName name="wvu._Current_." localSheetId="1" hidden="1">{TRUE,TRUE,-0.8,-17,618,378,FALSE,FALSE,TRUE,TRUE,0,2,#N/A,1,#N/A,15.375,30.8,1,FALSE,FALSE,3,TRUE,1,FALSE,100,"Swvu._Current_.","ACwvu._Current_.",#N/A,FALSE,FALSE,0.551181102362205,0.551181102362205,0.551181102362205,0.433070866141732,1,"&amp;A","Page &amp;P",FALSE,FALSE,FALSE,FALSE,1,100,#N/A,#N/A,"=R1C1:R66C15",FALSE,#N/A,#N/A,FALSE,FALSE,FALSE,1,65532,65532,FALSE,FALSE,TRUE,TRUE,TRUE}</definedName>
    <definedName name="wvu._Current_." localSheetId="2" hidden="1">{TRUE,TRUE,-0.8,-17,618,378,FALSE,FALSE,TRUE,TRUE,0,2,#N/A,1,#N/A,15.375,30.8,1,FALSE,FALSE,3,TRUE,1,FALSE,100,"Swvu._Current_.","ACwvu._Current_.",#N/A,FALSE,FALSE,0.551181102362205,0.551181102362205,0.551181102362205,0.433070866141732,1,"&amp;A","Page &amp;P",FALSE,FALSE,FALSE,FALSE,1,100,#N/A,#N/A,"=R1C1:R66C15",FALSE,#N/A,#N/A,FALSE,FALSE,FALSE,1,65532,65532,FALSE,FALSE,TRUE,TRUE,TRUE}</definedName>
    <definedName name="wvu._Current_." hidden="1">{TRUE,TRUE,-0.8,-17,618,378,FALSE,FALSE,TRUE,TRUE,0,2,#N/A,1,#N/A,15.375,30.8,1,FALSE,FALSE,3,TRUE,1,FALSE,100,"Swvu._Current_.","ACwvu._Current_.",#N/A,FALSE,FALSE,0.551181102362205,0.551181102362205,0.551181102362205,0.433070866141732,1,"&amp;A","Page &amp;P",FALSE,FALSE,FALSE,FALSE,1,100,#N/A,#N/A,"=R1C1:R66C15",FALSE,#N/A,#N/A,FALSE,FALSE,FALSE,1,65532,65532,FALSE,FALSE,TRUE,TRUE,TRUE}</definedName>
    <definedName name="wvu.FIATOdd." localSheetId="1" hidden="1">{TRUE,TRUE,-0.8,-17,618,378,FALSE,FALSE,TRUE,TRUE,0,1,#N/A,41,#N/A,15.375,28.9545454545455,1,FALSE,FALSE,3,TRUE,1,FALSE,100,"Swvu.FIATOdd.","ACwvu.FIATOdd.",#N/A,FALSE,FALSE,0.551181102362205,0.551181102362205,0.551181102362205,0.433070866141732,1,"&amp;A","Page &amp;P",FALSE,FALSE,FALSE,FALSE,1,100,#N/A,#N/A,"=R1C1:R66C15",FALSE,#N/A,#N/A,FALSE,FALSE,TRUE,1,65532,65532,FALSE,FALSE,TRUE,TRUE,TRUE}</definedName>
    <definedName name="wvu.FIATOdd." localSheetId="2" hidden="1">{TRUE,TRUE,-0.8,-17,618,378,FALSE,FALSE,TRUE,TRUE,0,1,#N/A,41,#N/A,15.375,28.9545454545455,1,FALSE,FALSE,3,TRUE,1,FALSE,100,"Swvu.FIATOdd.","ACwvu.FIATOdd.",#N/A,FALSE,FALSE,0.551181102362205,0.551181102362205,0.551181102362205,0.433070866141732,1,"&amp;A","Page &amp;P",FALSE,FALSE,FALSE,FALSE,1,100,#N/A,#N/A,"=R1C1:R66C15",FALSE,#N/A,#N/A,FALSE,FALSE,TRUE,1,65532,65532,FALSE,FALSE,TRUE,TRUE,TRUE}</definedName>
    <definedName name="wvu.FIATOdd." hidden="1">{TRUE,TRUE,-0.8,-17,618,378,FALSE,FALSE,TRUE,TRUE,0,1,#N/A,41,#N/A,15.375,28.9545454545455,1,FALSE,FALSE,3,TRUE,1,FALSE,100,"Swvu.FIATOdd.","ACwvu.FIATOdd.",#N/A,FALSE,FALSE,0.551181102362205,0.551181102362205,0.551181102362205,0.433070866141732,1,"&amp;A","Page &amp;P",FALSE,FALSE,FALSE,FALSE,1,100,#N/A,#N/A,"=R1C1:R66C15",FALSE,#N/A,#N/A,FALSE,FALSE,TRUE,1,65532,65532,FALSE,FALSE,TRUE,TRUE,TRUE}</definedName>
    <definedName name="wvu.flightpack." localSheetId="1" hidden="1">{TRUE,TRUE,-2.75,-17,772.5,471.75,FALSE,FALSE,TRUE,TRUE,0,2,#N/A,2,#N/A,23.0925925925926,149.5,1,FALSE,FALSE,3,TRUE,1,FALSE,80,"Swvu.flightpack.","ACwvu.flightpack.",#N/A,FALSE,FALSE,0.25,0.25,0.25,0.25,2,"","",TRUE,FALSE,FALSE,FALSE,1,#N/A,1,1,"=R2C2:R175C27",FALSE,"Rwvu.flightpack.","Cwvu.flightpack.",FALSE,FALSE,FALSE,1,4294967292,4294967292,FALSE,FALSE,TRUE,TRUE,TRUE}</definedName>
    <definedName name="wvu.flightpack." localSheetId="2" hidden="1">{TRUE,TRUE,-2.75,-17,772.5,471.75,FALSE,FALSE,TRUE,TRUE,0,2,#N/A,2,#N/A,23.0925925925926,149.5,1,FALSE,FALSE,3,TRUE,1,FALSE,80,"Swvu.flightpack.","ACwvu.flightpack.",#N/A,FALSE,FALSE,0.25,0.25,0.25,0.25,2,"","",TRUE,FALSE,FALSE,FALSE,1,#N/A,1,1,"=R2C2:R175C27",FALSE,"Rwvu.flightpack.","Cwvu.flightpack.",FALSE,FALSE,FALSE,1,4294967292,4294967292,FALSE,FALSE,TRUE,TRUE,TRUE}</definedName>
    <definedName name="wvu.flightpack." hidden="1">{TRUE,TRUE,-2.75,-17,772.5,471.75,FALSE,FALSE,TRUE,TRUE,0,2,#N/A,2,#N/A,23.0925925925926,149.5,1,FALSE,FALSE,3,TRUE,1,FALSE,80,"Swvu.flightpack.","ACwvu.flightpack.",#N/A,FALSE,FALSE,0.25,0.25,0.25,0.25,2,"","",TRUE,FALSE,FALSE,FALSE,1,#N/A,1,1,"=R2C2:R175C27",FALSE,"Rwvu.flightpack.","Cwvu.flightpack.",FALSE,FALSE,FALSE,1,4294967292,4294967292,FALSE,FALSE,TRUE,TRUE,TRUE}</definedName>
    <definedName name="Z_58810F90_3B4A_11D2_BF0F_0004AC5735D1_.wvu.Cols" localSheetId="1" hidden="1">#REF!,#REF!</definedName>
    <definedName name="Z_58810F90_3B4A_11D2_BF0F_0004AC5735D1_.wvu.Cols" hidden="1">#REF!,#REF!</definedName>
    <definedName name="Z_58810F90_3B4A_11D2_BF0F_0004AC5735D1_.wvu.Rows" localSheetId="1" hidden="1">#REF!,#REF!,#REF!</definedName>
    <definedName name="Z_58810F90_3B4A_11D2_BF0F_0004AC5735D1_.wvu.Rows" hidden="1">#REF!,#REF!,#REF!</definedName>
    <definedName name="Z_58810F91_3B4A_11D2_BF0F_0004AC5735D1_.wvu.Cols" localSheetId="1" hidden="1">#REF!,#REF!</definedName>
    <definedName name="Z_58810F91_3B4A_11D2_BF0F_0004AC5735D1_.wvu.Cols" hidden="1">#REF!,#REF!</definedName>
    <definedName name="Z_58810F91_3B4A_11D2_BF0F_0004AC5735D1_.wvu.Rows" localSheetId="1" hidden="1">#REF!,#REF!,#REF!,#REF!</definedName>
    <definedName name="Z_58810F91_3B4A_11D2_BF0F_0004AC5735D1_.wvu.Rows" hidden="1">#REF!,#REF!,#REF!,#REF!</definedName>
    <definedName name="Z_58810F92_3B4A_11D2_BF0F_0004AC5735D1_.wvu.Rows" localSheetId="1" hidden="1">#REF!,#REF!,#REF!,#REF!</definedName>
    <definedName name="Z_58810F92_3B4A_11D2_BF0F_0004AC5735D1_.wvu.Rows" hidden="1">#REF!,#REF!,#REF!,#REF!</definedName>
    <definedName name="Z_58810F93_3B4A_11D2_BF0F_0004AC5735D1_.wvu.Cols" localSheetId="1" hidden="1">#REF!,#REF!</definedName>
    <definedName name="Z_58810F93_3B4A_11D2_BF0F_0004AC5735D1_.wvu.Cols" hidden="1">#REF!,#REF!</definedName>
    <definedName name="Z_58810F95_3B4A_11D2_BF0F_0004AC5735D1_.wvu.Cols" localSheetId="1" hidden="1">#REF!,#REF!,#REF!</definedName>
    <definedName name="Z_58810F95_3B4A_11D2_BF0F_0004AC5735D1_.wvu.Cols" hidden="1">#REF!,#REF!,#REF!</definedName>
    <definedName name="Z_58810F95_3B4A_11D2_BF0F_0004AC5735D1_.wvu.Rows" localSheetId="1" hidden="1">#REF!,#REF!,#REF!,#REF!</definedName>
    <definedName name="Z_58810F95_3B4A_11D2_BF0F_0004AC5735D1_.wvu.Rows" hidden="1">#REF!,#REF!,#REF!,#REF!</definedName>
    <definedName name="Z_58810F96_3B4A_11D2_BF0F_0004AC5735D1_.wvu.Rows" localSheetId="1" hidden="1">#REF!,#REF!,#REF!,#REF!</definedName>
    <definedName name="Z_58810F96_3B4A_11D2_BF0F_0004AC5735D1_.wvu.Rows" hidden="1">#REF!,#REF!,#REF!,#REF!</definedName>
    <definedName name="Z_58810F97_3B4A_11D2_BF0F_0004AC5735D1_.wvu.Cols" localSheetId="1" hidden="1">#REF!,#REF!,#REF!</definedName>
    <definedName name="Z_58810F97_3B4A_11D2_BF0F_0004AC5735D1_.wvu.Cols" hidden="1">#REF!,#REF!,#REF!</definedName>
    <definedName name="Z_58810F97_3B4A_11D2_BF0F_0004AC5735D1_.wvu.Rows" localSheetId="1" hidden="1">#REF!,#REF!,#REF!</definedName>
    <definedName name="Z_58810F97_3B4A_11D2_BF0F_0004AC5735D1_.wvu.Rows" hidden="1">#REF!,#REF!,#REF!</definedName>
    <definedName name="Z_58810F98_3B4A_11D2_BF0F_0004AC5735D1_.wvu.Rows" localSheetId="1" hidden="1">#REF!,#REF!,#REF!</definedName>
    <definedName name="Z_58810F98_3B4A_11D2_BF0F_0004AC5735D1_.wvu.Rows" hidden="1">#REF!,#REF!,#REF!</definedName>
    <definedName name="Z_589678D2_01A8_11D5_8029_00C04FC987C4_.wvu.PrintArea" localSheetId="1" hidden="1">#REF!</definedName>
    <definedName name="Z_589678D2_01A8_11D5_8029_00C04FC987C4_.wvu.PrintArea" hidden="1">#REF!</definedName>
    <definedName name="Z_589678DC_01A8_11D5_8029_00C04FC987C4_.wvu.PrintArea" localSheetId="1" hidden="1">#REF!</definedName>
    <definedName name="Z_589678DC_01A8_11D5_8029_00C04FC987C4_.wvu.PrintArea" hidden="1">#REF!</definedName>
    <definedName name="Z_7930362E_B0B5_11D2_BF56_0004AC5735D1_.wvu.PrintArea" localSheetId="1" hidden="1">#REF!</definedName>
    <definedName name="Z_7930362E_B0B5_11D2_BF56_0004AC5735D1_.wvu.PrintArea" hidden="1">#REF!</definedName>
    <definedName name="Z_7930362E_B0B5_11D2_BF56_0004AC5735D1_.wvu.Rows" localSheetId="1" hidden="1">#REF!,#REF!,#REF!,#REF!</definedName>
    <definedName name="Z_7930362E_B0B5_11D2_BF56_0004AC5735D1_.wvu.Rows" hidden="1">#REF!,#REF!,#REF!,#REF!</definedName>
    <definedName name="Z_C1ADBC55_4BCA_11D2_BF1B_0004AC5735D1_.wvu.Cols" localSheetId="1" hidden="1">#REF!,#REF!</definedName>
    <definedName name="Z_C1ADBC55_4BCA_11D2_BF1B_0004AC5735D1_.wvu.Cols" hidden="1">#REF!,#REF!</definedName>
    <definedName name="Z_C4AFCF9C_375A_11D2_BF0F_0004AC5735D1_.wvu.Rows" localSheetId="1" hidden="1">#REF!,#REF!</definedName>
    <definedName name="Z_C4AFCF9C_375A_11D2_BF0F_0004AC5735D1_.wvu.Rows" hidden="1">#REF!,#REF!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K87" i="6" l="1"/>
  <c r="CL87" i="6"/>
  <c r="CM87" i="6"/>
  <c r="CN87" i="6"/>
  <c r="CO87" i="6"/>
  <c r="CP87" i="6"/>
  <c r="CQ87" i="6"/>
  <c r="CR87" i="6"/>
  <c r="CS87" i="6"/>
  <c r="CT87" i="6"/>
  <c r="CU87" i="6"/>
  <c r="CV87" i="6"/>
  <c r="CW87" i="6"/>
  <c r="CX87" i="6"/>
  <c r="CY87" i="6"/>
  <c r="CZ87" i="6"/>
  <c r="N246" i="6"/>
  <c r="N250" i="6" s="1"/>
  <c r="M246" i="6"/>
  <c r="M250" i="6" s="1"/>
  <c r="L246" i="6"/>
  <c r="K246" i="6"/>
  <c r="J246" i="6"/>
  <c r="M242" i="6"/>
  <c r="V241" i="6"/>
  <c r="U241" i="6"/>
  <c r="T241" i="6"/>
  <c r="S241" i="6"/>
  <c r="R241" i="6"/>
  <c r="Q241" i="6"/>
  <c r="P241" i="6"/>
  <c r="P242" i="6" s="1"/>
  <c r="O241" i="6"/>
  <c r="O242" i="6" s="1"/>
  <c r="N241" i="6"/>
  <c r="M241" i="6"/>
  <c r="L241" i="6"/>
  <c r="L242" i="6" s="1"/>
  <c r="K241" i="6"/>
  <c r="K242" i="6" s="1"/>
  <c r="J241" i="6"/>
  <c r="J242" i="6" s="1"/>
  <c r="I241" i="6"/>
  <c r="I242" i="6" s="1"/>
  <c r="V239" i="6"/>
  <c r="U239" i="6"/>
  <c r="T239" i="6"/>
  <c r="S239" i="6"/>
  <c r="R239" i="6"/>
  <c r="L239" i="6"/>
  <c r="K239" i="6"/>
  <c r="J239" i="6"/>
  <c r="I239" i="6"/>
  <c r="P238" i="6"/>
  <c r="Q238" i="6" s="1"/>
  <c r="O237" i="6"/>
  <c r="O239" i="6" s="1"/>
  <c r="N237" i="6"/>
  <c r="M237" i="6"/>
  <c r="M239" i="6" s="1"/>
  <c r="L237" i="6"/>
  <c r="K237" i="6"/>
  <c r="J237" i="6"/>
  <c r="I237" i="6"/>
  <c r="Y236" i="6"/>
  <c r="X236" i="6"/>
  <c r="W236" i="6"/>
  <c r="V236" i="6"/>
  <c r="U236" i="6"/>
  <c r="T236" i="6"/>
  <c r="S236" i="6"/>
  <c r="R236" i="6"/>
  <c r="Q236" i="6"/>
  <c r="P236" i="6"/>
  <c r="CM231" i="6"/>
  <c r="CL231" i="6"/>
  <c r="CK231" i="6"/>
  <c r="CU230" i="6"/>
  <c r="CT230" i="6"/>
  <c r="CS230" i="6"/>
  <c r="CQ230" i="6"/>
  <c r="CP230" i="6"/>
  <c r="CO230" i="6"/>
  <c r="CM230" i="6"/>
  <c r="CL230" i="6"/>
  <c r="CK230" i="6"/>
  <c r="CI230" i="6"/>
  <c r="CH230" i="6"/>
  <c r="CG230" i="6"/>
  <c r="P230" i="6"/>
  <c r="P237" i="6" s="1"/>
  <c r="CU221" i="6"/>
  <c r="CT221" i="6"/>
  <c r="CS221" i="6"/>
  <c r="CQ221" i="6"/>
  <c r="CP221" i="6"/>
  <c r="CO221" i="6"/>
  <c r="CM221" i="6"/>
  <c r="CL221" i="6"/>
  <c r="CK221" i="6"/>
  <c r="CI221" i="6"/>
  <c r="CH221" i="6"/>
  <c r="CG221" i="6"/>
  <c r="CE221" i="6"/>
  <c r="CD221" i="6"/>
  <c r="CC221" i="6"/>
  <c r="CA221" i="6"/>
  <c r="BZ221" i="6"/>
  <c r="BY221" i="6"/>
  <c r="BW221" i="6"/>
  <c r="BV221" i="6"/>
  <c r="BU221" i="6"/>
  <c r="BS221" i="6"/>
  <c r="BR221" i="6"/>
  <c r="BQ221" i="6"/>
  <c r="BO221" i="6"/>
  <c r="BN221" i="6"/>
  <c r="BM221" i="6"/>
  <c r="BK221" i="6"/>
  <c r="BJ221" i="6"/>
  <c r="BI221" i="6"/>
  <c r="BG221" i="6"/>
  <c r="BF221" i="6"/>
  <c r="BE221" i="6"/>
  <c r="N221" i="6"/>
  <c r="M221" i="6"/>
  <c r="L221" i="6"/>
  <c r="K221" i="6"/>
  <c r="J221" i="6"/>
  <c r="I221" i="6"/>
  <c r="H221" i="6"/>
  <c r="CU220" i="6"/>
  <c r="CT220" i="6"/>
  <c r="CS220" i="6"/>
  <c r="CQ220" i="6"/>
  <c r="CP220" i="6"/>
  <c r="CO220" i="6"/>
  <c r="CM220" i="6"/>
  <c r="CL220" i="6"/>
  <c r="CK220" i="6"/>
  <c r="CI220" i="6"/>
  <c r="CH220" i="6"/>
  <c r="CG220" i="6"/>
  <c r="CE220" i="6"/>
  <c r="CD220" i="6"/>
  <c r="CC220" i="6"/>
  <c r="CA220" i="6"/>
  <c r="BZ220" i="6"/>
  <c r="BY220" i="6"/>
  <c r="BW220" i="6"/>
  <c r="BV220" i="6"/>
  <c r="BU220" i="6"/>
  <c r="BS220" i="6"/>
  <c r="BR220" i="6"/>
  <c r="BQ220" i="6"/>
  <c r="BO220" i="6"/>
  <c r="BN220" i="6"/>
  <c r="BM220" i="6"/>
  <c r="BK220" i="6"/>
  <c r="BJ220" i="6"/>
  <c r="BI220" i="6"/>
  <c r="BG220" i="6"/>
  <c r="BF220" i="6"/>
  <c r="BE220" i="6"/>
  <c r="N220" i="6"/>
  <c r="M220" i="6"/>
  <c r="L220" i="6"/>
  <c r="K220" i="6"/>
  <c r="J220" i="6"/>
  <c r="I220" i="6"/>
  <c r="H220" i="6"/>
  <c r="CU219" i="6"/>
  <c r="CT219" i="6"/>
  <c r="CS219" i="6"/>
  <c r="CQ219" i="6"/>
  <c r="CP219" i="6"/>
  <c r="CO219" i="6"/>
  <c r="CM219" i="6"/>
  <c r="CL219" i="6"/>
  <c r="CK219" i="6"/>
  <c r="CI219" i="6"/>
  <c r="CH219" i="6"/>
  <c r="CG219" i="6"/>
  <c r="CE219" i="6"/>
  <c r="CD219" i="6"/>
  <c r="CC219" i="6"/>
  <c r="CA219" i="6"/>
  <c r="BZ219" i="6"/>
  <c r="BY219" i="6"/>
  <c r="BW219" i="6"/>
  <c r="BV219" i="6"/>
  <c r="BU219" i="6"/>
  <c r="BS219" i="6"/>
  <c r="BR219" i="6"/>
  <c r="BQ219" i="6"/>
  <c r="BO219" i="6"/>
  <c r="BN219" i="6"/>
  <c r="BM219" i="6"/>
  <c r="BK219" i="6"/>
  <c r="BJ219" i="6"/>
  <c r="BI219" i="6"/>
  <c r="BG219" i="6"/>
  <c r="BF219" i="6"/>
  <c r="BE219" i="6"/>
  <c r="N219" i="6"/>
  <c r="M219" i="6"/>
  <c r="L219" i="6"/>
  <c r="K219" i="6"/>
  <c r="J219" i="6"/>
  <c r="I219" i="6"/>
  <c r="H219" i="6"/>
  <c r="CU218" i="6"/>
  <c r="CT218" i="6"/>
  <c r="CS218" i="6"/>
  <c r="CQ218" i="6"/>
  <c r="CP218" i="6"/>
  <c r="CO218" i="6"/>
  <c r="CM218" i="6"/>
  <c r="CL218" i="6"/>
  <c r="CK218" i="6"/>
  <c r="CI218" i="6"/>
  <c r="CH218" i="6"/>
  <c r="CG218" i="6"/>
  <c r="CE218" i="6"/>
  <c r="CD218" i="6"/>
  <c r="CC218" i="6"/>
  <c r="CA218" i="6"/>
  <c r="BZ218" i="6"/>
  <c r="BY218" i="6"/>
  <c r="BW218" i="6"/>
  <c r="BV218" i="6"/>
  <c r="BU218" i="6"/>
  <c r="BS218" i="6"/>
  <c r="BR218" i="6"/>
  <c r="BQ218" i="6"/>
  <c r="BO218" i="6"/>
  <c r="BN218" i="6"/>
  <c r="BM218" i="6"/>
  <c r="BK218" i="6"/>
  <c r="BJ218" i="6"/>
  <c r="BI218" i="6"/>
  <c r="BG218" i="6"/>
  <c r="BF218" i="6"/>
  <c r="BE218" i="6"/>
  <c r="N218" i="6"/>
  <c r="M218" i="6"/>
  <c r="L218" i="6"/>
  <c r="K218" i="6"/>
  <c r="J218" i="6"/>
  <c r="I218" i="6"/>
  <c r="H218" i="6"/>
  <c r="BW215" i="6"/>
  <c r="BW216" i="6" s="1"/>
  <c r="BQ213" i="6"/>
  <c r="CT211" i="6"/>
  <c r="CT212" i="6" s="1"/>
  <c r="CG211" i="6"/>
  <c r="CC211" i="6"/>
  <c r="BU211" i="6"/>
  <c r="BI211" i="6"/>
  <c r="BE211" i="6"/>
  <c r="BE212" i="6" s="1"/>
  <c r="R211" i="6"/>
  <c r="N211" i="6"/>
  <c r="CT210" i="6"/>
  <c r="CS210" i="6"/>
  <c r="CO210" i="6"/>
  <c r="CM210" i="6"/>
  <c r="CL210" i="6"/>
  <c r="CK210" i="6"/>
  <c r="CI210" i="6"/>
  <c r="CH210" i="6"/>
  <c r="CG210" i="6"/>
  <c r="CE210" i="6"/>
  <c r="CD210" i="6"/>
  <c r="CC210" i="6"/>
  <c r="CA210" i="6"/>
  <c r="BZ210" i="6"/>
  <c r="BY210" i="6"/>
  <c r="BX210" i="6"/>
  <c r="BW210" i="6"/>
  <c r="BV210" i="6"/>
  <c r="BU210" i="6"/>
  <c r="BS210" i="6"/>
  <c r="BR210" i="6"/>
  <c r="BQ210" i="6"/>
  <c r="BQ211" i="6" s="1"/>
  <c r="BQ212" i="6" s="1"/>
  <c r="BO210" i="6"/>
  <c r="BN210" i="6"/>
  <c r="BM210" i="6"/>
  <c r="BK210" i="6"/>
  <c r="BJ210" i="6"/>
  <c r="BI210" i="6"/>
  <c r="BG210" i="6"/>
  <c r="BF210" i="6"/>
  <c r="BE210" i="6"/>
  <c r="T210" i="6"/>
  <c r="S210" i="6"/>
  <c r="R210" i="6"/>
  <c r="Q210" i="6"/>
  <c r="P210" i="6"/>
  <c r="O210" i="6"/>
  <c r="N210" i="6"/>
  <c r="M210" i="6"/>
  <c r="L210" i="6"/>
  <c r="K210" i="6"/>
  <c r="J210" i="6"/>
  <c r="I210" i="6"/>
  <c r="H210" i="6"/>
  <c r="CP209" i="6"/>
  <c r="BQ209" i="6"/>
  <c r="BF209" i="6"/>
  <c r="CP208" i="6"/>
  <c r="BR208" i="6"/>
  <c r="BF208" i="6"/>
  <c r="BF211" i="6" s="1"/>
  <c r="BF212" i="6" s="1"/>
  <c r="Q208" i="6"/>
  <c r="I208" i="6"/>
  <c r="H208" i="6"/>
  <c r="CP207" i="6"/>
  <c r="CK207" i="6"/>
  <c r="BS207" i="6"/>
  <c r="BF207" i="6"/>
  <c r="V207" i="6"/>
  <c r="CU206" i="6"/>
  <c r="CU208" i="6" s="1"/>
  <c r="CT206" i="6"/>
  <c r="CT208" i="6" s="1"/>
  <c r="CS206" i="6"/>
  <c r="CS208" i="6" s="1"/>
  <c r="CQ206" i="6"/>
  <c r="CQ208" i="6" s="1"/>
  <c r="CP206" i="6"/>
  <c r="CO206" i="6"/>
  <c r="CO208" i="6" s="1"/>
  <c r="CO211" i="6" s="1"/>
  <c r="CM206" i="6"/>
  <c r="CM208" i="6" s="1"/>
  <c r="CL206" i="6"/>
  <c r="CK206" i="6"/>
  <c r="CK208" i="6" s="1"/>
  <c r="CI206" i="6"/>
  <c r="CI208" i="6" s="1"/>
  <c r="CI211" i="6" s="1"/>
  <c r="CH206" i="6"/>
  <c r="CH208" i="6" s="1"/>
  <c r="CH211" i="6" s="1"/>
  <c r="CH212" i="6" s="1"/>
  <c r="CG206" i="6"/>
  <c r="CG208" i="6" s="1"/>
  <c r="CC206" i="6"/>
  <c r="CC208" i="6" s="1"/>
  <c r="CA206" i="6"/>
  <c r="CA208" i="6" s="1"/>
  <c r="BZ206" i="6"/>
  <c r="BY206" i="6"/>
  <c r="BW206" i="6"/>
  <c r="BW208" i="6" s="1"/>
  <c r="BW211" i="6" s="1"/>
  <c r="BV206" i="6"/>
  <c r="BV208" i="6" s="1"/>
  <c r="BV211" i="6" s="1"/>
  <c r="BU206" i="6"/>
  <c r="BU208" i="6" s="1"/>
  <c r="BS206" i="6"/>
  <c r="BS208" i="6" s="1"/>
  <c r="BR206" i="6"/>
  <c r="BQ206" i="6"/>
  <c r="BQ208" i="6" s="1"/>
  <c r="BO206" i="6"/>
  <c r="BO208" i="6" s="1"/>
  <c r="BN206" i="6"/>
  <c r="BM206" i="6"/>
  <c r="BM208" i="6" s="1"/>
  <c r="BK206" i="6"/>
  <c r="BK208" i="6" s="1"/>
  <c r="BK211" i="6" s="1"/>
  <c r="BJ206" i="6"/>
  <c r="BJ208" i="6" s="1"/>
  <c r="BJ211" i="6" s="1"/>
  <c r="BI206" i="6"/>
  <c r="BI208" i="6" s="1"/>
  <c r="BG206" i="6"/>
  <c r="BG208" i="6" s="1"/>
  <c r="BF206" i="6"/>
  <c r="BE206" i="6"/>
  <c r="BE208" i="6" s="1"/>
  <c r="W206" i="6"/>
  <c r="V206" i="6"/>
  <c r="V208" i="6" s="1"/>
  <c r="U206" i="6"/>
  <c r="U208" i="6" s="1"/>
  <c r="T206" i="6"/>
  <c r="T208" i="6" s="1"/>
  <c r="T211" i="6" s="1"/>
  <c r="S206" i="6"/>
  <c r="R206" i="6"/>
  <c r="R208" i="6" s="1"/>
  <c r="Q206" i="6"/>
  <c r="P206" i="6"/>
  <c r="P208" i="6" s="1"/>
  <c r="O206" i="6"/>
  <c r="O208" i="6" s="1"/>
  <c r="O211" i="6" s="1"/>
  <c r="N206" i="6"/>
  <c r="N208" i="6" s="1"/>
  <c r="M206" i="6"/>
  <c r="M208" i="6" s="1"/>
  <c r="L206" i="6"/>
  <c r="L208" i="6" s="1"/>
  <c r="K206" i="6"/>
  <c r="J206" i="6"/>
  <c r="J208" i="6" s="1"/>
  <c r="I206" i="6"/>
  <c r="H206" i="6"/>
  <c r="BC203" i="6"/>
  <c r="BB203" i="6"/>
  <c r="BA203" i="6"/>
  <c r="CK201" i="6"/>
  <c r="O201" i="6"/>
  <c r="O203" i="6" s="1"/>
  <c r="CQ199" i="6"/>
  <c r="CQ215" i="6" s="1"/>
  <c r="CQ216" i="6" s="1"/>
  <c r="CL199" i="6"/>
  <c r="CL215" i="6" s="1"/>
  <c r="CL216" i="6" s="1"/>
  <c r="CK199" i="6"/>
  <c r="CK215" i="6" s="1"/>
  <c r="CK216" i="6" s="1"/>
  <c r="CI199" i="6"/>
  <c r="CH199" i="6"/>
  <c r="CE199" i="6"/>
  <c r="CE215" i="6" s="1"/>
  <c r="CE216" i="6" s="1"/>
  <c r="CA199" i="6"/>
  <c r="BP199" i="6"/>
  <c r="BD199" i="6"/>
  <c r="N199" i="6"/>
  <c r="CV197" i="6"/>
  <c r="CR197" i="6"/>
  <c r="CN197" i="6"/>
  <c r="CJ197" i="6"/>
  <c r="CF197" i="6"/>
  <c r="CB197" i="6"/>
  <c r="BX197" i="6"/>
  <c r="BT197" i="6"/>
  <c r="BP197" i="6"/>
  <c r="BL197" i="6"/>
  <c r="BH197" i="6"/>
  <c r="W197" i="6"/>
  <c r="CU196" i="6"/>
  <c r="CU199" i="6" s="1"/>
  <c r="CT196" i="6"/>
  <c r="CT199" i="6" s="1"/>
  <c r="CS196" i="6"/>
  <c r="CS199" i="6" s="1"/>
  <c r="CR196" i="6"/>
  <c r="CP196" i="6"/>
  <c r="CP199" i="6" s="1"/>
  <c r="CP215" i="6" s="1"/>
  <c r="CP216" i="6" s="1"/>
  <c r="CO196" i="6"/>
  <c r="CO199" i="6" s="1"/>
  <c r="CM196" i="6"/>
  <c r="CM199" i="6" s="1"/>
  <c r="CI196" i="6"/>
  <c r="CG196" i="6"/>
  <c r="CG199" i="6" s="1"/>
  <c r="CD196" i="6"/>
  <c r="CD199" i="6" s="1"/>
  <c r="CD215" i="6" s="1"/>
  <c r="CD216" i="6" s="1"/>
  <c r="CC196" i="6"/>
  <c r="CC199" i="6" s="1"/>
  <c r="CB196" i="6"/>
  <c r="CA196" i="6"/>
  <c r="BZ196" i="6"/>
  <c r="BZ199" i="6" s="1"/>
  <c r="BY196" i="6"/>
  <c r="BY199" i="6" s="1"/>
  <c r="BY215" i="6" s="1"/>
  <c r="BY216" i="6" s="1"/>
  <c r="BW196" i="6"/>
  <c r="BW199" i="6" s="1"/>
  <c r="BV196" i="6"/>
  <c r="BV199" i="6" s="1"/>
  <c r="BU196" i="6"/>
  <c r="BU199" i="6" s="1"/>
  <c r="BS196" i="6"/>
  <c r="BS199" i="6" s="1"/>
  <c r="BS215" i="6" s="1"/>
  <c r="BS216" i="6" s="1"/>
  <c r="BR196" i="6"/>
  <c r="BR199" i="6" s="1"/>
  <c r="BR215" i="6" s="1"/>
  <c r="BR216" i="6" s="1"/>
  <c r="BQ196" i="6"/>
  <c r="BQ199" i="6" s="1"/>
  <c r="BQ215" i="6" s="1"/>
  <c r="BQ216" i="6" s="1"/>
  <c r="BO196" i="6"/>
  <c r="BO199" i="6" s="1"/>
  <c r="BN196" i="6"/>
  <c r="BN199" i="6" s="1"/>
  <c r="BM196" i="6"/>
  <c r="BM199" i="6" s="1"/>
  <c r="BM215" i="6" s="1"/>
  <c r="BM216" i="6" s="1"/>
  <c r="BK196" i="6"/>
  <c r="BK199" i="6" s="1"/>
  <c r="BJ196" i="6"/>
  <c r="BJ199" i="6" s="1"/>
  <c r="BI196" i="6"/>
  <c r="BI199" i="6" s="1"/>
  <c r="BG196" i="6"/>
  <c r="BG199" i="6" s="1"/>
  <c r="BG215" i="6" s="1"/>
  <c r="BG216" i="6" s="1"/>
  <c r="BF196" i="6"/>
  <c r="BF199" i="6" s="1"/>
  <c r="BF215" i="6" s="1"/>
  <c r="BF216" i="6" s="1"/>
  <c r="BE196" i="6"/>
  <c r="BE199" i="6" s="1"/>
  <c r="V196" i="6"/>
  <c r="V199" i="6" s="1"/>
  <c r="U196" i="6"/>
  <c r="U199" i="6" s="1"/>
  <c r="T196" i="6"/>
  <c r="T199" i="6" s="1"/>
  <c r="S196" i="6"/>
  <c r="S199" i="6" s="1"/>
  <c r="P196" i="6"/>
  <c r="P199" i="6" s="1"/>
  <c r="P215" i="6" s="1"/>
  <c r="P216" i="6" s="1"/>
  <c r="O196" i="6"/>
  <c r="O199" i="6" s="1"/>
  <c r="N196" i="6"/>
  <c r="M196" i="6"/>
  <c r="M199" i="6" s="1"/>
  <c r="L196" i="6"/>
  <c r="L199" i="6" s="1"/>
  <c r="K196" i="6"/>
  <c r="K199" i="6" s="1"/>
  <c r="K215" i="6" s="1"/>
  <c r="K216" i="6" s="1"/>
  <c r="J196" i="6"/>
  <c r="J199" i="6" s="1"/>
  <c r="I196" i="6"/>
  <c r="I199" i="6" s="1"/>
  <c r="H196" i="6"/>
  <c r="H199" i="6" s="1"/>
  <c r="CZ195" i="6"/>
  <c r="CV195" i="6"/>
  <c r="CR195" i="6"/>
  <c r="CN195" i="6"/>
  <c r="CJ195" i="6"/>
  <c r="CF195" i="6"/>
  <c r="CB195" i="6"/>
  <c r="BX195" i="6"/>
  <c r="BT195" i="6"/>
  <c r="BP195" i="6"/>
  <c r="BL195" i="6"/>
  <c r="BH195" i="6"/>
  <c r="Y195" i="6"/>
  <c r="X195" i="6"/>
  <c r="W195" i="6"/>
  <c r="CV194" i="6"/>
  <c r="CR194" i="6"/>
  <c r="CN194" i="6"/>
  <c r="CJ194" i="6"/>
  <c r="CF194" i="6"/>
  <c r="CB194" i="6"/>
  <c r="BX194" i="6"/>
  <c r="BT194" i="6"/>
  <c r="BP194" i="6"/>
  <c r="BP196" i="6" s="1"/>
  <c r="BL194" i="6"/>
  <c r="BH194" i="6"/>
  <c r="CZ193" i="6"/>
  <c r="CV193" i="6"/>
  <c r="CR193" i="6"/>
  <c r="CN193" i="6"/>
  <c r="CJ193" i="6"/>
  <c r="CF193" i="6"/>
  <c r="CB193" i="6"/>
  <c r="BX193" i="6"/>
  <c r="BT193" i="6"/>
  <c r="BP193" i="6"/>
  <c r="BL193" i="6"/>
  <c r="BH193" i="6"/>
  <c r="X193" i="6"/>
  <c r="Y193" i="6" s="1"/>
  <c r="W193" i="6"/>
  <c r="CV192" i="6"/>
  <c r="CR192" i="6"/>
  <c r="CN192" i="6"/>
  <c r="CJ192" i="6"/>
  <c r="CF192" i="6"/>
  <c r="CB192" i="6"/>
  <c r="BX192" i="6"/>
  <c r="BT192" i="6"/>
  <c r="BP192" i="6"/>
  <c r="BL192" i="6"/>
  <c r="BH192" i="6"/>
  <c r="W192" i="6"/>
  <c r="CZ192" i="6" s="1"/>
  <c r="CZ191" i="6"/>
  <c r="CV191" i="6"/>
  <c r="CR191" i="6"/>
  <c r="CN191" i="6"/>
  <c r="CJ191" i="6"/>
  <c r="CB191" i="6"/>
  <c r="BX191" i="6"/>
  <c r="BT191" i="6"/>
  <c r="BP191" i="6"/>
  <c r="BL191" i="6"/>
  <c r="BH191" i="6"/>
  <c r="X191" i="6"/>
  <c r="Y191" i="6" s="1"/>
  <c r="W191" i="6"/>
  <c r="Q191" i="6"/>
  <c r="Q196" i="6" s="1"/>
  <c r="Q199" i="6" s="1"/>
  <c r="CB199" i="6" s="1"/>
  <c r="CB215" i="6" s="1"/>
  <c r="CB216" i="6" s="1"/>
  <c r="CV190" i="6"/>
  <c r="CR190" i="6"/>
  <c r="CN190" i="6"/>
  <c r="CJ190" i="6"/>
  <c r="CF190" i="6"/>
  <c r="CB190" i="6"/>
  <c r="BX190" i="6"/>
  <c r="BT190" i="6"/>
  <c r="BP190" i="6"/>
  <c r="BL190" i="6"/>
  <c r="BH190" i="6"/>
  <c r="X190" i="6"/>
  <c r="Y190" i="6" s="1"/>
  <c r="W190" i="6"/>
  <c r="CZ190" i="6" s="1"/>
  <c r="CV189" i="6"/>
  <c r="CR189" i="6"/>
  <c r="CN189" i="6"/>
  <c r="CJ189" i="6"/>
  <c r="CF189" i="6"/>
  <c r="CB189" i="6"/>
  <c r="BX189" i="6"/>
  <c r="BT189" i="6"/>
  <c r="BT196" i="6" s="1"/>
  <c r="BP189" i="6"/>
  <c r="BL189" i="6"/>
  <c r="BH189" i="6"/>
  <c r="BH196" i="6" s="1"/>
  <c r="BH199" i="6" s="1"/>
  <c r="W189" i="6"/>
  <c r="CZ187" i="6"/>
  <c r="CV187" i="6"/>
  <c r="CR187" i="6"/>
  <c r="CN187" i="6"/>
  <c r="CM187" i="6"/>
  <c r="CJ187" i="6"/>
  <c r="CF187" i="6"/>
  <c r="CC187" i="6"/>
  <c r="CB187" i="6"/>
  <c r="BX187" i="6"/>
  <c r="BT187" i="6"/>
  <c r="BP187" i="6"/>
  <c r="BL187" i="6"/>
  <c r="BH187" i="6"/>
  <c r="Y187" i="6"/>
  <c r="X187" i="6"/>
  <c r="W187" i="6"/>
  <c r="CU185" i="6"/>
  <c r="CT185" i="6"/>
  <c r="CO185" i="6"/>
  <c r="CN185" i="6"/>
  <c r="CI185" i="6"/>
  <c r="CC185" i="6"/>
  <c r="BW185" i="6"/>
  <c r="BV185" i="6"/>
  <c r="BQ185" i="6"/>
  <c r="BK185" i="6"/>
  <c r="BJ185" i="6"/>
  <c r="BE185" i="6"/>
  <c r="BE201" i="6" s="1"/>
  <c r="BE203" i="6" s="1"/>
  <c r="U185" i="6"/>
  <c r="CR185" i="6" s="1"/>
  <c r="T185" i="6"/>
  <c r="O185" i="6"/>
  <c r="N185" i="6"/>
  <c r="I185" i="6"/>
  <c r="H185" i="6"/>
  <c r="CV184" i="6"/>
  <c r="CU184" i="6"/>
  <c r="CO184" i="6"/>
  <c r="CN184" i="6"/>
  <c r="CM184" i="6"/>
  <c r="CL184" i="6"/>
  <c r="CK184" i="6"/>
  <c r="CJ184" i="6"/>
  <c r="CH184" i="6"/>
  <c r="CH185" i="6" s="1"/>
  <c r="CG184" i="6"/>
  <c r="CD184" i="6"/>
  <c r="CC184" i="6"/>
  <c r="CA184" i="6"/>
  <c r="BZ184" i="6"/>
  <c r="BY184" i="6"/>
  <c r="BW184" i="6"/>
  <c r="BU184" i="6"/>
  <c r="BT184" i="6"/>
  <c r="BP184" i="6"/>
  <c r="BL184" i="6"/>
  <c r="BH184" i="6"/>
  <c r="W184" i="6"/>
  <c r="U184" i="6"/>
  <c r="CR184" i="6" s="1"/>
  <c r="T184" i="6"/>
  <c r="S184" i="6"/>
  <c r="R184" i="6"/>
  <c r="CF184" i="6" s="1"/>
  <c r="Q184" i="6"/>
  <c r="CB184" i="6" s="1"/>
  <c r="P184" i="6"/>
  <c r="BX184" i="6" s="1"/>
  <c r="CZ183" i="6"/>
  <c r="CV183" i="6"/>
  <c r="CR183" i="6"/>
  <c r="CR206" i="6" s="1"/>
  <c r="CN183" i="6"/>
  <c r="CN206" i="6" s="1"/>
  <c r="CJ183" i="6"/>
  <c r="CJ206" i="6" s="1"/>
  <c r="CJ208" i="6" s="1"/>
  <c r="CF183" i="6"/>
  <c r="CF206" i="6" s="1"/>
  <c r="CE183" i="6"/>
  <c r="CE206" i="6" s="1"/>
  <c r="CD183" i="6"/>
  <c r="CD206" i="6" s="1"/>
  <c r="CD208" i="6" s="1"/>
  <c r="CB183" i="6"/>
  <c r="CB206" i="6" s="1"/>
  <c r="BX183" i="6"/>
  <c r="BX206" i="6" s="1"/>
  <c r="BX208" i="6" s="1"/>
  <c r="BT183" i="6"/>
  <c r="BT206" i="6" s="1"/>
  <c r="BP183" i="6"/>
  <c r="BP206" i="6" s="1"/>
  <c r="BL183" i="6"/>
  <c r="BL206" i="6" s="1"/>
  <c r="BH183" i="6"/>
  <c r="BH206" i="6" s="1"/>
  <c r="W183" i="6"/>
  <c r="X183" i="6" s="1"/>
  <c r="CU181" i="6"/>
  <c r="CT181" i="6"/>
  <c r="CS181" i="6"/>
  <c r="CS185" i="6" s="1"/>
  <c r="CR181" i="6"/>
  <c r="CQ181" i="6"/>
  <c r="CQ185" i="6" s="1"/>
  <c r="CQ201" i="6" s="1"/>
  <c r="CP181" i="6"/>
  <c r="CP185" i="6" s="1"/>
  <c r="CP201" i="6" s="1"/>
  <c r="CO181" i="6"/>
  <c r="CM181" i="6"/>
  <c r="CM185" i="6" s="1"/>
  <c r="CL181" i="6"/>
  <c r="CL185" i="6" s="1"/>
  <c r="CK181" i="6"/>
  <c r="CK185" i="6" s="1"/>
  <c r="CJ181" i="6"/>
  <c r="CI181" i="6"/>
  <c r="CH181" i="6"/>
  <c r="CG181" i="6"/>
  <c r="CG185" i="6" s="1"/>
  <c r="CE181" i="6"/>
  <c r="CE185" i="6" s="1"/>
  <c r="CE201" i="6" s="1"/>
  <c r="CD181" i="6"/>
  <c r="CD185" i="6" s="1"/>
  <c r="CC181" i="6"/>
  <c r="CA181" i="6"/>
  <c r="BZ181" i="6"/>
  <c r="BZ185" i="6" s="1"/>
  <c r="BY181" i="6"/>
  <c r="BY185" i="6" s="1"/>
  <c r="BY201" i="6" s="1"/>
  <c r="BX181" i="6"/>
  <c r="BX185" i="6" s="1"/>
  <c r="BW181" i="6"/>
  <c r="BV181" i="6"/>
  <c r="BU181" i="6"/>
  <c r="BU185" i="6" s="1"/>
  <c r="BS181" i="6"/>
  <c r="BS185" i="6" s="1"/>
  <c r="BR181" i="6"/>
  <c r="BR185" i="6" s="1"/>
  <c r="BQ181" i="6"/>
  <c r="BO181" i="6"/>
  <c r="BO185" i="6" s="1"/>
  <c r="BN181" i="6"/>
  <c r="BN185" i="6" s="1"/>
  <c r="BM181" i="6"/>
  <c r="BM185" i="6" s="1"/>
  <c r="BM201" i="6" s="1"/>
  <c r="BK181" i="6"/>
  <c r="BJ181" i="6"/>
  <c r="BI181" i="6"/>
  <c r="BI185" i="6" s="1"/>
  <c r="BG181" i="6"/>
  <c r="BG185" i="6" s="1"/>
  <c r="BF181" i="6"/>
  <c r="BF185" i="6" s="1"/>
  <c r="BE181" i="6"/>
  <c r="V181" i="6"/>
  <c r="U181" i="6"/>
  <c r="T181" i="6"/>
  <c r="CN181" i="6" s="1"/>
  <c r="S181" i="6"/>
  <c r="S185" i="6" s="1"/>
  <c r="CJ185" i="6" s="1"/>
  <c r="R181" i="6"/>
  <c r="R185" i="6" s="1"/>
  <c r="CF185" i="6" s="1"/>
  <c r="Q181" i="6"/>
  <c r="P181" i="6"/>
  <c r="P185" i="6" s="1"/>
  <c r="O181" i="6"/>
  <c r="N181" i="6"/>
  <c r="M181" i="6"/>
  <c r="M185" i="6" s="1"/>
  <c r="L181" i="6"/>
  <c r="L185" i="6" s="1"/>
  <c r="K181" i="6"/>
  <c r="J181" i="6"/>
  <c r="J185" i="6" s="1"/>
  <c r="I181" i="6"/>
  <c r="H181" i="6"/>
  <c r="CR180" i="6"/>
  <c r="CN180" i="6"/>
  <c r="CJ180" i="6"/>
  <c r="CF180" i="6"/>
  <c r="CB180" i="6"/>
  <c r="BX180" i="6"/>
  <c r="BT180" i="6"/>
  <c r="BP180" i="6"/>
  <c r="BL180" i="6"/>
  <c r="BH180" i="6"/>
  <c r="W180" i="6"/>
  <c r="V180" i="6"/>
  <c r="CV180" i="6" s="1"/>
  <c r="CR179" i="6"/>
  <c r="CR221" i="6" s="1"/>
  <c r="CN179" i="6"/>
  <c r="CN221" i="6" s="1"/>
  <c r="CJ179" i="6"/>
  <c r="CJ221" i="6" s="1"/>
  <c r="CF179" i="6"/>
  <c r="CF221" i="6" s="1"/>
  <c r="CB179" i="6"/>
  <c r="CB221" i="6" s="1"/>
  <c r="BX179" i="6"/>
  <c r="BX221" i="6" s="1"/>
  <c r="BT179" i="6"/>
  <c r="BT221" i="6" s="1"/>
  <c r="BP179" i="6"/>
  <c r="BL179" i="6"/>
  <c r="BH179" i="6"/>
  <c r="V179" i="6"/>
  <c r="BX178" i="6"/>
  <c r="BT178" i="6"/>
  <c r="BT181" i="6" s="1"/>
  <c r="BP178" i="6"/>
  <c r="BL178" i="6"/>
  <c r="BH178" i="6"/>
  <c r="X178" i="6"/>
  <c r="Y178" i="6" s="1"/>
  <c r="W178" i="6"/>
  <c r="CV177" i="6"/>
  <c r="CR177" i="6"/>
  <c r="CN177" i="6"/>
  <c r="CJ177" i="6"/>
  <c r="CF177" i="6"/>
  <c r="CB177" i="6"/>
  <c r="BX177" i="6"/>
  <c r="BT177" i="6"/>
  <c r="BP177" i="6"/>
  <c r="BP181" i="6" s="1"/>
  <c r="BP185" i="6" s="1"/>
  <c r="BL177" i="6"/>
  <c r="BL181" i="6" s="1"/>
  <c r="BL185" i="6" s="1"/>
  <c r="BH177" i="6"/>
  <c r="W177" i="6"/>
  <c r="CZ177" i="6" s="1"/>
  <c r="CE174" i="6"/>
  <c r="CE223" i="6" s="1"/>
  <c r="CD174" i="6"/>
  <c r="CD223" i="6" s="1"/>
  <c r="CC174" i="6"/>
  <c r="CC223" i="6" s="1"/>
  <c r="BW174" i="6"/>
  <c r="BW223" i="6" s="1"/>
  <c r="BS174" i="6"/>
  <c r="BS223" i="6" s="1"/>
  <c r="BR174" i="6"/>
  <c r="BR223" i="6" s="1"/>
  <c r="BQ174" i="6"/>
  <c r="BQ223" i="6" s="1"/>
  <c r="BK174" i="6"/>
  <c r="BK223" i="6" s="1"/>
  <c r="BG174" i="6"/>
  <c r="BG223" i="6" s="1"/>
  <c r="BE174" i="6"/>
  <c r="BE223" i="6" s="1"/>
  <c r="Q174" i="6"/>
  <c r="CB174" i="6" s="1"/>
  <c r="CB223" i="6" s="1"/>
  <c r="P174" i="6"/>
  <c r="O174" i="6"/>
  <c r="I174" i="6"/>
  <c r="I223" i="6" s="1"/>
  <c r="CR173" i="6"/>
  <c r="CP173" i="6"/>
  <c r="CO173" i="6"/>
  <c r="CM173" i="6"/>
  <c r="CL173" i="6"/>
  <c r="CJ173" i="6"/>
  <c r="CI173" i="6"/>
  <c r="CI174" i="6" s="1"/>
  <c r="CI223" i="6" s="1"/>
  <c r="CH173" i="6"/>
  <c r="CA173" i="6"/>
  <c r="BZ173" i="6"/>
  <c r="BY173" i="6"/>
  <c r="BX173" i="6"/>
  <c r="BT173" i="6"/>
  <c r="BP173" i="6"/>
  <c r="BL173" i="6"/>
  <c r="BH173" i="6"/>
  <c r="U173" i="6"/>
  <c r="T173" i="6"/>
  <c r="CN173" i="6" s="1"/>
  <c r="S173" i="6"/>
  <c r="R173" i="6"/>
  <c r="CF173" i="6" s="1"/>
  <c r="Q173" i="6"/>
  <c r="CB173" i="6" s="1"/>
  <c r="P173" i="6"/>
  <c r="CR172" i="6"/>
  <c r="CN172" i="6"/>
  <c r="CJ172" i="6"/>
  <c r="CF172" i="6"/>
  <c r="CB172" i="6"/>
  <c r="BX172" i="6"/>
  <c r="BT172" i="6"/>
  <c r="BP172" i="6"/>
  <c r="BL172" i="6"/>
  <c r="BH172" i="6"/>
  <c r="V172" i="6"/>
  <c r="V173" i="6" s="1"/>
  <c r="CV171" i="6"/>
  <c r="CR171" i="6"/>
  <c r="CN171" i="6"/>
  <c r="CJ171" i="6"/>
  <c r="CF171" i="6"/>
  <c r="CB171" i="6"/>
  <c r="BX171" i="6"/>
  <c r="BW171" i="6"/>
  <c r="BT171" i="6"/>
  <c r="BS171" i="6"/>
  <c r="BP171" i="6"/>
  <c r="BL171" i="6"/>
  <c r="BH171" i="6"/>
  <c r="W171" i="6"/>
  <c r="CZ171" i="6" s="1"/>
  <c r="CV170" i="6"/>
  <c r="CR170" i="6"/>
  <c r="CN170" i="6"/>
  <c r="CM170" i="6"/>
  <c r="CL170" i="6"/>
  <c r="CJ170" i="6"/>
  <c r="CI170" i="6"/>
  <c r="CH170" i="6"/>
  <c r="CF170" i="6"/>
  <c r="CB170" i="6"/>
  <c r="BX170" i="6"/>
  <c r="BT170" i="6"/>
  <c r="BP170" i="6"/>
  <c r="BL170" i="6"/>
  <c r="BH170" i="6"/>
  <c r="ER169" i="6"/>
  <c r="EQ169" i="6"/>
  <c r="EP169" i="6"/>
  <c r="EN169" i="6"/>
  <c r="EM169" i="6"/>
  <c r="EL169" i="6"/>
  <c r="EJ169" i="6"/>
  <c r="EI169" i="6"/>
  <c r="EH169" i="6"/>
  <c r="EF169" i="6"/>
  <c r="EE169" i="6"/>
  <c r="ED169" i="6"/>
  <c r="EC169" i="6"/>
  <c r="EB169" i="6"/>
  <c r="EA169" i="6"/>
  <c r="DZ169" i="6"/>
  <c r="DX169" i="6"/>
  <c r="DW169" i="6"/>
  <c r="DV169" i="6"/>
  <c r="DT169" i="6"/>
  <c r="DS169" i="6"/>
  <c r="DR169" i="6"/>
  <c r="EQ168" i="6"/>
  <c r="EP168" i="6"/>
  <c r="EM168" i="6"/>
  <c r="EL168" i="6"/>
  <c r="EK168" i="6"/>
  <c r="EJ168" i="6"/>
  <c r="EI168" i="6"/>
  <c r="EH168" i="6"/>
  <c r="EE168" i="6"/>
  <c r="ED168" i="6"/>
  <c r="EA168" i="6"/>
  <c r="DZ168" i="6"/>
  <c r="DW168" i="6"/>
  <c r="DV168" i="6"/>
  <c r="DS168" i="6"/>
  <c r="DR168" i="6"/>
  <c r="DO168" i="6"/>
  <c r="DN168" i="6"/>
  <c r="DM168" i="6"/>
  <c r="DL168" i="6"/>
  <c r="DK168" i="6"/>
  <c r="DJ168" i="6"/>
  <c r="DG168" i="6"/>
  <c r="DF168" i="6"/>
  <c r="DD168" i="6"/>
  <c r="DC168" i="6"/>
  <c r="DB168" i="6"/>
  <c r="CT168" i="6"/>
  <c r="CT213" i="6" s="1"/>
  <c r="CS168" i="6"/>
  <c r="CS213" i="6" s="1"/>
  <c r="CM168" i="6"/>
  <c r="CM213" i="6" s="1"/>
  <c r="CL168" i="6"/>
  <c r="CK168" i="6"/>
  <c r="CI168" i="6"/>
  <c r="CI213" i="6" s="1"/>
  <c r="CH168" i="6"/>
  <c r="CH213" i="6" s="1"/>
  <c r="CG168" i="6"/>
  <c r="CG213" i="6" s="1"/>
  <c r="CE168" i="6"/>
  <c r="CE213" i="6" s="1"/>
  <c r="CD168" i="6"/>
  <c r="CD213" i="6" s="1"/>
  <c r="CC168" i="6"/>
  <c r="CC213" i="6" s="1"/>
  <c r="CA168" i="6"/>
  <c r="CA213" i="6" s="1"/>
  <c r="BZ168" i="6"/>
  <c r="BY168" i="6"/>
  <c r="BW168" i="6"/>
  <c r="BW213" i="6" s="1"/>
  <c r="BV168" i="6"/>
  <c r="BV213" i="6" s="1"/>
  <c r="BU168" i="6"/>
  <c r="BU213" i="6" s="1"/>
  <c r="BS168" i="6"/>
  <c r="BS213" i="6" s="1"/>
  <c r="BR168" i="6"/>
  <c r="BR213" i="6" s="1"/>
  <c r="BQ168" i="6"/>
  <c r="BO168" i="6"/>
  <c r="BO213" i="6" s="1"/>
  <c r="BN168" i="6"/>
  <c r="BM168" i="6"/>
  <c r="BM213" i="6" s="1"/>
  <c r="BK168" i="6"/>
  <c r="BK213" i="6" s="1"/>
  <c r="BJ168" i="6"/>
  <c r="BJ213" i="6" s="1"/>
  <c r="BI168" i="6"/>
  <c r="BI213" i="6" s="1"/>
  <c r="BG168" i="6"/>
  <c r="BG213" i="6" s="1"/>
  <c r="BF168" i="6"/>
  <c r="BE168" i="6"/>
  <c r="BE213" i="6" s="1"/>
  <c r="T168" i="6"/>
  <c r="S168" i="6"/>
  <c r="R168" i="6"/>
  <c r="Q168" i="6"/>
  <c r="P168" i="6"/>
  <c r="O168" i="6"/>
  <c r="O213" i="6" s="1"/>
  <c r="N168" i="6"/>
  <c r="N213" i="6" s="1"/>
  <c r="M168" i="6"/>
  <c r="L168" i="6"/>
  <c r="K168" i="6"/>
  <c r="K174" i="6" s="1"/>
  <c r="J168" i="6"/>
  <c r="J174" i="6" s="1"/>
  <c r="J223" i="6" s="1"/>
  <c r="I168" i="6"/>
  <c r="I213" i="6" s="1"/>
  <c r="H168" i="6"/>
  <c r="CZ167" i="6"/>
  <c r="CV167" i="6"/>
  <c r="CR167" i="6"/>
  <c r="CO167" i="6"/>
  <c r="CO168" i="6" s="1"/>
  <c r="CO213" i="6" s="1"/>
  <c r="CN167" i="6"/>
  <c r="CJ167" i="6"/>
  <c r="CF167" i="6"/>
  <c r="CB167" i="6"/>
  <c r="BX167" i="6"/>
  <c r="BT167" i="6"/>
  <c r="BP167" i="6"/>
  <c r="BL167" i="6"/>
  <c r="BH167" i="6"/>
  <c r="W167" i="6"/>
  <c r="X167" i="6" s="1"/>
  <c r="ER166" i="6"/>
  <c r="EQ166" i="6"/>
  <c r="EN166" i="6"/>
  <c r="EM166" i="6"/>
  <c r="EL166" i="6"/>
  <c r="EK166" i="6"/>
  <c r="EJ166" i="6"/>
  <c r="EI166" i="6"/>
  <c r="EF166" i="6"/>
  <c r="EE166" i="6"/>
  <c r="ED166" i="6"/>
  <c r="EC166" i="6"/>
  <c r="EB166" i="6"/>
  <c r="EA166" i="6"/>
  <c r="DX166" i="6"/>
  <c r="DW166" i="6"/>
  <c r="DT166" i="6"/>
  <c r="DS166" i="6"/>
  <c r="DP166" i="6"/>
  <c r="DO166" i="6"/>
  <c r="DN166" i="6"/>
  <c r="DM166" i="6"/>
  <c r="DL166" i="6"/>
  <c r="DK166" i="6"/>
  <c r="DH166" i="6"/>
  <c r="DG166" i="6"/>
  <c r="DF166" i="6"/>
  <c r="DE166" i="6"/>
  <c r="DD166" i="6"/>
  <c r="DC166" i="6"/>
  <c r="DB166" i="6"/>
  <c r="CV166" i="6"/>
  <c r="CR166" i="6"/>
  <c r="CN166" i="6"/>
  <c r="CJ166" i="6"/>
  <c r="CF166" i="6"/>
  <c r="CB166" i="6"/>
  <c r="BX166" i="6"/>
  <c r="BT166" i="6"/>
  <c r="BP166" i="6"/>
  <c r="BL166" i="6"/>
  <c r="BH166" i="6"/>
  <c r="DE168" i="6" s="1"/>
  <c r="EH165" i="6"/>
  <c r="CV165" i="6"/>
  <c r="CR165" i="6"/>
  <c r="CN165" i="6"/>
  <c r="CJ165" i="6"/>
  <c r="CF165" i="6"/>
  <c r="CB165" i="6"/>
  <c r="BX165" i="6"/>
  <c r="BT165" i="6"/>
  <c r="BP165" i="6"/>
  <c r="BL165" i="6"/>
  <c r="BH165" i="6"/>
  <c r="CU164" i="6"/>
  <c r="CQ164" i="6"/>
  <c r="CQ210" i="6" s="1"/>
  <c r="CP164" i="6"/>
  <c r="CP210" i="6" s="1"/>
  <c r="CN164" i="6"/>
  <c r="CN210" i="6" s="1"/>
  <c r="CJ164" i="6"/>
  <c r="CJ210" i="6" s="1"/>
  <c r="CF164" i="6"/>
  <c r="CF210" i="6" s="1"/>
  <c r="CB164" i="6"/>
  <c r="CB210" i="6" s="1"/>
  <c r="BX164" i="6"/>
  <c r="BT164" i="6"/>
  <c r="BT210" i="6" s="1"/>
  <c r="BP164" i="6"/>
  <c r="BL164" i="6"/>
  <c r="BH164" i="6"/>
  <c r="BH210" i="6" s="1"/>
  <c r="V164" i="6"/>
  <c r="U164" i="6"/>
  <c r="CZ162" i="6"/>
  <c r="CY162" i="6"/>
  <c r="CX162" i="6"/>
  <c r="CW162" i="6"/>
  <c r="CV162" i="6"/>
  <c r="CU162" i="6"/>
  <c r="CT162" i="6"/>
  <c r="CS162" i="6"/>
  <c r="CR162" i="6"/>
  <c r="CQ162" i="6"/>
  <c r="CP162" i="6"/>
  <c r="CO162" i="6"/>
  <c r="CN162" i="6"/>
  <c r="CM162" i="6"/>
  <c r="CL162" i="6"/>
  <c r="CK162" i="6"/>
  <c r="CJ162" i="6"/>
  <c r="CI162" i="6"/>
  <c r="CH162" i="6"/>
  <c r="CG162" i="6"/>
  <c r="CF162" i="6"/>
  <c r="CE162" i="6"/>
  <c r="CD162" i="6"/>
  <c r="CC162" i="6"/>
  <c r="CB162" i="6"/>
  <c r="CA162" i="6"/>
  <c r="BZ162" i="6"/>
  <c r="BY162" i="6"/>
  <c r="BX162" i="6"/>
  <c r="BW162" i="6"/>
  <c r="BV162" i="6"/>
  <c r="BU162" i="6"/>
  <c r="BT162" i="6"/>
  <c r="BQ162" i="6"/>
  <c r="BM162" i="6"/>
  <c r="BI162" i="6"/>
  <c r="BH162" i="6"/>
  <c r="BG162" i="6"/>
  <c r="BF162" i="6"/>
  <c r="BE162" i="6"/>
  <c r="BD162" i="6"/>
  <c r="BC162" i="6"/>
  <c r="BB162" i="6"/>
  <c r="BA162" i="6"/>
  <c r="Y162" i="6"/>
  <c r="X162" i="6"/>
  <c r="W162" i="6"/>
  <c r="V162" i="6"/>
  <c r="U162" i="6"/>
  <c r="T162" i="6"/>
  <c r="S162" i="6"/>
  <c r="R162" i="6"/>
  <c r="Q162" i="6"/>
  <c r="P162" i="6"/>
  <c r="O162" i="6"/>
  <c r="N162" i="6"/>
  <c r="M162" i="6"/>
  <c r="L162" i="6"/>
  <c r="K162" i="6"/>
  <c r="J162" i="6"/>
  <c r="I162" i="6"/>
  <c r="H162" i="6"/>
  <c r="CS157" i="6"/>
  <c r="BN157" i="6"/>
  <c r="Q157" i="6"/>
  <c r="L157" i="6"/>
  <c r="BC155" i="6"/>
  <c r="BB155" i="6"/>
  <c r="BA155" i="6"/>
  <c r="M155" i="6"/>
  <c r="N154" i="6" s="1"/>
  <c r="L155" i="6"/>
  <c r="M154" i="6" s="1"/>
  <c r="BL154" i="6" s="1"/>
  <c r="K155" i="6"/>
  <c r="J155" i="6"/>
  <c r="I155" i="6"/>
  <c r="BP154" i="6"/>
  <c r="L154" i="6"/>
  <c r="BH154" i="6" s="1"/>
  <c r="K154" i="6"/>
  <c r="BD154" i="6" s="1"/>
  <c r="J154" i="6"/>
  <c r="CI153" i="6"/>
  <c r="CH153" i="6"/>
  <c r="U153" i="6"/>
  <c r="T153" i="6"/>
  <c r="CZ152" i="6"/>
  <c r="CV152" i="6"/>
  <c r="CR152" i="6"/>
  <c r="CN152" i="6"/>
  <c r="CJ152" i="6"/>
  <c r="CF152" i="6"/>
  <c r="CB152" i="6"/>
  <c r="BT152" i="6"/>
  <c r="BS152" i="6"/>
  <c r="BP152" i="6"/>
  <c r="BL152" i="6"/>
  <c r="BH152" i="6"/>
  <c r="CT150" i="6"/>
  <c r="CS150" i="6"/>
  <c r="CQ150" i="6"/>
  <c r="CM150" i="6"/>
  <c r="CL150" i="6"/>
  <c r="CI150" i="6"/>
  <c r="CH150" i="6"/>
  <c r="CG150" i="6"/>
  <c r="CE150" i="6"/>
  <c r="CD150" i="6"/>
  <c r="CC150" i="6"/>
  <c r="CA150" i="6"/>
  <c r="BZ150" i="6"/>
  <c r="BY150" i="6"/>
  <c r="BV150" i="6"/>
  <c r="BU150" i="6"/>
  <c r="BT150" i="6"/>
  <c r="BR150" i="6"/>
  <c r="BQ150" i="6"/>
  <c r="BO150" i="6"/>
  <c r="BN150" i="6"/>
  <c r="BM150" i="6"/>
  <c r="BK150" i="6"/>
  <c r="BJ150" i="6"/>
  <c r="BI150" i="6"/>
  <c r="BG150" i="6"/>
  <c r="BF150" i="6"/>
  <c r="BE150" i="6"/>
  <c r="BD150" i="6"/>
  <c r="V150" i="6"/>
  <c r="S150" i="6"/>
  <c r="R150" i="6"/>
  <c r="Q150" i="6"/>
  <c r="O150" i="6"/>
  <c r="N150" i="6"/>
  <c r="M150" i="6"/>
  <c r="L150" i="6"/>
  <c r="K150" i="6"/>
  <c r="J150" i="6"/>
  <c r="I150" i="6"/>
  <c r="H150" i="6"/>
  <c r="CZ149" i="6"/>
  <c r="CV149" i="6"/>
  <c r="CU149" i="6"/>
  <c r="CU150" i="6" s="1"/>
  <c r="CT149" i="6"/>
  <c r="CS149" i="6"/>
  <c r="CR149" i="6"/>
  <c r="CO149" i="6"/>
  <c r="CN149" i="6"/>
  <c r="CJ149" i="6"/>
  <c r="CF149" i="6"/>
  <c r="CB149" i="6"/>
  <c r="BX149" i="6"/>
  <c r="BT149" i="6"/>
  <c r="BP149" i="6"/>
  <c r="BL149" i="6"/>
  <c r="BH149" i="6"/>
  <c r="U149" i="6"/>
  <c r="T149" i="6"/>
  <c r="T150" i="6" s="1"/>
  <c r="CZ148" i="6"/>
  <c r="CV148" i="6"/>
  <c r="CR148" i="6"/>
  <c r="CN148" i="6"/>
  <c r="CJ148" i="6"/>
  <c r="CF148" i="6"/>
  <c r="CB148" i="6"/>
  <c r="BX148" i="6"/>
  <c r="BW148" i="6"/>
  <c r="BW150" i="6" s="1"/>
  <c r="BT148" i="6"/>
  <c r="BP148" i="6"/>
  <c r="BL148" i="6"/>
  <c r="BH148" i="6"/>
  <c r="Y148" i="6"/>
  <c r="X148" i="6"/>
  <c r="W148" i="6"/>
  <c r="P148" i="6"/>
  <c r="P150" i="6" s="1"/>
  <c r="CZ147" i="6"/>
  <c r="CV147" i="6"/>
  <c r="CR147" i="6"/>
  <c r="CP147" i="6"/>
  <c r="CP150" i="6" s="1"/>
  <c r="CO147" i="6"/>
  <c r="CO150" i="6" s="1"/>
  <c r="CJ147" i="6"/>
  <c r="CF147" i="6"/>
  <c r="CB147" i="6"/>
  <c r="BX147" i="6"/>
  <c r="BT147" i="6"/>
  <c r="BP147" i="6"/>
  <c r="BL147" i="6"/>
  <c r="BH147" i="6"/>
  <c r="U147" i="6"/>
  <c r="U150" i="6" s="1"/>
  <c r="T147" i="6"/>
  <c r="CN147" i="6" s="1"/>
  <c r="CZ146" i="6"/>
  <c r="CV146" i="6"/>
  <c r="CR146" i="6"/>
  <c r="CN146" i="6"/>
  <c r="CJ146" i="6"/>
  <c r="CF146" i="6"/>
  <c r="CB146" i="6"/>
  <c r="BX146" i="6"/>
  <c r="BT146" i="6"/>
  <c r="BP146" i="6"/>
  <c r="BL146" i="6"/>
  <c r="BH146" i="6"/>
  <c r="CZ145" i="6"/>
  <c r="CV145" i="6"/>
  <c r="CR145" i="6"/>
  <c r="CN145" i="6"/>
  <c r="CJ145" i="6"/>
  <c r="CF145" i="6"/>
  <c r="CB145" i="6"/>
  <c r="BX145" i="6"/>
  <c r="BT145" i="6"/>
  <c r="BP145" i="6"/>
  <c r="BL145" i="6"/>
  <c r="BH145" i="6"/>
  <c r="CZ144" i="6"/>
  <c r="CV144" i="6"/>
  <c r="CR144" i="6"/>
  <c r="CN144" i="6"/>
  <c r="CJ144" i="6"/>
  <c r="CF144" i="6"/>
  <c r="CB144" i="6"/>
  <c r="BX144" i="6"/>
  <c r="BT144" i="6"/>
  <c r="BP144" i="6"/>
  <c r="BL144" i="6"/>
  <c r="BH144" i="6"/>
  <c r="CZ143" i="6"/>
  <c r="CV143" i="6"/>
  <c r="CR143" i="6"/>
  <c r="CN143" i="6"/>
  <c r="CJ143" i="6"/>
  <c r="CF143" i="6"/>
  <c r="CB143" i="6"/>
  <c r="BX143" i="6"/>
  <c r="BT143" i="6"/>
  <c r="BS143" i="6"/>
  <c r="BP143" i="6"/>
  <c r="BL143" i="6"/>
  <c r="BH143" i="6"/>
  <c r="CV142" i="6"/>
  <c r="CR142" i="6"/>
  <c r="CN142" i="6"/>
  <c r="CJ142" i="6"/>
  <c r="CF142" i="6"/>
  <c r="CB142" i="6"/>
  <c r="BX142" i="6"/>
  <c r="BT142" i="6"/>
  <c r="BS142" i="6"/>
  <c r="BP142" i="6"/>
  <c r="BL142" i="6"/>
  <c r="BH142" i="6"/>
  <c r="Y142" i="6"/>
  <c r="X142" i="6"/>
  <c r="W142" i="6"/>
  <c r="CZ142" i="6" s="1"/>
  <c r="CZ141" i="6"/>
  <c r="CV141" i="6"/>
  <c r="CR141" i="6"/>
  <c r="CN141" i="6"/>
  <c r="CJ141" i="6"/>
  <c r="CF141" i="6"/>
  <c r="CB141" i="6"/>
  <c r="BX141" i="6"/>
  <c r="BT141" i="6"/>
  <c r="BP141" i="6"/>
  <c r="BL141" i="6"/>
  <c r="BH141" i="6"/>
  <c r="CZ140" i="6"/>
  <c r="CV140" i="6"/>
  <c r="CR140" i="6"/>
  <c r="CN140" i="6"/>
  <c r="CJ140" i="6"/>
  <c r="CF140" i="6"/>
  <c r="CB140" i="6"/>
  <c r="BX140" i="6"/>
  <c r="BT140" i="6"/>
  <c r="BP140" i="6"/>
  <c r="BL140" i="6"/>
  <c r="BH140" i="6"/>
  <c r="CV139" i="6"/>
  <c r="CT139" i="6"/>
  <c r="CR139" i="6"/>
  <c r="CN139" i="6"/>
  <c r="CJ139" i="6"/>
  <c r="CF139" i="6"/>
  <c r="CB139" i="6"/>
  <c r="BX139" i="6"/>
  <c r="BT139" i="6"/>
  <c r="BS139" i="6"/>
  <c r="BS150" i="6" s="1"/>
  <c r="BP139" i="6"/>
  <c r="BL139" i="6"/>
  <c r="BH139" i="6"/>
  <c r="CZ138" i="6"/>
  <c r="CV138" i="6"/>
  <c r="CR138" i="6"/>
  <c r="CN138" i="6"/>
  <c r="CJ138" i="6"/>
  <c r="CF138" i="6"/>
  <c r="CF150" i="6" s="1"/>
  <c r="CB138" i="6"/>
  <c r="CB150" i="6" s="1"/>
  <c r="BX138" i="6"/>
  <c r="BT138" i="6"/>
  <c r="BP138" i="6"/>
  <c r="BL138" i="6"/>
  <c r="BH138" i="6"/>
  <c r="BH150" i="6" s="1"/>
  <c r="CZ137" i="6"/>
  <c r="CV137" i="6"/>
  <c r="CR137" i="6"/>
  <c r="CN137" i="6"/>
  <c r="CL137" i="6"/>
  <c r="CK137" i="6"/>
  <c r="CK150" i="6" s="1"/>
  <c r="CJ137" i="6"/>
  <c r="CH137" i="6"/>
  <c r="CF137" i="6"/>
  <c r="CB137" i="6"/>
  <c r="BX137" i="6"/>
  <c r="BT137" i="6"/>
  <c r="BP137" i="6"/>
  <c r="BL137" i="6"/>
  <c r="BH137" i="6"/>
  <c r="CZ136" i="6"/>
  <c r="CV136" i="6"/>
  <c r="CR136" i="6"/>
  <c r="CR150" i="6" s="1"/>
  <c r="CN136" i="6"/>
  <c r="CN150" i="6" s="1"/>
  <c r="CJ136" i="6"/>
  <c r="CF136" i="6"/>
  <c r="CB136" i="6"/>
  <c r="BX136" i="6"/>
  <c r="BT136" i="6"/>
  <c r="BP136" i="6"/>
  <c r="BP150" i="6" s="1"/>
  <c r="BL136" i="6"/>
  <c r="BL150" i="6" s="1"/>
  <c r="BH136" i="6"/>
  <c r="T136" i="6"/>
  <c r="CU133" i="6"/>
  <c r="CT133" i="6"/>
  <c r="CS133" i="6"/>
  <c r="CQ133" i="6"/>
  <c r="CP133" i="6"/>
  <c r="CO133" i="6"/>
  <c r="CM133" i="6"/>
  <c r="CL133" i="6"/>
  <c r="CK133" i="6"/>
  <c r="CI133" i="6"/>
  <c r="CH133" i="6"/>
  <c r="CG133" i="6"/>
  <c r="CE133" i="6"/>
  <c r="CD133" i="6"/>
  <c r="CC133" i="6"/>
  <c r="CA133" i="6"/>
  <c r="BZ133" i="6"/>
  <c r="BY133" i="6"/>
  <c r="BX133" i="6"/>
  <c r="BW133" i="6"/>
  <c r="BV133" i="6"/>
  <c r="BU133" i="6"/>
  <c r="BS133" i="6"/>
  <c r="BR133" i="6"/>
  <c r="BQ133" i="6"/>
  <c r="BO133" i="6"/>
  <c r="BN133" i="6"/>
  <c r="BM133" i="6"/>
  <c r="BK133" i="6"/>
  <c r="BJ133" i="6"/>
  <c r="BI133" i="6"/>
  <c r="BG133" i="6"/>
  <c r="BF133" i="6"/>
  <c r="BE133" i="6"/>
  <c r="Y133" i="6"/>
  <c r="X133" i="6"/>
  <c r="W133" i="6"/>
  <c r="V133" i="6"/>
  <c r="U133" i="6"/>
  <c r="S133" i="6"/>
  <c r="Q133" i="6"/>
  <c r="P133" i="6"/>
  <c r="O133" i="6"/>
  <c r="N133" i="6"/>
  <c r="M133" i="6"/>
  <c r="L133" i="6"/>
  <c r="K133" i="6"/>
  <c r="BD133" i="6" s="1"/>
  <c r="J133" i="6"/>
  <c r="I133" i="6"/>
  <c r="H133" i="6"/>
  <c r="CZ132" i="6"/>
  <c r="CR132" i="6"/>
  <c r="CN132" i="6"/>
  <c r="CJ132" i="6"/>
  <c r="CJ133" i="6" s="1"/>
  <c r="CB132" i="6"/>
  <c r="BX132" i="6"/>
  <c r="BT132" i="6"/>
  <c r="BP132" i="6"/>
  <c r="BL132" i="6"/>
  <c r="BH132" i="6"/>
  <c r="V132" i="6"/>
  <c r="CV132" i="6" s="1"/>
  <c r="T132" i="6"/>
  <c r="T133" i="6" s="1"/>
  <c r="R132" i="6"/>
  <c r="CF132" i="6" s="1"/>
  <c r="CZ131" i="6"/>
  <c r="CV131" i="6"/>
  <c r="CR131" i="6"/>
  <c r="CN131" i="6"/>
  <c r="CJ131" i="6"/>
  <c r="CF131" i="6"/>
  <c r="CB131" i="6"/>
  <c r="BX131" i="6"/>
  <c r="BT131" i="6"/>
  <c r="BS131" i="6"/>
  <c r="BP131" i="6"/>
  <c r="BL131" i="6"/>
  <c r="BH131" i="6"/>
  <c r="CZ130" i="6"/>
  <c r="CV130" i="6"/>
  <c r="CR130" i="6"/>
  <c r="CN130" i="6"/>
  <c r="CJ130" i="6"/>
  <c r="CF130" i="6"/>
  <c r="CB130" i="6"/>
  <c r="BX130" i="6"/>
  <c r="BT130" i="6"/>
  <c r="BP130" i="6"/>
  <c r="BL130" i="6"/>
  <c r="BH130" i="6"/>
  <c r="CZ129" i="6"/>
  <c r="CZ133" i="6" s="1"/>
  <c r="CV129" i="6"/>
  <c r="CR129" i="6"/>
  <c r="CR133" i="6" s="1"/>
  <c r="CN129" i="6"/>
  <c r="CJ129" i="6"/>
  <c r="CF129" i="6"/>
  <c r="CF133" i="6" s="1"/>
  <c r="CB129" i="6"/>
  <c r="CB133" i="6" s="1"/>
  <c r="BX129" i="6"/>
  <c r="BT129" i="6"/>
  <c r="BT133" i="6" s="1"/>
  <c r="BS129" i="6"/>
  <c r="BP129" i="6"/>
  <c r="BL129" i="6"/>
  <c r="BL133" i="6" s="1"/>
  <c r="BH129" i="6"/>
  <c r="BH133" i="6" s="1"/>
  <c r="CS126" i="6"/>
  <c r="CS153" i="6" s="1"/>
  <c r="CR126" i="6"/>
  <c r="CM126" i="6"/>
  <c r="CM157" i="6" s="1"/>
  <c r="CL126" i="6"/>
  <c r="CL157" i="6" s="1"/>
  <c r="CA126" i="6"/>
  <c r="CA157" i="6" s="1"/>
  <c r="BZ126" i="6"/>
  <c r="BO126" i="6"/>
  <c r="BO153" i="6" s="1"/>
  <c r="BO155" i="6" s="1"/>
  <c r="BN126" i="6"/>
  <c r="BN153" i="6" s="1"/>
  <c r="BN155" i="6" s="1"/>
  <c r="BI126" i="6"/>
  <c r="S126" i="6"/>
  <c r="R126" i="6"/>
  <c r="M126" i="6"/>
  <c r="L126" i="6"/>
  <c r="L153" i="6" s="1"/>
  <c r="CZ125" i="6"/>
  <c r="CV125" i="6"/>
  <c r="CR125" i="6"/>
  <c r="CN125" i="6"/>
  <c r="CJ125" i="6"/>
  <c r="CF125" i="6"/>
  <c r="CB125" i="6"/>
  <c r="BX125" i="6"/>
  <c r="BT125" i="6"/>
  <c r="BP125" i="6"/>
  <c r="BL125" i="6"/>
  <c r="BH125" i="6"/>
  <c r="W125" i="6"/>
  <c r="CV124" i="6"/>
  <c r="CR124" i="6"/>
  <c r="CN124" i="6"/>
  <c r="CN121" i="6" s="1"/>
  <c r="CJ124" i="6"/>
  <c r="CF124" i="6"/>
  <c r="CB124" i="6"/>
  <c r="BX124" i="6"/>
  <c r="BT124" i="6"/>
  <c r="BS124" i="6"/>
  <c r="BS121" i="6" s="1"/>
  <c r="BP124" i="6"/>
  <c r="BL124" i="6"/>
  <c r="BH124" i="6"/>
  <c r="CV123" i="6"/>
  <c r="CR123" i="6"/>
  <c r="CN123" i="6"/>
  <c r="CJ123" i="6"/>
  <c r="CJ121" i="6" s="1"/>
  <c r="CF123" i="6"/>
  <c r="CF121" i="6" s="1"/>
  <c r="CB123" i="6"/>
  <c r="BX123" i="6"/>
  <c r="BT123" i="6"/>
  <c r="BS123" i="6"/>
  <c r="BP123" i="6"/>
  <c r="BL123" i="6"/>
  <c r="BL121" i="6" s="1"/>
  <c r="BH123" i="6"/>
  <c r="CV122" i="6"/>
  <c r="CV121" i="6" s="1"/>
  <c r="CR122" i="6"/>
  <c r="CR121" i="6" s="1"/>
  <c r="CN122" i="6"/>
  <c r="CJ122" i="6"/>
  <c r="CF122" i="6"/>
  <c r="CB122" i="6"/>
  <c r="BX122" i="6"/>
  <c r="BX121" i="6" s="1"/>
  <c r="BT122" i="6"/>
  <c r="BT121" i="6" s="1"/>
  <c r="BS122" i="6"/>
  <c r="BP122" i="6"/>
  <c r="BL122" i="6"/>
  <c r="BH122" i="6"/>
  <c r="BH121" i="6" s="1"/>
  <c r="CU121" i="6"/>
  <c r="CT121" i="6"/>
  <c r="CS121" i="6"/>
  <c r="CQ121" i="6"/>
  <c r="CP121" i="6"/>
  <c r="CO121" i="6"/>
  <c r="CM121" i="6"/>
  <c r="CL121" i="6"/>
  <c r="CK121" i="6"/>
  <c r="CI121" i="6"/>
  <c r="CH121" i="6"/>
  <c r="CG121" i="6"/>
  <c r="CE121" i="6"/>
  <c r="CD121" i="6"/>
  <c r="CC121" i="6"/>
  <c r="CB121" i="6"/>
  <c r="CA121" i="6"/>
  <c r="BZ121" i="6"/>
  <c r="BY121" i="6"/>
  <c r="BW121" i="6"/>
  <c r="BV121" i="6"/>
  <c r="BU121" i="6"/>
  <c r="BR121" i="6"/>
  <c r="BQ121" i="6"/>
  <c r="BP121" i="6"/>
  <c r="BO121" i="6"/>
  <c r="BN121" i="6"/>
  <c r="BM121" i="6"/>
  <c r="BK121" i="6"/>
  <c r="BJ121" i="6"/>
  <c r="BI121" i="6"/>
  <c r="BG121" i="6"/>
  <c r="BF121" i="6"/>
  <c r="BE121" i="6"/>
  <c r="V121" i="6"/>
  <c r="U121" i="6"/>
  <c r="T121" i="6"/>
  <c r="S121" i="6"/>
  <c r="R121" i="6"/>
  <c r="Q121" i="6"/>
  <c r="P121" i="6"/>
  <c r="O121" i="6"/>
  <c r="N121" i="6"/>
  <c r="M121" i="6"/>
  <c r="L121" i="6"/>
  <c r="K121" i="6"/>
  <c r="J121" i="6"/>
  <c r="I121" i="6"/>
  <c r="H121" i="6"/>
  <c r="CU119" i="6"/>
  <c r="CU126" i="6" s="1"/>
  <c r="CU157" i="6" s="1"/>
  <c r="CT119" i="6"/>
  <c r="CT126" i="6" s="1"/>
  <c r="CT157" i="6" s="1"/>
  <c r="CS119" i="6"/>
  <c r="CQ119" i="6"/>
  <c r="CQ126" i="6" s="1"/>
  <c r="CP119" i="6"/>
  <c r="CP126" i="6" s="1"/>
  <c r="CO119" i="6"/>
  <c r="CO126" i="6" s="1"/>
  <c r="CO157" i="6" s="1"/>
  <c r="CM119" i="6"/>
  <c r="CL119" i="6"/>
  <c r="CK119" i="6"/>
  <c r="CK126" i="6" s="1"/>
  <c r="CJ119" i="6"/>
  <c r="CJ126" i="6" s="1"/>
  <c r="CI119" i="6"/>
  <c r="CI126" i="6" s="1"/>
  <c r="CI157" i="6" s="1"/>
  <c r="CH119" i="6"/>
  <c r="CH126" i="6" s="1"/>
  <c r="CH157" i="6" s="1"/>
  <c r="CE119" i="6"/>
  <c r="CE126" i="6" s="1"/>
  <c r="CD119" i="6"/>
  <c r="CD126" i="6" s="1"/>
  <c r="CA119" i="6"/>
  <c r="BZ119" i="6"/>
  <c r="BY119" i="6"/>
  <c r="BY126" i="6" s="1"/>
  <c r="BW119" i="6"/>
  <c r="BW126" i="6" s="1"/>
  <c r="BW157" i="6" s="1"/>
  <c r="BS119" i="6"/>
  <c r="BR119" i="6"/>
  <c r="BR126" i="6" s="1"/>
  <c r="BO119" i="6"/>
  <c r="BN119" i="6"/>
  <c r="BM119" i="6"/>
  <c r="BM126" i="6" s="1"/>
  <c r="BK119" i="6"/>
  <c r="BK126" i="6" s="1"/>
  <c r="BK157" i="6" s="1"/>
  <c r="BJ119" i="6"/>
  <c r="BJ126" i="6" s="1"/>
  <c r="BJ157" i="6" s="1"/>
  <c r="BI119" i="6"/>
  <c r="BG119" i="6"/>
  <c r="BG126" i="6" s="1"/>
  <c r="BF119" i="6"/>
  <c r="BF126" i="6" s="1"/>
  <c r="BE119" i="6"/>
  <c r="BE126" i="6" s="1"/>
  <c r="BE157" i="6" s="1"/>
  <c r="V119" i="6"/>
  <c r="V126" i="6" s="1"/>
  <c r="U119" i="6"/>
  <c r="U126" i="6" s="1"/>
  <c r="U157" i="6" s="1"/>
  <c r="S119" i="6"/>
  <c r="R119" i="6"/>
  <c r="Q119" i="6"/>
  <c r="Q126" i="6" s="1"/>
  <c r="Q153" i="6" s="1"/>
  <c r="P119" i="6"/>
  <c r="P126" i="6" s="1"/>
  <c r="O119" i="6"/>
  <c r="O126" i="6" s="1"/>
  <c r="O157" i="6" s="1"/>
  <c r="N119" i="6"/>
  <c r="N126" i="6" s="1"/>
  <c r="N157" i="6" s="1"/>
  <c r="M119" i="6"/>
  <c r="L119" i="6"/>
  <c r="K119" i="6"/>
  <c r="K126" i="6" s="1"/>
  <c r="J119" i="6"/>
  <c r="J126" i="6" s="1"/>
  <c r="I119" i="6"/>
  <c r="I126" i="6" s="1"/>
  <c r="I157" i="6" s="1"/>
  <c r="H119" i="6"/>
  <c r="H126" i="6" s="1"/>
  <c r="H157" i="6" s="1"/>
  <c r="CZ118" i="6"/>
  <c r="CV118" i="6"/>
  <c r="CR118" i="6"/>
  <c r="CN118" i="6"/>
  <c r="CJ118" i="6"/>
  <c r="CF118" i="6"/>
  <c r="CB118" i="6"/>
  <c r="BX118" i="6"/>
  <c r="BT118" i="6"/>
  <c r="BP118" i="6"/>
  <c r="BL118" i="6"/>
  <c r="BH118" i="6"/>
  <c r="T118" i="6"/>
  <c r="T119" i="6" s="1"/>
  <c r="T126" i="6" s="1"/>
  <c r="T157" i="6" s="1"/>
  <c r="CZ117" i="6"/>
  <c r="CV117" i="6"/>
  <c r="CR117" i="6"/>
  <c r="CN117" i="6"/>
  <c r="CJ117" i="6"/>
  <c r="CG117" i="6"/>
  <c r="CF117" i="6"/>
  <c r="CB117" i="6"/>
  <c r="BX117" i="6"/>
  <c r="BT117" i="6"/>
  <c r="BP117" i="6"/>
  <c r="BL117" i="6"/>
  <c r="BH117" i="6"/>
  <c r="CZ116" i="6"/>
  <c r="CV116" i="6"/>
  <c r="CR116" i="6"/>
  <c r="CN116" i="6"/>
  <c r="CJ116" i="6"/>
  <c r="CG116" i="6"/>
  <c r="CG119" i="6" s="1"/>
  <c r="CG126" i="6" s="1"/>
  <c r="CF116" i="6"/>
  <c r="CD116" i="6"/>
  <c r="CC116" i="6"/>
  <c r="CC119" i="6" s="1"/>
  <c r="CC126" i="6" s="1"/>
  <c r="CC157" i="6" s="1"/>
  <c r="CB116" i="6"/>
  <c r="BZ116" i="6"/>
  <c r="BY116" i="6"/>
  <c r="BX116" i="6"/>
  <c r="BV116" i="6"/>
  <c r="BV119" i="6" s="1"/>
  <c r="BV126" i="6" s="1"/>
  <c r="BV157" i="6" s="1"/>
  <c r="BU116" i="6"/>
  <c r="BU119" i="6" s="1"/>
  <c r="BU126" i="6" s="1"/>
  <c r="BT116" i="6"/>
  <c r="BR116" i="6"/>
  <c r="BQ116" i="6"/>
  <c r="BQ119" i="6" s="1"/>
  <c r="BQ126" i="6" s="1"/>
  <c r="BP116" i="6"/>
  <c r="BL116" i="6"/>
  <c r="BH116" i="6"/>
  <c r="CZ115" i="6"/>
  <c r="CV115" i="6"/>
  <c r="CR115" i="6"/>
  <c r="CN115" i="6"/>
  <c r="CJ115" i="6"/>
  <c r="CF115" i="6"/>
  <c r="CB115" i="6"/>
  <c r="BX115" i="6"/>
  <c r="BT115" i="6"/>
  <c r="BP115" i="6"/>
  <c r="BL115" i="6"/>
  <c r="BH115" i="6"/>
  <c r="CZ114" i="6"/>
  <c r="CV114" i="6"/>
  <c r="CR114" i="6"/>
  <c r="CN114" i="6"/>
  <c r="CJ114" i="6"/>
  <c r="CF114" i="6"/>
  <c r="CB114" i="6"/>
  <c r="BX114" i="6"/>
  <c r="BT114" i="6"/>
  <c r="BP114" i="6"/>
  <c r="BL114" i="6"/>
  <c r="BH114" i="6"/>
  <c r="CZ113" i="6"/>
  <c r="CV113" i="6"/>
  <c r="CR113" i="6"/>
  <c r="CN113" i="6"/>
  <c r="CJ113" i="6"/>
  <c r="CF113" i="6"/>
  <c r="CB113" i="6"/>
  <c r="BX113" i="6"/>
  <c r="BT113" i="6"/>
  <c r="BP113" i="6"/>
  <c r="BL113" i="6"/>
  <c r="BH113" i="6"/>
  <c r="CZ112" i="6"/>
  <c r="CV112" i="6"/>
  <c r="CR112" i="6"/>
  <c r="CN112" i="6"/>
  <c r="CJ112" i="6"/>
  <c r="CF112" i="6"/>
  <c r="CB112" i="6"/>
  <c r="BX112" i="6"/>
  <c r="BT112" i="6"/>
  <c r="BP112" i="6"/>
  <c r="BL112" i="6"/>
  <c r="BL119" i="6" s="1"/>
  <c r="BL126" i="6" s="1"/>
  <c r="BH112" i="6"/>
  <c r="CV111" i="6"/>
  <c r="CR111" i="6"/>
  <c r="CN111" i="6"/>
  <c r="CJ111" i="6"/>
  <c r="CF111" i="6"/>
  <c r="CB111" i="6"/>
  <c r="BX111" i="6"/>
  <c r="BT111" i="6"/>
  <c r="BP111" i="6"/>
  <c r="BL111" i="6"/>
  <c r="BH111" i="6"/>
  <c r="CV109" i="6"/>
  <c r="CV119" i="6" s="1"/>
  <c r="CV126" i="6" s="1"/>
  <c r="CR109" i="6"/>
  <c r="CR119" i="6" s="1"/>
  <c r="CN109" i="6"/>
  <c r="CN119" i="6" s="1"/>
  <c r="CN126" i="6" s="1"/>
  <c r="CJ109" i="6"/>
  <c r="CF109" i="6"/>
  <c r="CB109" i="6"/>
  <c r="CB119" i="6" s="1"/>
  <c r="BX109" i="6"/>
  <c r="BX119" i="6" s="1"/>
  <c r="BX126" i="6" s="1"/>
  <c r="BT109" i="6"/>
  <c r="BT119" i="6" s="1"/>
  <c r="BT126" i="6" s="1"/>
  <c r="BP109" i="6"/>
  <c r="BP119" i="6" s="1"/>
  <c r="BP126" i="6" s="1"/>
  <c r="BL109" i="6"/>
  <c r="BH109" i="6"/>
  <c r="BD109" i="6"/>
  <c r="CZ108" i="6"/>
  <c r="CV108" i="6"/>
  <c r="CU108" i="6"/>
  <c r="CT108" i="6"/>
  <c r="CS108" i="6"/>
  <c r="CR108" i="6"/>
  <c r="CQ108" i="6"/>
  <c r="CP108" i="6"/>
  <c r="CO108" i="6"/>
  <c r="CN108" i="6"/>
  <c r="CM108" i="6"/>
  <c r="CL108" i="6"/>
  <c r="CK108" i="6"/>
  <c r="CJ108" i="6"/>
  <c r="CI108" i="6"/>
  <c r="CH108" i="6"/>
  <c r="CG108" i="6"/>
  <c r="CF108" i="6"/>
  <c r="CE108" i="6"/>
  <c r="CD108" i="6"/>
  <c r="CC108" i="6"/>
  <c r="CB108" i="6"/>
  <c r="CA108" i="6"/>
  <c r="BZ108" i="6"/>
  <c r="BY108" i="6"/>
  <c r="BX108" i="6"/>
  <c r="BW108" i="6"/>
  <c r="BV108" i="6"/>
  <c r="BU108" i="6"/>
  <c r="BT108" i="6"/>
  <c r="BS108" i="6"/>
  <c r="BR108" i="6"/>
  <c r="BQ108" i="6"/>
  <c r="BP108" i="6"/>
  <c r="BO108" i="6"/>
  <c r="BN108" i="6"/>
  <c r="BM108" i="6"/>
  <c r="BL108" i="6"/>
  <c r="BK108" i="6"/>
  <c r="BJ108" i="6"/>
  <c r="BI108" i="6"/>
  <c r="BH108" i="6"/>
  <c r="BG108" i="6"/>
  <c r="BF108" i="6"/>
  <c r="BE108" i="6"/>
  <c r="Y108" i="6"/>
  <c r="X108" i="6"/>
  <c r="W108" i="6"/>
  <c r="V108" i="6"/>
  <c r="U108" i="6"/>
  <c r="T108" i="6"/>
  <c r="S108" i="6"/>
  <c r="R108" i="6"/>
  <c r="Q108" i="6"/>
  <c r="P108" i="6"/>
  <c r="O108" i="6"/>
  <c r="N108" i="6"/>
  <c r="M108" i="6"/>
  <c r="L108" i="6"/>
  <c r="K108" i="6"/>
  <c r="J108" i="6"/>
  <c r="I108" i="6"/>
  <c r="H108" i="6"/>
  <c r="CU107" i="6"/>
  <c r="CT107" i="6"/>
  <c r="CQ107" i="6"/>
  <c r="CP107" i="6"/>
  <c r="CO107" i="6"/>
  <c r="CS107" i="6" s="1"/>
  <c r="CN107" i="6"/>
  <c r="BY98" i="6"/>
  <c r="H98" i="6"/>
  <c r="BY94" i="6"/>
  <c r="U94" i="6"/>
  <c r="U98" i="6" s="1"/>
  <c r="V94" i="6" s="1"/>
  <c r="V98" i="6" s="1"/>
  <c r="W94" i="6" s="1"/>
  <c r="W98" i="6" s="1"/>
  <c r="X94" i="6" s="1"/>
  <c r="X98" i="6" s="1"/>
  <c r="Y94" i="6" s="1"/>
  <c r="Y98" i="6" s="1"/>
  <c r="P94" i="6"/>
  <c r="P98" i="6" s="1"/>
  <c r="Q94" i="6" s="1"/>
  <c r="Q98" i="6" s="1"/>
  <c r="R94" i="6" s="1"/>
  <c r="R98" i="6" s="1"/>
  <c r="S94" i="6" s="1"/>
  <c r="S98" i="6" s="1"/>
  <c r="T94" i="6" s="1"/>
  <c r="T98" i="6" s="1"/>
  <c r="I94" i="6"/>
  <c r="I98" i="6" s="1"/>
  <c r="J94" i="6" s="1"/>
  <c r="J98" i="6" s="1"/>
  <c r="K94" i="6" s="1"/>
  <c r="K98" i="6" s="1"/>
  <c r="L94" i="6" s="1"/>
  <c r="L98" i="6" s="1"/>
  <c r="M94" i="6" s="1"/>
  <c r="M98" i="6" s="1"/>
  <c r="N94" i="6" s="1"/>
  <c r="N98" i="6" s="1"/>
  <c r="O94" i="6" s="1"/>
  <c r="O98" i="6" s="1"/>
  <c r="CR91" i="6"/>
  <c r="CN91" i="6"/>
  <c r="CM91" i="6"/>
  <c r="CL91" i="6"/>
  <c r="CK91" i="6"/>
  <c r="CJ91" i="6"/>
  <c r="CI91" i="6"/>
  <c r="CH91" i="6"/>
  <c r="CG91" i="6"/>
  <c r="CF91" i="6"/>
  <c r="CA91" i="6"/>
  <c r="BZ91" i="6"/>
  <c r="V91" i="6"/>
  <c r="U91" i="6"/>
  <c r="T91" i="6"/>
  <c r="S91" i="6"/>
  <c r="R91" i="6"/>
  <c r="BW89" i="6"/>
  <c r="BV89" i="6"/>
  <c r="CY86" i="6"/>
  <c r="CZ86" i="6" s="1"/>
  <c r="CX86" i="6"/>
  <c r="CW86" i="6"/>
  <c r="CU86" i="6"/>
  <c r="Y86" i="6"/>
  <c r="X86" i="6"/>
  <c r="W86" i="6"/>
  <c r="EV85" i="6"/>
  <c r="CC85" i="6"/>
  <c r="BK85" i="6"/>
  <c r="CY84" i="6"/>
  <c r="CX84" i="6"/>
  <c r="CW84" i="6"/>
  <c r="BS84" i="6"/>
  <c r="Y84" i="6"/>
  <c r="X84" i="6"/>
  <c r="W84" i="6"/>
  <c r="BK82" i="6"/>
  <c r="N82" i="6"/>
  <c r="N81" i="6"/>
  <c r="N80" i="6"/>
  <c r="EA79" i="6"/>
  <c r="DZ79" i="6"/>
  <c r="DZ78" i="6" s="1"/>
  <c r="DY79" i="6"/>
  <c r="DV79" i="6"/>
  <c r="BV79" i="6"/>
  <c r="BX79" i="6" s="1"/>
  <c r="AT79" i="6"/>
  <c r="AD77" i="6"/>
  <c r="AC77" i="6"/>
  <c r="K77" i="6"/>
  <c r="J77" i="6"/>
  <c r="AB77" i="6" s="1"/>
  <c r="I77" i="6"/>
  <c r="AA77" i="6" s="1"/>
  <c r="H77" i="6"/>
  <c r="CQ76" i="6"/>
  <c r="CM76" i="6"/>
  <c r="CE76" i="6"/>
  <c r="CA76" i="6"/>
  <c r="BO76" i="6"/>
  <c r="BG76" i="6"/>
  <c r="BC76" i="6"/>
  <c r="BA76" i="6"/>
  <c r="AC76" i="6"/>
  <c r="AB76" i="6"/>
  <c r="AA76" i="6"/>
  <c r="CQ75" i="6"/>
  <c r="CP75" i="6"/>
  <c r="CK75" i="6"/>
  <c r="CE75" i="6"/>
  <c r="CD75" i="6"/>
  <c r="BY75" i="6"/>
  <c r="BS75" i="6"/>
  <c r="BR75" i="6"/>
  <c r="BM75" i="6"/>
  <c r="BG75" i="6"/>
  <c r="BF75" i="6"/>
  <c r="BA75" i="6"/>
  <c r="AC75" i="6"/>
  <c r="AB75" i="6"/>
  <c r="M75" i="6"/>
  <c r="AE75" i="6" s="1"/>
  <c r="L75" i="6"/>
  <c r="AD75" i="6" s="1"/>
  <c r="CU74" i="6"/>
  <c r="CT74" i="6"/>
  <c r="CP74" i="6"/>
  <c r="CI74" i="6"/>
  <c r="CH74" i="6"/>
  <c r="CD74" i="6"/>
  <c r="BY74" i="6"/>
  <c r="BX74" i="6"/>
  <c r="BX77" i="6" s="1"/>
  <c r="BW74" i="6"/>
  <c r="BV74" i="6"/>
  <c r="BR74" i="6"/>
  <c r="BJ74" i="6"/>
  <c r="BF74" i="6"/>
  <c r="AD74" i="6"/>
  <c r="AC74" i="6"/>
  <c r="AB74" i="6"/>
  <c r="AA74" i="6"/>
  <c r="L74" i="6"/>
  <c r="L77" i="6" s="1"/>
  <c r="BW73" i="6"/>
  <c r="EN72" i="6"/>
  <c r="EM72" i="6"/>
  <c r="EI72" i="6"/>
  <c r="EB72" i="6"/>
  <c r="EA72" i="6"/>
  <c r="DW72" i="6"/>
  <c r="DP72" i="6"/>
  <c r="DO72" i="6"/>
  <c r="DK72" i="6"/>
  <c r="CV72" i="6"/>
  <c r="CU72" i="6"/>
  <c r="CY85" i="6" s="1"/>
  <c r="CT72" i="6"/>
  <c r="CS72" i="6"/>
  <c r="CR72" i="6"/>
  <c r="ES72" i="6" s="1"/>
  <c r="CQ72" i="6"/>
  <c r="CQ74" i="6" s="1"/>
  <c r="CQ77" i="6" s="1"/>
  <c r="CP72" i="6"/>
  <c r="CO72" i="6"/>
  <c r="CN72" i="6"/>
  <c r="EK72" i="6" s="1"/>
  <c r="CM72" i="6"/>
  <c r="CL72" i="6"/>
  <c r="CK72" i="6"/>
  <c r="CJ72" i="6"/>
  <c r="CI72" i="6"/>
  <c r="CH72" i="6"/>
  <c r="CG72" i="6"/>
  <c r="CF72" i="6"/>
  <c r="EG72" i="6" s="1"/>
  <c r="CE72" i="6"/>
  <c r="CE74" i="6" s="1"/>
  <c r="CD72" i="6"/>
  <c r="CC72" i="6"/>
  <c r="CB72" i="6"/>
  <c r="DY72" i="6" s="1"/>
  <c r="CA72" i="6"/>
  <c r="BZ72" i="6"/>
  <c r="BY72" i="6"/>
  <c r="BX72" i="6"/>
  <c r="BW72" i="6"/>
  <c r="BV72" i="6"/>
  <c r="BU72" i="6"/>
  <c r="BT72" i="6"/>
  <c r="BS72" i="6"/>
  <c r="BW85" i="6" s="1"/>
  <c r="BR72" i="6"/>
  <c r="BV85" i="6" s="1"/>
  <c r="DS85" i="6" s="1"/>
  <c r="BQ72" i="6"/>
  <c r="BQ74" i="6" s="1"/>
  <c r="BO72" i="6"/>
  <c r="BN72" i="6"/>
  <c r="BM72" i="6"/>
  <c r="BM74" i="6" s="1"/>
  <c r="BK72" i="6"/>
  <c r="BK74" i="6" s="1"/>
  <c r="BJ72" i="6"/>
  <c r="BI72" i="6"/>
  <c r="BI76" i="6" s="1"/>
  <c r="BG72" i="6"/>
  <c r="BG74" i="6" s="1"/>
  <c r="BF72" i="6"/>
  <c r="BJ85" i="6" s="1"/>
  <c r="BJ81" i="6" s="1"/>
  <c r="BE72" i="6"/>
  <c r="BC72" i="6"/>
  <c r="BB72" i="6"/>
  <c r="BA72" i="6"/>
  <c r="BE85" i="6" s="1"/>
  <c r="N72" i="6"/>
  <c r="M72" i="6"/>
  <c r="N85" i="6" s="1"/>
  <c r="L72" i="6"/>
  <c r="L76" i="6" s="1"/>
  <c r="AD76" i="6" s="1"/>
  <c r="K72" i="6"/>
  <c r="L85" i="6" s="1"/>
  <c r="J72" i="6"/>
  <c r="I72" i="6"/>
  <c r="AA72" i="6" s="1"/>
  <c r="H72" i="6"/>
  <c r="ER71" i="6"/>
  <c r="EN71" i="6"/>
  <c r="EF71" i="6"/>
  <c r="DW71" i="6"/>
  <c r="CU71" i="6"/>
  <c r="CU76" i="6" s="1"/>
  <c r="CT71" i="6"/>
  <c r="CS71" i="6"/>
  <c r="EP71" i="6" s="1"/>
  <c r="CK71" i="6"/>
  <c r="CI71" i="6"/>
  <c r="CH71" i="6"/>
  <c r="CG71" i="6"/>
  <c r="ED71" i="6" s="1"/>
  <c r="CE71" i="6"/>
  <c r="EB71" i="6" s="1"/>
  <c r="CC71" i="6"/>
  <c r="CC76" i="6" s="1"/>
  <c r="CA71" i="6"/>
  <c r="DX71" i="6" s="1"/>
  <c r="BZ71" i="6"/>
  <c r="BZ76" i="6" s="1"/>
  <c r="BY71" i="6"/>
  <c r="BX71" i="6"/>
  <c r="BX76" i="6" s="1"/>
  <c r="BW71" i="6"/>
  <c r="BW76" i="6" s="1"/>
  <c r="BV71" i="6"/>
  <c r="BV76" i="6" s="1"/>
  <c r="BU71" i="6"/>
  <c r="BU76" i="6" s="1"/>
  <c r="BS71" i="6"/>
  <c r="DP71" i="6" s="1"/>
  <c r="BR71" i="6"/>
  <c r="BQ71" i="6"/>
  <c r="BO71" i="6"/>
  <c r="BN71" i="6"/>
  <c r="BN76" i="6" s="1"/>
  <c r="BM71" i="6"/>
  <c r="BM76" i="6" s="1"/>
  <c r="AD71" i="6"/>
  <c r="AC71" i="6"/>
  <c r="AB71" i="6"/>
  <c r="AA71" i="6"/>
  <c r="M71" i="6"/>
  <c r="EV70" i="6"/>
  <c r="EU70" i="6"/>
  <c r="ET70" i="6"/>
  <c r="ER70" i="6"/>
  <c r="EQ70" i="6"/>
  <c r="EP70" i="6"/>
  <c r="EN70" i="6"/>
  <c r="EM70" i="6"/>
  <c r="EL70" i="6"/>
  <c r="EJ70" i="6"/>
  <c r="EI70" i="6"/>
  <c r="EH70" i="6"/>
  <c r="EF70" i="6"/>
  <c r="EE70" i="6"/>
  <c r="ED70" i="6"/>
  <c r="EB70" i="6"/>
  <c r="EA70" i="6"/>
  <c r="DZ70" i="6"/>
  <c r="DX70" i="6"/>
  <c r="DW70" i="6"/>
  <c r="DV70" i="6"/>
  <c r="DQ70" i="6"/>
  <c r="DP70" i="6"/>
  <c r="DO70" i="6"/>
  <c r="DN70" i="6"/>
  <c r="CB70" i="6"/>
  <c r="CB75" i="6" s="1"/>
  <c r="BX70" i="6"/>
  <c r="BX75" i="6" s="1"/>
  <c r="BT70" i="6"/>
  <c r="BT75" i="6" s="1"/>
  <c r="BP70" i="6"/>
  <c r="AI70" i="6"/>
  <c r="AH70" i="6"/>
  <c r="AG70" i="6"/>
  <c r="AF70" i="6"/>
  <c r="AE70" i="6"/>
  <c r="AD70" i="6"/>
  <c r="AC70" i="6"/>
  <c r="AB70" i="6"/>
  <c r="EV69" i="6"/>
  <c r="EU69" i="6"/>
  <c r="ET69" i="6"/>
  <c r="ER69" i="6"/>
  <c r="EQ69" i="6"/>
  <c r="EP69" i="6"/>
  <c r="EN69" i="6"/>
  <c r="EM69" i="6"/>
  <c r="EL69" i="6"/>
  <c r="EJ69" i="6"/>
  <c r="EI69" i="6"/>
  <c r="EH69" i="6"/>
  <c r="EF69" i="6"/>
  <c r="EE69" i="6"/>
  <c r="ED69" i="6"/>
  <c r="EB69" i="6"/>
  <c r="EA69" i="6"/>
  <c r="DZ69" i="6"/>
  <c r="DY69" i="6"/>
  <c r="DX69" i="6"/>
  <c r="DW69" i="6"/>
  <c r="DV69" i="6"/>
  <c r="DP69" i="6"/>
  <c r="DO69" i="6"/>
  <c r="DN69" i="6"/>
  <c r="CB69" i="6"/>
  <c r="CB74" i="6" s="1"/>
  <c r="BX69" i="6"/>
  <c r="BT69" i="6"/>
  <c r="BP69" i="6"/>
  <c r="AI69" i="6"/>
  <c r="AH69" i="6"/>
  <c r="AG69" i="6"/>
  <c r="AF69" i="6"/>
  <c r="AE69" i="6"/>
  <c r="AD69" i="6"/>
  <c r="AC69" i="6"/>
  <c r="AB69" i="6"/>
  <c r="AA69" i="6"/>
  <c r="EW67" i="6"/>
  <c r="EV67" i="6"/>
  <c r="EU67" i="6"/>
  <c r="ET67" i="6"/>
  <c r="ES67" i="6"/>
  <c r="ER67" i="6"/>
  <c r="EQ67" i="6"/>
  <c r="EP67" i="6"/>
  <c r="EO67" i="6"/>
  <c r="EN67" i="6"/>
  <c r="EM67" i="6"/>
  <c r="EL67" i="6"/>
  <c r="EK67" i="6"/>
  <c r="EJ67" i="6"/>
  <c r="EI67" i="6"/>
  <c r="EH67" i="6"/>
  <c r="EG67" i="6"/>
  <c r="EF67" i="6"/>
  <c r="EE67" i="6"/>
  <c r="ED67" i="6"/>
  <c r="EC67" i="6"/>
  <c r="EB67" i="6"/>
  <c r="EA67" i="6"/>
  <c r="DZ67" i="6"/>
  <c r="DY67" i="6"/>
  <c r="DX67" i="6"/>
  <c r="DW67" i="6"/>
  <c r="DV67" i="6"/>
  <c r="DU67" i="6"/>
  <c r="DT67" i="6"/>
  <c r="DS67" i="6"/>
  <c r="DR67" i="6"/>
  <c r="DQ67" i="6"/>
  <c r="DP67" i="6"/>
  <c r="DO67" i="6"/>
  <c r="DN67" i="6"/>
  <c r="DM67" i="6"/>
  <c r="DL67" i="6"/>
  <c r="DK67" i="6"/>
  <c r="DJ67" i="6"/>
  <c r="DI67" i="6"/>
  <c r="DH67" i="6"/>
  <c r="DG67" i="6"/>
  <c r="DF67" i="6"/>
  <c r="DE67" i="6"/>
  <c r="DD67" i="6"/>
  <c r="DC67" i="6"/>
  <c r="DB67" i="6"/>
  <c r="CZ67" i="6"/>
  <c r="CY67" i="6"/>
  <c r="CX67" i="6"/>
  <c r="CW67" i="6"/>
  <c r="CV67" i="6"/>
  <c r="CU67" i="6"/>
  <c r="CT67" i="6"/>
  <c r="CS67" i="6"/>
  <c r="CR67" i="6"/>
  <c r="CQ67" i="6"/>
  <c r="CP67" i="6"/>
  <c r="CO67" i="6"/>
  <c r="CN67" i="6"/>
  <c r="CM67" i="6"/>
  <c r="CL67" i="6"/>
  <c r="CK67" i="6"/>
  <c r="CJ67" i="6"/>
  <c r="CI67" i="6"/>
  <c r="CH67" i="6"/>
  <c r="CG67" i="6"/>
  <c r="CF67" i="6"/>
  <c r="CE67" i="6"/>
  <c r="CD67" i="6"/>
  <c r="CC67" i="6"/>
  <c r="CB67" i="6"/>
  <c r="CA67" i="6"/>
  <c r="BZ67" i="6"/>
  <c r="BY67" i="6"/>
  <c r="BX67" i="6"/>
  <c r="BW67" i="6"/>
  <c r="BV67" i="6"/>
  <c r="BU67" i="6"/>
  <c r="BT67" i="6"/>
  <c r="BS67" i="6"/>
  <c r="BR67" i="6"/>
  <c r="BQ67" i="6"/>
  <c r="BP67" i="6"/>
  <c r="BO67" i="6"/>
  <c r="BN67" i="6"/>
  <c r="BM67" i="6"/>
  <c r="BL67" i="6"/>
  <c r="BK67" i="6"/>
  <c r="BJ67" i="6"/>
  <c r="BI67" i="6"/>
  <c r="BH67" i="6"/>
  <c r="BG67" i="6"/>
  <c r="BF67" i="6"/>
  <c r="BE67" i="6"/>
  <c r="BD67" i="6"/>
  <c r="BC67" i="6"/>
  <c r="BB67" i="6"/>
  <c r="BA67" i="6"/>
  <c r="AQ67" i="6"/>
  <c r="AP67" i="6"/>
  <c r="AO67" i="6"/>
  <c r="AN67" i="6"/>
  <c r="AM67" i="6"/>
  <c r="AL67" i="6"/>
  <c r="AK67" i="6"/>
  <c r="AJ67" i="6"/>
  <c r="AI67" i="6"/>
  <c r="AH67" i="6"/>
  <c r="AG67" i="6"/>
  <c r="AF67" i="6"/>
  <c r="AE67" i="6"/>
  <c r="AD67" i="6"/>
  <c r="AC67" i="6"/>
  <c r="AB67" i="6"/>
  <c r="AA67" i="6"/>
  <c r="Y67" i="6"/>
  <c r="X67" i="6"/>
  <c r="W67" i="6"/>
  <c r="V67" i="6"/>
  <c r="U67" i="6"/>
  <c r="T67" i="6"/>
  <c r="S67" i="6"/>
  <c r="R67" i="6"/>
  <c r="Q67" i="6"/>
  <c r="P67" i="6"/>
  <c r="O67" i="6"/>
  <c r="N67" i="6"/>
  <c r="M67" i="6"/>
  <c r="L67" i="6"/>
  <c r="K67" i="6"/>
  <c r="J67" i="6"/>
  <c r="I67" i="6"/>
  <c r="H67" i="6"/>
  <c r="DZ66" i="6"/>
  <c r="DV66" i="6"/>
  <c r="DR66" i="6"/>
  <c r="DN66" i="6"/>
  <c r="DJ66" i="6"/>
  <c r="DF66" i="6"/>
  <c r="DB66" i="6"/>
  <c r="CF63" i="6"/>
  <c r="CD63" i="6"/>
  <c r="CF62" i="6"/>
  <c r="CD62" i="6"/>
  <c r="EE61" i="6"/>
  <c r="CJ61" i="6"/>
  <c r="CH61" i="6"/>
  <c r="CF61" i="6"/>
  <c r="CD61" i="6"/>
  <c r="EO60" i="6"/>
  <c r="EK60" i="6"/>
  <c r="EI60" i="6"/>
  <c r="EG60" i="6"/>
  <c r="EE60" i="6"/>
  <c r="CH60" i="6"/>
  <c r="CF60" i="6"/>
  <c r="CY58" i="6"/>
  <c r="Y58" i="6"/>
  <c r="X58" i="6"/>
  <c r="W58" i="6"/>
  <c r="EV57" i="6"/>
  <c r="EU57" i="6"/>
  <c r="ET57" i="6"/>
  <c r="CW57" i="6" s="1"/>
  <c r="CY57" i="6"/>
  <c r="CX57" i="6"/>
  <c r="CY56" i="6"/>
  <c r="CX56" i="6"/>
  <c r="CW56" i="6"/>
  <c r="CV56" i="6"/>
  <c r="CU56" i="6"/>
  <c r="CT56" i="6"/>
  <c r="CS56" i="6"/>
  <c r="CR56" i="6"/>
  <c r="CQ56" i="6"/>
  <c r="CP56" i="6"/>
  <c r="CO56" i="6"/>
  <c r="CN56" i="6"/>
  <c r="CM56" i="6"/>
  <c r="CN61" i="6" s="1"/>
  <c r="CL56" i="6"/>
  <c r="CK56" i="6"/>
  <c r="CJ56" i="6"/>
  <c r="CI56" i="6"/>
  <c r="CH56" i="6"/>
  <c r="CG56" i="6"/>
  <c r="S56" i="6" s="1"/>
  <c r="V56" i="6"/>
  <c r="EP55" i="6"/>
  <c r="EJ55" i="6"/>
  <c r="ED55" i="6"/>
  <c r="CV55" i="6"/>
  <c r="CU55" i="6"/>
  <c r="ER55" i="6" s="1"/>
  <c r="CT55" i="6"/>
  <c r="EQ55" i="6" s="1"/>
  <c r="CS55" i="6"/>
  <c r="CR55" i="6"/>
  <c r="CQ55" i="6"/>
  <c r="CR60" i="6" s="1"/>
  <c r="CP55" i="6"/>
  <c r="EM55" i="6" s="1"/>
  <c r="CO55" i="6"/>
  <c r="EL55" i="6" s="1"/>
  <c r="CN55" i="6"/>
  <c r="EK55" i="6" s="1"/>
  <c r="CM55" i="6"/>
  <c r="CL55" i="6"/>
  <c r="CK55" i="6"/>
  <c r="EH55" i="6" s="1"/>
  <c r="CJ55" i="6"/>
  <c r="EG55" i="6" s="1"/>
  <c r="CI55" i="6"/>
  <c r="CH55" i="6"/>
  <c r="EE55" i="6" s="1"/>
  <c r="CG55" i="6"/>
  <c r="CF55" i="6"/>
  <c r="CE55" i="6"/>
  <c r="CD55" i="6"/>
  <c r="CC55" i="6"/>
  <c r="CD60" i="6" s="1"/>
  <c r="U55" i="6"/>
  <c r="EW49" i="6"/>
  <c r="EV49" i="6"/>
  <c r="EU49" i="6"/>
  <c r="ET49" i="6"/>
  <c r="ES49" i="6"/>
  <c r="ER49" i="6"/>
  <c r="EQ49" i="6"/>
  <c r="EP49" i="6"/>
  <c r="EO49" i="6"/>
  <c r="EN49" i="6"/>
  <c r="EM49" i="6"/>
  <c r="EL49" i="6"/>
  <c r="EK49" i="6"/>
  <c r="EJ49" i="6"/>
  <c r="EI49" i="6"/>
  <c r="EH49" i="6"/>
  <c r="EG49" i="6"/>
  <c r="EF49" i="6"/>
  <c r="EE49" i="6"/>
  <c r="ED49" i="6"/>
  <c r="EC49" i="6"/>
  <c r="EB49" i="6"/>
  <c r="EA49" i="6"/>
  <c r="DZ49" i="6"/>
  <c r="DY49" i="6"/>
  <c r="DX49" i="6"/>
  <c r="DW49" i="6"/>
  <c r="DV49" i="6"/>
  <c r="DU49" i="6"/>
  <c r="DT49" i="6"/>
  <c r="DS49" i="6"/>
  <c r="DR49" i="6"/>
  <c r="DP49" i="6"/>
  <c r="DO49" i="6"/>
  <c r="DN49" i="6"/>
  <c r="DL49" i="6"/>
  <c r="DK49" i="6"/>
  <c r="DJ49" i="6"/>
  <c r="DH49" i="6"/>
  <c r="DG49" i="6"/>
  <c r="DF49" i="6"/>
  <c r="BT49" i="6"/>
  <c r="DQ49" i="6" s="1"/>
  <c r="BP49" i="6"/>
  <c r="BL49" i="6"/>
  <c r="DI49" i="6" s="1"/>
  <c r="BH49" i="6"/>
  <c r="AN49" i="6"/>
  <c r="AM49" i="6"/>
  <c r="AH49" i="6"/>
  <c r="AG49" i="6"/>
  <c r="AF49" i="6"/>
  <c r="AE49" i="6"/>
  <c r="AD49" i="6"/>
  <c r="AC49" i="6"/>
  <c r="AB49" i="6"/>
  <c r="Y49" i="6"/>
  <c r="X49" i="6"/>
  <c r="W49" i="6"/>
  <c r="W139" i="6" s="1"/>
  <c r="V49" i="6"/>
  <c r="U49" i="6"/>
  <c r="T49" i="6"/>
  <c r="S49" i="6"/>
  <c r="R49" i="6"/>
  <c r="Q49" i="6"/>
  <c r="AI49" i="6" s="1"/>
  <c r="P49" i="6"/>
  <c r="CL43" i="6"/>
  <c r="BZ43" i="6"/>
  <c r="BN43" i="6"/>
  <c r="CV42" i="6"/>
  <c r="CU42" i="6"/>
  <c r="CT42" i="6"/>
  <c r="CS42" i="6"/>
  <c r="CQ42" i="6"/>
  <c r="CP42" i="6"/>
  <c r="CO42" i="6"/>
  <c r="CN42" i="6"/>
  <c r="CM42" i="6"/>
  <c r="CL42" i="6"/>
  <c r="CK42" i="6"/>
  <c r="CI42" i="6"/>
  <c r="CH42" i="6"/>
  <c r="CG42" i="6"/>
  <c r="CF42" i="6"/>
  <c r="CE42" i="6"/>
  <c r="CD42" i="6"/>
  <c r="CC42" i="6"/>
  <c r="CB42" i="6"/>
  <c r="CA42" i="6"/>
  <c r="BZ42" i="6"/>
  <c r="BY42" i="6"/>
  <c r="BX42" i="6"/>
  <c r="BW42" i="6"/>
  <c r="BV42" i="6"/>
  <c r="BU42" i="6"/>
  <c r="BS42" i="6"/>
  <c r="BR42" i="6"/>
  <c r="BQ42" i="6"/>
  <c r="CV41" i="6"/>
  <c r="CU41" i="6"/>
  <c r="CT41" i="6"/>
  <c r="CS41" i="6"/>
  <c r="CR41" i="6"/>
  <c r="CQ41" i="6"/>
  <c r="CP41" i="6"/>
  <c r="CO41" i="6"/>
  <c r="CM41" i="6"/>
  <c r="CL41" i="6"/>
  <c r="CK41" i="6"/>
  <c r="CI41" i="6"/>
  <c r="CH41" i="6"/>
  <c r="CG41" i="6"/>
  <c r="CF41" i="6"/>
  <c r="CE41" i="6"/>
  <c r="CD41" i="6"/>
  <c r="CC41" i="6"/>
  <c r="CB41" i="6"/>
  <c r="CA41" i="6"/>
  <c r="BZ41" i="6"/>
  <c r="BY41" i="6"/>
  <c r="BX41" i="6"/>
  <c r="BW41" i="6"/>
  <c r="BV41" i="6"/>
  <c r="BU41" i="6"/>
  <c r="BT41" i="6"/>
  <c r="BS41" i="6"/>
  <c r="BR41" i="6"/>
  <c r="BQ41" i="6"/>
  <c r="BO41" i="6"/>
  <c r="BN41" i="6"/>
  <c r="BM41" i="6"/>
  <c r="BK41" i="6"/>
  <c r="BJ41" i="6"/>
  <c r="BI41" i="6"/>
  <c r="BG41" i="6"/>
  <c r="BF41" i="6"/>
  <c r="BE41" i="6"/>
  <c r="N41" i="6"/>
  <c r="M41" i="6"/>
  <c r="L41" i="6"/>
  <c r="K41" i="6"/>
  <c r="J41" i="6"/>
  <c r="I41" i="6"/>
  <c r="H41" i="6"/>
  <c r="CU40" i="6"/>
  <c r="CJ40" i="6"/>
  <c r="BK40" i="6"/>
  <c r="BN39" i="6"/>
  <c r="BI39" i="6"/>
  <c r="CZ31" i="6"/>
  <c r="AU31" i="6"/>
  <c r="AS31" i="6"/>
  <c r="CZ28" i="6"/>
  <c r="CY28" i="6"/>
  <c r="CX28" i="6"/>
  <c r="CW28" i="6"/>
  <c r="CV28" i="6"/>
  <c r="CU28" i="6"/>
  <c r="CT28" i="6"/>
  <c r="CS28" i="6"/>
  <c r="CR28" i="6"/>
  <c r="CQ28" i="6"/>
  <c r="CP28" i="6"/>
  <c r="CO28" i="6"/>
  <c r="CN28" i="6"/>
  <c r="CM28" i="6"/>
  <c r="CL28" i="6"/>
  <c r="CK28" i="6"/>
  <c r="CJ28" i="6"/>
  <c r="CI28" i="6"/>
  <c r="CH28" i="6"/>
  <c r="CG28" i="6"/>
  <c r="CF28" i="6"/>
  <c r="CE28" i="6"/>
  <c r="CD28" i="6"/>
  <c r="CC28" i="6"/>
  <c r="CB28" i="6"/>
  <c r="CA28" i="6"/>
  <c r="BZ28" i="6"/>
  <c r="BY28" i="6"/>
  <c r="BX28" i="6"/>
  <c r="BW28" i="6"/>
  <c r="BV28" i="6"/>
  <c r="BU28" i="6"/>
  <c r="BT28" i="6"/>
  <c r="BS28" i="6"/>
  <c r="BR28" i="6"/>
  <c r="BQ28" i="6"/>
  <c r="BP28" i="6"/>
  <c r="BO28" i="6"/>
  <c r="BN28" i="6"/>
  <c r="BM28" i="6"/>
  <c r="BL28" i="6"/>
  <c r="BK28" i="6"/>
  <c r="BJ28" i="6"/>
  <c r="BI28" i="6"/>
  <c r="BH28" i="6"/>
  <c r="BG28" i="6"/>
  <c r="BF28" i="6"/>
  <c r="BE28" i="6"/>
  <c r="AU28" i="6"/>
  <c r="AS28" i="6"/>
  <c r="Y28" i="6"/>
  <c r="X28" i="6"/>
  <c r="W28" i="6"/>
  <c r="V28" i="6"/>
  <c r="U28" i="6"/>
  <c r="T28" i="6"/>
  <c r="S28" i="6"/>
  <c r="R28" i="6"/>
  <c r="Q28" i="6"/>
  <c r="P28" i="6"/>
  <c r="O28" i="6"/>
  <c r="N28" i="6"/>
  <c r="M28" i="6"/>
  <c r="L28" i="6"/>
  <c r="K28" i="6"/>
  <c r="BD28" i="6" s="1"/>
  <c r="J28" i="6"/>
  <c r="I28" i="6"/>
  <c r="H28" i="6"/>
  <c r="C28" i="6"/>
  <c r="CZ22" i="6"/>
  <c r="BP22" i="6"/>
  <c r="BL22" i="6"/>
  <c r="BH22" i="6"/>
  <c r="AU22" i="6"/>
  <c r="AS22" i="6"/>
  <c r="V22" i="6"/>
  <c r="S22" i="6"/>
  <c r="CE21" i="6"/>
  <c r="EW20" i="6"/>
  <c r="EV20" i="6"/>
  <c r="EU20" i="6"/>
  <c r="ET20" i="6"/>
  <c r="ES20" i="6"/>
  <c r="ER20" i="6"/>
  <c r="EQ20" i="6"/>
  <c r="EP20" i="6"/>
  <c r="EO20" i="6"/>
  <c r="EN20" i="6"/>
  <c r="EM20" i="6"/>
  <c r="EL20" i="6"/>
  <c r="EK20" i="6"/>
  <c r="EJ20" i="6"/>
  <c r="EI20" i="6"/>
  <c r="EH20" i="6"/>
  <c r="EG20" i="6"/>
  <c r="EF20" i="6"/>
  <c r="EE20" i="6"/>
  <c r="ED20" i="6"/>
  <c r="EC20" i="6"/>
  <c r="EB20" i="6"/>
  <c r="EA20" i="6"/>
  <c r="DZ20" i="6"/>
  <c r="DY20" i="6"/>
  <c r="DX20" i="6"/>
  <c r="DW20" i="6"/>
  <c r="DV20" i="6"/>
  <c r="DU20" i="6"/>
  <c r="DT20" i="6"/>
  <c r="DS20" i="6"/>
  <c r="DR20" i="6"/>
  <c r="DP20" i="6"/>
  <c r="DO20" i="6"/>
  <c r="DN20" i="6"/>
  <c r="DM20" i="6"/>
  <c r="DL20" i="6"/>
  <c r="DK20" i="6"/>
  <c r="DJ20" i="6"/>
  <c r="DH20" i="6"/>
  <c r="DG20" i="6"/>
  <c r="DF20" i="6"/>
  <c r="CZ20" i="6"/>
  <c r="BP20" i="6"/>
  <c r="DQ20" i="6" s="1"/>
  <c r="BL20" i="6"/>
  <c r="BH20" i="6"/>
  <c r="AU20" i="6"/>
  <c r="AS20" i="6"/>
  <c r="AQ20" i="6"/>
  <c r="AP20" i="6"/>
  <c r="AM20" i="6"/>
  <c r="AL20" i="6"/>
  <c r="AG20" i="6"/>
  <c r="AF20" i="6"/>
  <c r="AE20" i="6"/>
  <c r="AD20" i="6"/>
  <c r="AC20" i="6"/>
  <c r="AB20" i="6"/>
  <c r="AA20" i="6"/>
  <c r="V20" i="6"/>
  <c r="U20" i="6"/>
  <c r="T20" i="6"/>
  <c r="S20" i="6"/>
  <c r="AK20" i="6" s="1"/>
  <c r="R20" i="6"/>
  <c r="AJ20" i="6" s="1"/>
  <c r="Q20" i="6"/>
  <c r="P20" i="6"/>
  <c r="AH20" i="6" s="1"/>
  <c r="O20" i="6"/>
  <c r="ES19" i="6"/>
  <c r="ER19" i="6"/>
  <c r="EQ19" i="6"/>
  <c r="EP19" i="6"/>
  <c r="EO19" i="6"/>
  <c r="EN19" i="6"/>
  <c r="EM19" i="6"/>
  <c r="EL19" i="6"/>
  <c r="EJ19" i="6"/>
  <c r="EI19" i="6"/>
  <c r="EH19" i="6"/>
  <c r="EG19" i="6"/>
  <c r="EF19" i="6"/>
  <c r="EE19" i="6"/>
  <c r="ED19" i="6"/>
  <c r="EC19" i="6"/>
  <c r="EB19" i="6"/>
  <c r="EA19" i="6"/>
  <c r="DZ19" i="6"/>
  <c r="DY19" i="6"/>
  <c r="DX19" i="6"/>
  <c r="DW19" i="6"/>
  <c r="DV19" i="6"/>
  <c r="DU19" i="6"/>
  <c r="DT19" i="6"/>
  <c r="DS19" i="6"/>
  <c r="DR19" i="6"/>
  <c r="DQ19" i="6"/>
  <c r="DP19" i="6"/>
  <c r="DO19" i="6"/>
  <c r="DN19" i="6"/>
  <c r="DL19" i="6"/>
  <c r="DK19" i="6"/>
  <c r="DJ19" i="6"/>
  <c r="DH19" i="6"/>
  <c r="DG19" i="6"/>
  <c r="DF19" i="6"/>
  <c r="CJ19" i="6"/>
  <c r="EK19" i="6" s="1"/>
  <c r="BP19" i="6"/>
  <c r="BL19" i="6"/>
  <c r="BH19" i="6"/>
  <c r="AN19" i="6"/>
  <c r="AH19" i="6"/>
  <c r="AG19" i="6"/>
  <c r="AF19" i="6"/>
  <c r="AE19" i="6"/>
  <c r="AD19" i="6"/>
  <c r="AC19" i="6"/>
  <c r="AB19" i="6"/>
  <c r="AA19" i="6"/>
  <c r="V19" i="6"/>
  <c r="U19" i="6"/>
  <c r="T19" i="6"/>
  <c r="AM19" i="6" s="1"/>
  <c r="S19" i="6"/>
  <c r="R19" i="6"/>
  <c r="Q19" i="6"/>
  <c r="P19" i="6"/>
  <c r="O19" i="6"/>
  <c r="CE18" i="6"/>
  <c r="EK17" i="6"/>
  <c r="EJ17" i="6"/>
  <c r="EI17" i="6"/>
  <c r="EH17" i="6"/>
  <c r="EG17" i="6"/>
  <c r="EF17" i="6"/>
  <c r="EE17" i="6"/>
  <c r="ED17" i="6"/>
  <c r="EC17" i="6"/>
  <c r="EB17" i="6"/>
  <c r="EA17" i="6"/>
  <c r="DZ17" i="6"/>
  <c r="DY17" i="6"/>
  <c r="DX17" i="6"/>
  <c r="DW17" i="6"/>
  <c r="DV17" i="6"/>
  <c r="DU17" i="6"/>
  <c r="DT17" i="6"/>
  <c r="DS17" i="6"/>
  <c r="DR17" i="6"/>
  <c r="DQ17" i="6"/>
  <c r="DP17" i="6"/>
  <c r="DO17" i="6"/>
  <c r="DN17" i="6"/>
  <c r="DL17" i="6"/>
  <c r="DK17" i="6"/>
  <c r="DJ17" i="6"/>
  <c r="DH17" i="6"/>
  <c r="DG17" i="6"/>
  <c r="DF17" i="6"/>
  <c r="CZ17" i="6"/>
  <c r="BP17" i="6"/>
  <c r="DM17" i="6" s="1"/>
  <c r="BL17" i="6"/>
  <c r="DI17" i="6" s="1"/>
  <c r="BH17" i="6"/>
  <c r="AU17" i="6"/>
  <c r="AS17" i="6"/>
  <c r="AQ17" i="6"/>
  <c r="AP17" i="6"/>
  <c r="AK17" i="6"/>
  <c r="AJ17" i="6"/>
  <c r="AF17" i="6"/>
  <c r="AE17" i="6"/>
  <c r="AD17" i="6"/>
  <c r="AC17" i="6"/>
  <c r="AB17" i="6"/>
  <c r="AA17" i="6"/>
  <c r="V17" i="6"/>
  <c r="AO17" i="6" s="1"/>
  <c r="U17" i="6"/>
  <c r="AM17" i="6" s="1"/>
  <c r="T17" i="6"/>
  <c r="AL17" i="6" s="1"/>
  <c r="S17" i="6"/>
  <c r="R17" i="6"/>
  <c r="Q17" i="6"/>
  <c r="AI17" i="6" s="1"/>
  <c r="P17" i="6"/>
  <c r="O17" i="6"/>
  <c r="AG17" i="6" s="1"/>
  <c r="CR16" i="6"/>
  <c r="CQ16" i="6"/>
  <c r="CL16" i="6"/>
  <c r="CK16" i="6"/>
  <c r="CF16" i="6"/>
  <c r="CE16" i="6"/>
  <c r="BZ16" i="6"/>
  <c r="BY16" i="6"/>
  <c r="BT16" i="6"/>
  <c r="BS16" i="6"/>
  <c r="BN16" i="6"/>
  <c r="BM16" i="6"/>
  <c r="BG16" i="6"/>
  <c r="L16" i="6"/>
  <c r="CZ15" i="6"/>
  <c r="BP15" i="6"/>
  <c r="BL15" i="6"/>
  <c r="BH15" i="6"/>
  <c r="AU15" i="6"/>
  <c r="AS15" i="6"/>
  <c r="V15" i="6"/>
  <c r="U15" i="6"/>
  <c r="T15" i="6"/>
  <c r="S15" i="6"/>
  <c r="R15" i="6"/>
  <c r="Q15" i="6"/>
  <c r="P15" i="6"/>
  <c r="O15" i="6"/>
  <c r="ES14" i="6"/>
  <c r="ER14" i="6"/>
  <c r="EQ14" i="6"/>
  <c r="EP14" i="6"/>
  <c r="EN14" i="6"/>
  <c r="EM14" i="6"/>
  <c r="EL14" i="6"/>
  <c r="EJ14" i="6"/>
  <c r="EI14" i="6"/>
  <c r="EH14" i="6"/>
  <c r="EF14" i="6"/>
  <c r="EE14" i="6"/>
  <c r="ED14" i="6"/>
  <c r="EC14" i="6"/>
  <c r="EB14" i="6"/>
  <c r="EA14" i="6"/>
  <c r="DZ14" i="6"/>
  <c r="DY14" i="6"/>
  <c r="DX14" i="6"/>
  <c r="DW14" i="6"/>
  <c r="DV14" i="6"/>
  <c r="DU14" i="6"/>
  <c r="DT14" i="6"/>
  <c r="DS14" i="6"/>
  <c r="DR14" i="6"/>
  <c r="DP14" i="6"/>
  <c r="DO14" i="6"/>
  <c r="DN14" i="6"/>
  <c r="DM14" i="6"/>
  <c r="DL14" i="6"/>
  <c r="DK14" i="6"/>
  <c r="DJ14" i="6"/>
  <c r="DH14" i="6"/>
  <c r="DG14" i="6"/>
  <c r="DF14" i="6"/>
  <c r="CN14" i="6"/>
  <c r="EK14" i="6" s="1"/>
  <c r="CJ14" i="6"/>
  <c r="BP14" i="6"/>
  <c r="BL14" i="6"/>
  <c r="BL41" i="6" s="1"/>
  <c r="BH14" i="6"/>
  <c r="AG14" i="6"/>
  <c r="AF14" i="6"/>
  <c r="AE14" i="6"/>
  <c r="AD14" i="6"/>
  <c r="AC14" i="6"/>
  <c r="AB14" i="6"/>
  <c r="AA14" i="6"/>
  <c r="V14" i="6"/>
  <c r="U14" i="6"/>
  <c r="S14" i="6"/>
  <c r="R14" i="6"/>
  <c r="R246" i="6" s="1"/>
  <c r="Q14" i="6"/>
  <c r="AI14" i="6" s="1"/>
  <c r="P14" i="6"/>
  <c r="O14" i="6"/>
  <c r="EQ13" i="6"/>
  <c r="ED13" i="6"/>
  <c r="DY13" i="6"/>
  <c r="DL13" i="6"/>
  <c r="CV13" i="6"/>
  <c r="ES13" i="6" s="1"/>
  <c r="CU13" i="6"/>
  <c r="CT13" i="6"/>
  <c r="CT40" i="6" s="1"/>
  <c r="CS13" i="6"/>
  <c r="CS40" i="6" s="1"/>
  <c r="CR13" i="6"/>
  <c r="CR40" i="6" s="1"/>
  <c r="CQ13" i="6"/>
  <c r="CQ40" i="6" s="1"/>
  <c r="CP13" i="6"/>
  <c r="CP16" i="6" s="1"/>
  <c r="CO13" i="6"/>
  <c r="CN13" i="6"/>
  <c r="CM13" i="6"/>
  <c r="CM40" i="6" s="1"/>
  <c r="CL13" i="6"/>
  <c r="CL40" i="6" s="1"/>
  <c r="CK13" i="6"/>
  <c r="CK40" i="6" s="1"/>
  <c r="CJ13" i="6"/>
  <c r="EG13" i="6" s="1"/>
  <c r="CI13" i="6"/>
  <c r="CH13" i="6"/>
  <c r="CH40" i="6" s="1"/>
  <c r="CG13" i="6"/>
  <c r="CG40" i="6" s="1"/>
  <c r="CF13" i="6"/>
  <c r="CF40" i="6" s="1"/>
  <c r="CE13" i="6"/>
  <c r="CE40" i="6" s="1"/>
  <c r="CD13" i="6"/>
  <c r="CD16" i="6" s="1"/>
  <c r="CC13" i="6"/>
  <c r="CB13" i="6"/>
  <c r="CB16" i="6" s="1"/>
  <c r="CA13" i="6"/>
  <c r="CA40" i="6" s="1"/>
  <c r="BZ13" i="6"/>
  <c r="BZ40" i="6" s="1"/>
  <c r="BY13" i="6"/>
  <c r="BY40" i="6" s="1"/>
  <c r="BX13" i="6"/>
  <c r="DU13" i="6" s="1"/>
  <c r="BW13" i="6"/>
  <c r="BV13" i="6"/>
  <c r="BV40" i="6" s="1"/>
  <c r="BU13" i="6"/>
  <c r="BU40" i="6" s="1"/>
  <c r="BT13" i="6"/>
  <c r="BT40" i="6" s="1"/>
  <c r="BS13" i="6"/>
  <c r="BS40" i="6" s="1"/>
  <c r="BR13" i="6"/>
  <c r="DS13" i="6" s="1"/>
  <c r="BQ13" i="6"/>
  <c r="O13" i="6" s="1"/>
  <c r="BO13" i="6"/>
  <c r="BO40" i="6" s="1"/>
  <c r="BN13" i="6"/>
  <c r="BN40" i="6" s="1"/>
  <c r="BM13" i="6"/>
  <c r="BM40" i="6" s="1"/>
  <c r="BK13" i="6"/>
  <c r="BJ13" i="6"/>
  <c r="BJ40" i="6" s="1"/>
  <c r="BI13" i="6"/>
  <c r="BI40" i="6" s="1"/>
  <c r="BG13" i="6"/>
  <c r="BG40" i="6" s="1"/>
  <c r="BF13" i="6"/>
  <c r="BF40" i="6" s="1"/>
  <c r="BE13" i="6"/>
  <c r="V13" i="6"/>
  <c r="V40" i="6" s="1"/>
  <c r="Q13" i="6"/>
  <c r="N13" i="6"/>
  <c r="N40" i="6" s="1"/>
  <c r="M13" i="6"/>
  <c r="M40" i="6" s="1"/>
  <c r="L13" i="6"/>
  <c r="L40" i="6" s="1"/>
  <c r="K13" i="6"/>
  <c r="K40" i="6" s="1"/>
  <c r="J13" i="6"/>
  <c r="J40" i="6" s="1"/>
  <c r="I13" i="6"/>
  <c r="H13" i="6"/>
  <c r="H40" i="6" s="1"/>
  <c r="ES12" i="6"/>
  <c r="ER12" i="6"/>
  <c r="EQ12" i="6"/>
  <c r="EP12" i="6"/>
  <c r="EO12" i="6"/>
  <c r="EN12" i="6"/>
  <c r="EM12" i="6"/>
  <c r="EL12" i="6"/>
  <c r="EK12" i="6"/>
  <c r="EJ12" i="6"/>
  <c r="EI12" i="6"/>
  <c r="EH12" i="6"/>
  <c r="EG12" i="6"/>
  <c r="EF12" i="6"/>
  <c r="EE12" i="6"/>
  <c r="ED12" i="6"/>
  <c r="EC12" i="6"/>
  <c r="EB12" i="6"/>
  <c r="EA12" i="6"/>
  <c r="DZ12" i="6"/>
  <c r="DY12" i="6"/>
  <c r="DX12" i="6"/>
  <c r="DW12" i="6"/>
  <c r="DV12" i="6"/>
  <c r="DU12" i="6"/>
  <c r="DT12" i="6"/>
  <c r="DS12" i="6"/>
  <c r="DR12" i="6"/>
  <c r="DQ12" i="6"/>
  <c r="DP12" i="6"/>
  <c r="DO12" i="6"/>
  <c r="DN12" i="6"/>
  <c r="DL12" i="6"/>
  <c r="DK12" i="6"/>
  <c r="DJ12" i="6"/>
  <c r="DH12" i="6"/>
  <c r="DG12" i="6"/>
  <c r="DF12" i="6"/>
  <c r="BP12" i="6"/>
  <c r="BP219" i="6" s="1"/>
  <c r="BL12" i="6"/>
  <c r="BL219" i="6" s="1"/>
  <c r="BH12" i="6"/>
  <c r="BH219" i="6" s="1"/>
  <c r="AG12" i="6"/>
  <c r="AF12" i="6"/>
  <c r="AE12" i="6"/>
  <c r="AD12" i="6"/>
  <c r="AC12" i="6"/>
  <c r="AB12" i="6"/>
  <c r="AA12" i="6"/>
  <c r="V12" i="6"/>
  <c r="V219" i="6" s="1"/>
  <c r="U12" i="6"/>
  <c r="T12" i="6"/>
  <c r="S12" i="6"/>
  <c r="R12" i="6"/>
  <c r="Q12" i="6"/>
  <c r="AI12" i="6" s="1"/>
  <c r="P12" i="6"/>
  <c r="O12" i="6"/>
  <c r="AH12" i="6" s="1"/>
  <c r="EQ11" i="6"/>
  <c r="EL11" i="6"/>
  <c r="EJ11" i="6"/>
  <c r="EF11" i="6"/>
  <c r="EE11" i="6"/>
  <c r="DZ11" i="6"/>
  <c r="DS11" i="6"/>
  <c r="DN11" i="6"/>
  <c r="CT11" i="6"/>
  <c r="CT9" i="6" s="1"/>
  <c r="CS11" i="6"/>
  <c r="ET11" i="6" s="1"/>
  <c r="CO11" i="6"/>
  <c r="CP11" i="6" s="1"/>
  <c r="CN11" i="6"/>
  <c r="CN9" i="6" s="1"/>
  <c r="CM11" i="6"/>
  <c r="CL11" i="6"/>
  <c r="CL9" i="6" s="1"/>
  <c r="CK11" i="6"/>
  <c r="CI11" i="6"/>
  <c r="CH11" i="6"/>
  <c r="CH9" i="6" s="1"/>
  <c r="CG11" i="6"/>
  <c r="EH11" i="6" s="1"/>
  <c r="CF11" i="6"/>
  <c r="CE11" i="6"/>
  <c r="CD11" i="6"/>
  <c r="EA11" i="6" s="1"/>
  <c r="CC11" i="6"/>
  <c r="CA11" i="6"/>
  <c r="EB11" i="6" s="1"/>
  <c r="BZ11" i="6"/>
  <c r="BY11" i="6"/>
  <c r="BW11" i="6"/>
  <c r="BV11" i="6"/>
  <c r="BU11" i="6"/>
  <c r="BQ11" i="6"/>
  <c r="BR11" i="6" s="1"/>
  <c r="BP11" i="6"/>
  <c r="BP9" i="6" s="1"/>
  <c r="BO11" i="6"/>
  <c r="DL11" i="6" s="1"/>
  <c r="BN11" i="6"/>
  <c r="BM11" i="6"/>
  <c r="BJ11" i="6"/>
  <c r="BK11" i="6" s="1"/>
  <c r="BL11" i="6" s="1"/>
  <c r="DI11" i="6" s="1"/>
  <c r="BI11" i="6"/>
  <c r="DJ11" i="6" s="1"/>
  <c r="BH11" i="6"/>
  <c r="BH9" i="6" s="1"/>
  <c r="BE11" i="6"/>
  <c r="BF11" i="6" s="1"/>
  <c r="BG11" i="6" s="1"/>
  <c r="BG9" i="6" s="1"/>
  <c r="AF11" i="6"/>
  <c r="AE11" i="6"/>
  <c r="V11" i="6"/>
  <c r="R11" i="6"/>
  <c r="N11" i="6"/>
  <c r="N9" i="6" s="1"/>
  <c r="M11" i="6"/>
  <c r="L11" i="6"/>
  <c r="AD11" i="6" s="1"/>
  <c r="K11" i="6"/>
  <c r="J11" i="6"/>
  <c r="AC11" i="6" s="1"/>
  <c r="I11" i="6"/>
  <c r="H11" i="6"/>
  <c r="AA11" i="6" s="1"/>
  <c r="CK10" i="6"/>
  <c r="CE10" i="6"/>
  <c r="BY10" i="6"/>
  <c r="BR10" i="6"/>
  <c r="DS10" i="6" s="1"/>
  <c r="BM10" i="6"/>
  <c r="BG10" i="6"/>
  <c r="BG39" i="6" s="1"/>
  <c r="BF10" i="6"/>
  <c r="BF39" i="6" s="1"/>
  <c r="J10" i="6"/>
  <c r="J39" i="6" s="1"/>
  <c r="DJ9" i="6"/>
  <c r="CS9" i="6"/>
  <c r="CP9" i="6"/>
  <c r="CO9" i="6"/>
  <c r="EL9" i="6" s="1"/>
  <c r="CM9" i="6"/>
  <c r="CK9" i="6"/>
  <c r="CI9" i="6"/>
  <c r="EF9" i="6" s="1"/>
  <c r="CF9" i="6"/>
  <c r="CF10" i="6" s="1"/>
  <c r="CE9" i="6"/>
  <c r="CD9" i="6"/>
  <c r="EA9" i="6" s="1"/>
  <c r="CC9" i="6"/>
  <c r="DZ9" i="6" s="1"/>
  <c r="BZ9" i="6"/>
  <c r="BZ10" i="6" s="1"/>
  <c r="BY9" i="6"/>
  <c r="BW9" i="6"/>
  <c r="BW10" i="6" s="1"/>
  <c r="BV9" i="6"/>
  <c r="BV10" i="6" s="1"/>
  <c r="BV39" i="6" s="1"/>
  <c r="BR9" i="6"/>
  <c r="DO9" i="6" s="1"/>
  <c r="BQ9" i="6"/>
  <c r="DN9" i="6" s="1"/>
  <c r="BO9" i="6"/>
  <c r="BO10" i="6" s="1"/>
  <c r="BO39" i="6" s="1"/>
  <c r="BN9" i="6"/>
  <c r="BN10" i="6" s="1"/>
  <c r="BM9" i="6"/>
  <c r="BK9" i="6"/>
  <c r="DH9" i="6" s="1"/>
  <c r="BI9" i="6"/>
  <c r="BI10" i="6" s="1"/>
  <c r="BF9" i="6"/>
  <c r="BE9" i="6"/>
  <c r="BE10" i="6" s="1"/>
  <c r="BE39" i="6" s="1"/>
  <c r="AE9" i="6"/>
  <c r="M9" i="6"/>
  <c r="M10" i="6" s="1"/>
  <c r="L9" i="6"/>
  <c r="K9" i="6"/>
  <c r="AC9" i="6" s="1"/>
  <c r="J9" i="6"/>
  <c r="I9" i="6"/>
  <c r="I10" i="6" s="1"/>
  <c r="EV8" i="6"/>
  <c r="EV58" i="6" s="1"/>
  <c r="EU8" i="6"/>
  <c r="EU58" i="6" s="1"/>
  <c r="CX58" i="6" s="1"/>
  <c r="ET8" i="6"/>
  <c r="ET58" i="6" s="1"/>
  <c r="CW58" i="6" s="1"/>
  <c r="ER8" i="6"/>
  <c r="ER58" i="6" s="1"/>
  <c r="CU58" i="6" s="1"/>
  <c r="EP8" i="6"/>
  <c r="EP58" i="6" s="1"/>
  <c r="CS58" i="6" s="1"/>
  <c r="EL8" i="6"/>
  <c r="EL58" i="6" s="1"/>
  <c r="CO58" i="6" s="1"/>
  <c r="EJ8" i="6"/>
  <c r="EJ58" i="6" s="1"/>
  <c r="CM58" i="6" s="1"/>
  <c r="EI8" i="6"/>
  <c r="EI58" i="6" s="1"/>
  <c r="CL58" i="6" s="1"/>
  <c r="EF8" i="6"/>
  <c r="EF58" i="6" s="1"/>
  <c r="CI58" i="6" s="1"/>
  <c r="ED8" i="6"/>
  <c r="ED58" i="6" s="1"/>
  <c r="CG58" i="6" s="1"/>
  <c r="DZ8" i="6"/>
  <c r="DX8" i="6"/>
  <c r="DW8" i="6"/>
  <c r="DT8" i="6"/>
  <c r="DR8" i="6"/>
  <c r="CZ8" i="6"/>
  <c r="EW8" i="6" s="1"/>
  <c r="CT8" i="6"/>
  <c r="CT86" i="6" s="1"/>
  <c r="CS8" i="6"/>
  <c r="CS86" i="6" s="1"/>
  <c r="CQ8" i="6"/>
  <c r="CQ86" i="6" s="1"/>
  <c r="CP8" i="6"/>
  <c r="CP86" i="6" s="1"/>
  <c r="CO8" i="6"/>
  <c r="CO86" i="6" s="1"/>
  <c r="CN8" i="6"/>
  <c r="EK8" i="6" s="1"/>
  <c r="EK58" i="6" s="1"/>
  <c r="CN58" i="6" s="1"/>
  <c r="CM8" i="6"/>
  <c r="CM86" i="6" s="1"/>
  <c r="CL8" i="6"/>
  <c r="CL86" i="6" s="1"/>
  <c r="CK8" i="6"/>
  <c r="CK86" i="6" s="1"/>
  <c r="CJ8" i="6"/>
  <c r="EG8" i="6" s="1"/>
  <c r="EG58" i="6" s="1"/>
  <c r="CJ58" i="6" s="1"/>
  <c r="CI8" i="6"/>
  <c r="CI86" i="6" s="1"/>
  <c r="CH8" i="6"/>
  <c r="CH86" i="6" s="1"/>
  <c r="CG8" i="6"/>
  <c r="CG86" i="6" s="1"/>
  <c r="CE8" i="6"/>
  <c r="CE86" i="6" s="1"/>
  <c r="CD8" i="6"/>
  <c r="EA8" i="6" s="1"/>
  <c r="CC8" i="6"/>
  <c r="CB8" i="6"/>
  <c r="DY8" i="6" s="1"/>
  <c r="CA8" i="6"/>
  <c r="BZ8" i="6"/>
  <c r="BY8" i="6"/>
  <c r="DV8" i="6" s="1"/>
  <c r="BW8" i="6"/>
  <c r="BV8" i="6"/>
  <c r="DS8" i="6" s="1"/>
  <c r="BU8" i="6"/>
  <c r="AD8" i="6"/>
  <c r="N8" i="6"/>
  <c r="AF8" i="6" s="1"/>
  <c r="M8" i="6"/>
  <c r="AE8" i="6" s="1"/>
  <c r="L8" i="6"/>
  <c r="EQ7" i="6"/>
  <c r="EP7" i="6"/>
  <c r="EN7" i="6"/>
  <c r="EM7" i="6"/>
  <c r="EL7" i="6"/>
  <c r="EK7" i="6"/>
  <c r="EK57" i="6" s="1"/>
  <c r="CN57" i="6" s="1"/>
  <c r="EJ7" i="6"/>
  <c r="EI7" i="6"/>
  <c r="EH7" i="6"/>
  <c r="EG7" i="6"/>
  <c r="EG57" i="6" s="1"/>
  <c r="CJ57" i="6" s="1"/>
  <c r="EF7" i="6"/>
  <c r="EE7" i="6"/>
  <c r="ED7" i="6"/>
  <c r="EB7" i="6"/>
  <c r="CE84" i="6" s="1"/>
  <c r="EA7" i="6"/>
  <c r="DZ7" i="6"/>
  <c r="DY7" i="6"/>
  <c r="DX7" i="6"/>
  <c r="DW7" i="6"/>
  <c r="DV7" i="6"/>
  <c r="DT7" i="6"/>
  <c r="DS7" i="6"/>
  <c r="DR7" i="6"/>
  <c r="CY7" i="6"/>
  <c r="CX7" i="6"/>
  <c r="CX6" i="6" s="1"/>
  <c r="CW7" i="6"/>
  <c r="CW6" i="6" s="1"/>
  <c r="CU7" i="6"/>
  <c r="ER7" i="6" s="1"/>
  <c r="CR7" i="6"/>
  <c r="CR8" i="6" s="1"/>
  <c r="EO8" i="6" s="1"/>
  <c r="EO58" i="6" s="1"/>
  <c r="CR58" i="6" s="1"/>
  <c r="CF7" i="6"/>
  <c r="CF8" i="6" s="1"/>
  <c r="EC8" i="6" s="1"/>
  <c r="BX7" i="6"/>
  <c r="DU7" i="6" s="1"/>
  <c r="BT7" i="6"/>
  <c r="BP7" i="6"/>
  <c r="BL7" i="6"/>
  <c r="BH7" i="6"/>
  <c r="AG7" i="6"/>
  <c r="AF7" i="6"/>
  <c r="AE7" i="6"/>
  <c r="AD7" i="6"/>
  <c r="ES6" i="6"/>
  <c r="ER6" i="6"/>
  <c r="EQ6" i="6"/>
  <c r="EP6" i="6"/>
  <c r="EO6" i="6"/>
  <c r="EN6" i="6"/>
  <c r="EM6" i="6"/>
  <c r="EL6" i="6"/>
  <c r="EK6" i="6"/>
  <c r="EJ6" i="6"/>
  <c r="EI6" i="6"/>
  <c r="EH6" i="6"/>
  <c r="EG6" i="6"/>
  <c r="EF6" i="6"/>
  <c r="EE6" i="6"/>
  <c r="ED6" i="6"/>
  <c r="EC6" i="6"/>
  <c r="EB6" i="6"/>
  <c r="EA6" i="6"/>
  <c r="DZ6" i="6"/>
  <c r="DY6" i="6"/>
  <c r="DX6" i="6"/>
  <c r="DW6" i="6"/>
  <c r="DV6" i="6"/>
  <c r="DU6" i="6"/>
  <c r="DT6" i="6"/>
  <c r="DS6" i="6"/>
  <c r="DR6" i="6"/>
  <c r="DP6" i="6"/>
  <c r="DO6" i="6"/>
  <c r="DN6" i="6"/>
  <c r="DM6" i="6"/>
  <c r="DL6" i="6"/>
  <c r="DK6" i="6"/>
  <c r="DJ6" i="6"/>
  <c r="DH6" i="6"/>
  <c r="DG6" i="6"/>
  <c r="DF6" i="6"/>
  <c r="DD6" i="6"/>
  <c r="DC6" i="6"/>
  <c r="DB6" i="6"/>
  <c r="CY6" i="6"/>
  <c r="BP6" i="6"/>
  <c r="BL6" i="6"/>
  <c r="BH6" i="6"/>
  <c r="BD6" i="6"/>
  <c r="BE2" i="6" s="1"/>
  <c r="AJ6" i="6"/>
  <c r="AG6" i="6"/>
  <c r="AF6" i="6"/>
  <c r="AE6" i="6"/>
  <c r="AD6" i="6"/>
  <c r="AC6" i="6"/>
  <c r="AB6" i="6"/>
  <c r="AA6" i="6"/>
  <c r="V6" i="6"/>
  <c r="U6" i="6"/>
  <c r="T6" i="6"/>
  <c r="AM6" i="6" s="1"/>
  <c r="S6" i="6"/>
  <c r="R6" i="6"/>
  <c r="Q6" i="6"/>
  <c r="P6" i="6"/>
  <c r="O6" i="6"/>
  <c r="O72" i="6" s="1"/>
  <c r="AU5" i="6"/>
  <c r="AS5" i="6"/>
  <c r="AS67" i="6" s="1"/>
  <c r="G5" i="6"/>
  <c r="F5" i="6"/>
  <c r="E5" i="6"/>
  <c r="D5" i="6" s="1"/>
  <c r="C5" i="6" s="1"/>
  <c r="ET4" i="6"/>
  <c r="ET66" i="6" s="1"/>
  <c r="EP4" i="6"/>
  <c r="EP66" i="6" s="1"/>
  <c r="EL4" i="6"/>
  <c r="EL66" i="6" s="1"/>
  <c r="EH4" i="6"/>
  <c r="EH66" i="6" s="1"/>
  <c r="ED4" i="6"/>
  <c r="ED66" i="6" s="1"/>
  <c r="AU4" i="6"/>
  <c r="AU3" i="6"/>
  <c r="CV2" i="6"/>
  <c r="CU2" i="6"/>
  <c r="CT2" i="6"/>
  <c r="CS2" i="6"/>
  <c r="CR2" i="6"/>
  <c r="CQ2" i="6"/>
  <c r="CP2" i="6"/>
  <c r="CO2" i="6"/>
  <c r="CN2" i="6"/>
  <c r="CM2" i="6"/>
  <c r="CL2" i="6"/>
  <c r="CK2" i="6"/>
  <c r="CJ2" i="6"/>
  <c r="CI2" i="6"/>
  <c r="CH2" i="6"/>
  <c r="CG2" i="6"/>
  <c r="CF2" i="6"/>
  <c r="CZ1" i="6" s="1"/>
  <c r="CE2" i="6"/>
  <c r="CD2" i="6"/>
  <c r="CX1" i="6" s="1"/>
  <c r="CC2" i="6"/>
  <c r="CB2" i="6"/>
  <c r="CA2" i="6"/>
  <c r="CU1" i="6" s="1"/>
  <c r="BZ2" i="6"/>
  <c r="CT1" i="6" s="1"/>
  <c r="BY2" i="6"/>
  <c r="BX2" i="6"/>
  <c r="CR1" i="6" s="1"/>
  <c r="BW2" i="6"/>
  <c r="BV2" i="6"/>
  <c r="BU2" i="6"/>
  <c r="CO1" i="6" s="1"/>
  <c r="BT2" i="6"/>
  <c r="CB1" i="6" s="1"/>
  <c r="BS2" i="6"/>
  <c r="BR2" i="6"/>
  <c r="CL1" i="6" s="1"/>
  <c r="BQ2" i="6"/>
  <c r="BP2" i="6"/>
  <c r="BO2" i="6"/>
  <c r="CI1" i="6" s="1"/>
  <c r="BN2" i="6"/>
  <c r="CH1" i="6" s="1"/>
  <c r="BM2" i="6"/>
  <c r="BL2" i="6"/>
  <c r="BK2" i="6"/>
  <c r="BJ2" i="6"/>
  <c r="BI2" i="6"/>
  <c r="BH2" i="6"/>
  <c r="BG2" i="6"/>
  <c r="BF2" i="6"/>
  <c r="V2" i="6"/>
  <c r="CW1" i="6"/>
  <c r="CV1" i="6"/>
  <c r="CQ1" i="6"/>
  <c r="CP1" i="6"/>
  <c r="CJ1" i="6"/>
  <c r="CE1" i="6"/>
  <c r="CD1" i="6"/>
  <c r="BP1" i="6"/>
  <c r="BL1" i="6"/>
  <c r="F1" i="6"/>
  <c r="E1" i="6"/>
  <c r="D1" i="6"/>
  <c r="X37" i="6" a="1"/>
  <c r="CX36" i="6" a="1"/>
  <c r="X35" i="6" a="1"/>
  <c r="CX34" i="6" a="1"/>
  <c r="CY37" i="6" a="1"/>
  <c r="Y36" i="6" a="1"/>
  <c r="CY35" i="6" a="1"/>
  <c r="W34" i="6" a="1"/>
  <c r="W37" i="6" a="1"/>
  <c r="CZ36" i="6" a="1"/>
  <c r="CW36" i="6" a="1"/>
  <c r="W35" i="6" a="1"/>
  <c r="CZ34" i="6" a="1"/>
  <c r="CW34" i="6" a="1"/>
  <c r="CX37" i="6" a="1"/>
  <c r="X36" i="6" a="1"/>
  <c r="CX35" i="6" a="1"/>
  <c r="Y34" i="6" a="1"/>
  <c r="CW35" i="6" a="1"/>
  <c r="Y35" i="6" a="1"/>
  <c r="CW37" i="6" a="1"/>
  <c r="CY34" i="6" a="1"/>
  <c r="CZ37" i="6" a="1"/>
  <c r="W36" i="6" a="1"/>
  <c r="X34" i="6" a="1"/>
  <c r="CY36" i="6" a="1"/>
  <c r="CZ35" i="6" a="1"/>
  <c r="Y37" i="6" a="1"/>
  <c r="Y37" i="6" l="1"/>
  <c r="AQ37" i="6" s="1"/>
  <c r="CZ35" i="6"/>
  <c r="CY36" i="6"/>
  <c r="X34" i="6"/>
  <c r="AP34" i="6" s="1"/>
  <c r="W36" i="6"/>
  <c r="CZ37" i="6"/>
  <c r="CY34" i="6"/>
  <c r="EV34" i="6" s="1"/>
  <c r="CW37" i="6"/>
  <c r="Y35" i="6"/>
  <c r="CW35" i="6"/>
  <c r="ET35" i="6" s="1"/>
  <c r="Y34" i="6"/>
  <c r="AQ34" i="6" s="1"/>
  <c r="CX35" i="6"/>
  <c r="EU35" i="6" s="1"/>
  <c r="X36" i="6"/>
  <c r="AP36" i="6" s="1"/>
  <c r="CX37" i="6"/>
  <c r="CW34" i="6"/>
  <c r="ET34" i="6" s="1"/>
  <c r="CZ34" i="6"/>
  <c r="EW34" i="6" s="1"/>
  <c r="W35" i="6"/>
  <c r="CW36" i="6"/>
  <c r="CZ36" i="6"/>
  <c r="W37" i="6"/>
  <c r="W34" i="6"/>
  <c r="AO34" i="6" s="1"/>
  <c r="CY35" i="6"/>
  <c r="Y36" i="6"/>
  <c r="CY37" i="6"/>
  <c r="CX34" i="6"/>
  <c r="EU34" i="6" s="1"/>
  <c r="X35" i="6"/>
  <c r="CX36" i="6"/>
  <c r="X37" i="6"/>
  <c r="AP37" i="6" s="1"/>
  <c r="CX55" i="6"/>
  <c r="EU55" i="6" s="1"/>
  <c r="CX72" i="6"/>
  <c r="CX14" i="6"/>
  <c r="CX10" i="6"/>
  <c r="EU6" i="6"/>
  <c r="CX9" i="6"/>
  <c r="CX2" i="6"/>
  <c r="CK1" i="6"/>
  <c r="BY1" i="6"/>
  <c r="CD43" i="6"/>
  <c r="CD52" i="6"/>
  <c r="EA16" i="6"/>
  <c r="CD47" i="6"/>
  <c r="CD18" i="6"/>
  <c r="I39" i="6"/>
  <c r="P85" i="6"/>
  <c r="O74" i="6"/>
  <c r="O75" i="6"/>
  <c r="O81" i="6"/>
  <c r="O71" i="6"/>
  <c r="O82" i="6"/>
  <c r="AG72" i="6"/>
  <c r="O80" i="6"/>
  <c r="CT10" i="6"/>
  <c r="EQ9" i="6"/>
  <c r="CP43" i="6"/>
  <c r="CP47" i="6"/>
  <c r="EM16" i="6"/>
  <c r="CP52" i="6"/>
  <c r="CP18" i="6"/>
  <c r="BW77" i="6"/>
  <c r="CL10" i="6"/>
  <c r="EI9" i="6"/>
  <c r="T9" i="6"/>
  <c r="CU84" i="6"/>
  <c r="CU85" i="6" s="1"/>
  <c r="ER57" i="6"/>
  <c r="CU57" i="6" s="1"/>
  <c r="CH63" i="6"/>
  <c r="EE63" i="6" s="1"/>
  <c r="DF10" i="6"/>
  <c r="N10" i="6"/>
  <c r="AF9" i="6"/>
  <c r="DM9" i="6"/>
  <c r="CN10" i="6"/>
  <c r="BW39" i="6"/>
  <c r="AG13" i="6"/>
  <c r="O40" i="6"/>
  <c r="CC1" i="6"/>
  <c r="Q7" i="6"/>
  <c r="AI7" i="6" s="1"/>
  <c r="Q84" i="6" s="1"/>
  <c r="CW72" i="6"/>
  <c r="CW55" i="6"/>
  <c r="ET55" i="6" s="1"/>
  <c r="CW9" i="6"/>
  <c r="CW14" i="6"/>
  <c r="CW2" i="6"/>
  <c r="CW10" i="6"/>
  <c r="ET6" i="6"/>
  <c r="EM9" i="6"/>
  <c r="CH10" i="6"/>
  <c r="EE9" i="6"/>
  <c r="CY55" i="6"/>
  <c r="EV55" i="6" s="1"/>
  <c r="CY72" i="6"/>
  <c r="CY14" i="6"/>
  <c r="CY10" i="6"/>
  <c r="CP84" i="6"/>
  <c r="EM57" i="6"/>
  <c r="CP57" i="6" s="1"/>
  <c r="DG11" i="6"/>
  <c r="DH169" i="6"/>
  <c r="DG169" i="6"/>
  <c r="DF169" i="6"/>
  <c r="DE169" i="6"/>
  <c r="BH72" i="6"/>
  <c r="BH13" i="6"/>
  <c r="BH10" i="6"/>
  <c r="BH39" i="6" s="1"/>
  <c r="DV11" i="6"/>
  <c r="P11" i="6"/>
  <c r="CQ11" i="6"/>
  <c r="EM11" i="6"/>
  <c r="S246" i="6"/>
  <c r="AK14" i="6"/>
  <c r="CE44" i="6"/>
  <c r="CE46" i="6"/>
  <c r="CT77" i="6"/>
  <c r="BZ1" i="6"/>
  <c r="R220" i="6"/>
  <c r="R223" i="6"/>
  <c r="R218" i="6"/>
  <c r="R72" i="6"/>
  <c r="R55" i="6"/>
  <c r="AK6" i="6"/>
  <c r="DK169" i="6"/>
  <c r="DJ169" i="6"/>
  <c r="BL72" i="6"/>
  <c r="DL169" i="6"/>
  <c r="AH7" i="6"/>
  <c r="CL84" i="6"/>
  <c r="CL85" i="6" s="1"/>
  <c r="EI57" i="6"/>
  <c r="CL57" i="6" s="1"/>
  <c r="EO7" i="6"/>
  <c r="EO57" i="6" s="1"/>
  <c r="CR57" i="6" s="1"/>
  <c r="R8" i="6"/>
  <c r="R86" i="6" s="1"/>
  <c r="EE8" i="6"/>
  <c r="EE58" i="6" s="1"/>
  <c r="CH58" i="6" s="1"/>
  <c r="EQ8" i="6"/>
  <c r="EQ58" i="6" s="1"/>
  <c r="CT58" i="6" s="1"/>
  <c r="M39" i="6"/>
  <c r="DW10" i="6"/>
  <c r="BZ39" i="6"/>
  <c r="CF39" i="6"/>
  <c r="CS10" i="6"/>
  <c r="EP9" i="6"/>
  <c r="DL9" i="6"/>
  <c r="AB10" i="6"/>
  <c r="BK10" i="6"/>
  <c r="CI10" i="6"/>
  <c r="DL10" i="6"/>
  <c r="DK11" i="6"/>
  <c r="CJ11" i="6"/>
  <c r="DX11" i="6"/>
  <c r="S221" i="6"/>
  <c r="S219" i="6"/>
  <c r="AK12" i="6"/>
  <c r="I40" i="6"/>
  <c r="I16" i="6"/>
  <c r="AA13" i="6"/>
  <c r="AB13" i="6"/>
  <c r="AN13" i="6"/>
  <c r="CB47" i="6"/>
  <c r="CB43" i="6"/>
  <c r="CB18" i="6"/>
  <c r="CN16" i="6"/>
  <c r="T16" i="6" s="1"/>
  <c r="EE13" i="6"/>
  <c r="T14" i="6"/>
  <c r="CJ42" i="6"/>
  <c r="EG14" i="6"/>
  <c r="CJ41" i="6"/>
  <c r="J16" i="6"/>
  <c r="BR16" i="6"/>
  <c r="CV40" i="6"/>
  <c r="AJ49" i="6"/>
  <c r="X139" i="6"/>
  <c r="X150" i="6" s="1"/>
  <c r="AP49" i="6"/>
  <c r="BP74" i="6"/>
  <c r="BF77" i="6"/>
  <c r="P218" i="6"/>
  <c r="P220" i="6"/>
  <c r="P223" i="6"/>
  <c r="P72" i="6"/>
  <c r="EV6" i="6"/>
  <c r="AI8" i="6"/>
  <c r="BR39" i="6"/>
  <c r="DO10" i="6"/>
  <c r="CP10" i="6"/>
  <c r="DG13" i="6"/>
  <c r="CK52" i="6"/>
  <c r="CK43" i="6"/>
  <c r="CE225" i="6"/>
  <c r="CE224" i="6"/>
  <c r="CE45" i="6"/>
  <c r="CZ58" i="6"/>
  <c r="EW58" i="6" s="1"/>
  <c r="W7" i="6"/>
  <c r="W6" i="6" s="1"/>
  <c r="CN63" i="6"/>
  <c r="BL9" i="6"/>
  <c r="DI9" i="6" s="1"/>
  <c r="DS9" i="6"/>
  <c r="CE39" i="6"/>
  <c r="T11" i="6"/>
  <c r="CB11" i="6"/>
  <c r="CB52" i="6" s="1"/>
  <c r="CF1" i="6"/>
  <c r="CA1" i="6"/>
  <c r="CG1" i="6"/>
  <c r="CM1" i="6"/>
  <c r="CS1" i="6"/>
  <c r="CY1" i="6"/>
  <c r="S220" i="6"/>
  <c r="S218" i="6"/>
  <c r="S72" i="6"/>
  <c r="S55" i="6"/>
  <c r="AL6" i="6"/>
  <c r="AS6" i="6"/>
  <c r="DO169" i="6"/>
  <c r="DN169" i="6"/>
  <c r="DP169" i="6"/>
  <c r="BP72" i="6"/>
  <c r="BP13" i="6"/>
  <c r="BP10" i="6"/>
  <c r="DI6" i="6"/>
  <c r="CG84" i="6"/>
  <c r="ED57" i="6"/>
  <c r="CG57" i="6" s="1"/>
  <c r="CM84" i="6"/>
  <c r="CM85" i="6" s="1"/>
  <c r="EJ57" i="6"/>
  <c r="CM57" i="6" s="1"/>
  <c r="CN62" i="6" s="1"/>
  <c r="CS84" i="6"/>
  <c r="EP57" i="6"/>
  <c r="CS57" i="6" s="1"/>
  <c r="S8" i="6"/>
  <c r="S86" i="6" s="1"/>
  <c r="CJ86" i="6" s="1"/>
  <c r="CJ63" i="6"/>
  <c r="EG63" i="6" s="1"/>
  <c r="H9" i="6"/>
  <c r="H10" i="6" s="1"/>
  <c r="H39" i="6" s="1"/>
  <c r="BU9" i="6"/>
  <c r="CA9" i="6"/>
  <c r="CG9" i="6"/>
  <c r="CM10" i="6"/>
  <c r="EJ9" i="6"/>
  <c r="DF9" i="6"/>
  <c r="BL10" i="6"/>
  <c r="BX11" i="6"/>
  <c r="DM11" i="6"/>
  <c r="EK11" i="6"/>
  <c r="T219" i="6"/>
  <c r="T221" i="6"/>
  <c r="AL12" i="6"/>
  <c r="P13" i="6"/>
  <c r="AC13" i="6"/>
  <c r="BQ16" i="6"/>
  <c r="BQ40" i="6"/>
  <c r="DN13" i="6"/>
  <c r="BW16" i="6"/>
  <c r="DT13" i="6"/>
  <c r="CC16" i="6"/>
  <c r="CC40" i="6"/>
  <c r="R13" i="6"/>
  <c r="DZ13" i="6"/>
  <c r="CI16" i="6"/>
  <c r="S13" i="6"/>
  <c r="EF13" i="6"/>
  <c r="CO16" i="6"/>
  <c r="CO40" i="6"/>
  <c r="EL13" i="6"/>
  <c r="CU16" i="6"/>
  <c r="ER13" i="6"/>
  <c r="DR13" i="6"/>
  <c r="EJ13" i="6"/>
  <c r="CR42" i="6"/>
  <c r="CN41" i="6"/>
  <c r="EO14" i="6"/>
  <c r="K16" i="6"/>
  <c r="BF16" i="6"/>
  <c r="DP16" i="6"/>
  <c r="BS43" i="6"/>
  <c r="CE226" i="6"/>
  <c r="CE227" i="6" s="1"/>
  <c r="CE52" i="6"/>
  <c r="CE43" i="6"/>
  <c r="CQ47" i="6"/>
  <c r="EN16" i="6"/>
  <c r="CQ43" i="6"/>
  <c r="BS18" i="6"/>
  <c r="CK18" i="6"/>
  <c r="DI19" i="6"/>
  <c r="CE23" i="6"/>
  <c r="BW40" i="6"/>
  <c r="AK49" i="6"/>
  <c r="AL49" i="6"/>
  <c r="Y139" i="6"/>
  <c r="Y150" i="6" s="1"/>
  <c r="AQ49" i="6"/>
  <c r="AN56" i="6"/>
  <c r="EG61" i="6"/>
  <c r="AF72" i="6"/>
  <c r="N74" i="6"/>
  <c r="N75" i="6"/>
  <c r="AF75" i="6" s="1"/>
  <c r="N71" i="6"/>
  <c r="AI6" i="6"/>
  <c r="CD10" i="6"/>
  <c r="BY52" i="6"/>
  <c r="BY43" i="6"/>
  <c r="CY2" i="6"/>
  <c r="CQ84" i="6"/>
  <c r="CQ85" i="6" s="1"/>
  <c r="EN57" i="6"/>
  <c r="CQ57" i="6" s="1"/>
  <c r="CR62" i="6" s="1"/>
  <c r="R9" i="6"/>
  <c r="CN1" i="6"/>
  <c r="AB9" i="6"/>
  <c r="BM39" i="6"/>
  <c r="DJ10" i="6"/>
  <c r="CK39" i="6"/>
  <c r="EI11" i="6"/>
  <c r="EU11" i="6"/>
  <c r="CU11" i="6"/>
  <c r="O219" i="6"/>
  <c r="O221" i="6"/>
  <c r="U219" i="6"/>
  <c r="U221" i="6"/>
  <c r="AM12" i="6"/>
  <c r="Q40" i="6"/>
  <c r="AD13" i="6"/>
  <c r="BK16" i="6"/>
  <c r="DH13" i="6"/>
  <c r="CD40" i="6"/>
  <c r="EA13" i="6"/>
  <c r="CP40" i="6"/>
  <c r="EM13" i="6"/>
  <c r="EK13" i="6"/>
  <c r="BG52" i="6"/>
  <c r="BG53" i="6" s="1"/>
  <c r="BG43" i="6"/>
  <c r="AL19" i="6"/>
  <c r="AO20" i="6"/>
  <c r="AN20" i="6"/>
  <c r="BX40" i="6"/>
  <c r="DJ40" i="6" s="1"/>
  <c r="S41" i="6"/>
  <c r="BR76" i="6"/>
  <c r="DO71" i="6"/>
  <c r="BY76" i="6"/>
  <c r="BY77" i="6" s="1"/>
  <c r="DZ71" i="6"/>
  <c r="DV71" i="6"/>
  <c r="V218" i="6"/>
  <c r="V220" i="6"/>
  <c r="V55" i="6"/>
  <c r="V72" i="6"/>
  <c r="DC169" i="6"/>
  <c r="DB169" i="6"/>
  <c r="BD72" i="6"/>
  <c r="DD169" i="6"/>
  <c r="P8" i="6"/>
  <c r="BX8" i="6" s="1"/>
  <c r="DU8" i="6" s="1"/>
  <c r="AO8" i="6"/>
  <c r="BM52" i="6"/>
  <c r="BM43" i="6"/>
  <c r="DJ16" i="6"/>
  <c r="Q220" i="6"/>
  <c r="Q223" i="6"/>
  <c r="Q218" i="6"/>
  <c r="Q72" i="6"/>
  <c r="CK84" i="6"/>
  <c r="EH57" i="6"/>
  <c r="CK57" i="6" s="1"/>
  <c r="Q8" i="6"/>
  <c r="Q86" i="6" s="1"/>
  <c r="AJ8" i="6"/>
  <c r="AD9" i="6"/>
  <c r="L10" i="6"/>
  <c r="K10" i="6"/>
  <c r="DH11" i="6"/>
  <c r="BM18" i="6"/>
  <c r="BH1" i="6"/>
  <c r="T220" i="6"/>
  <c r="T218" i="6"/>
  <c r="T72" i="6"/>
  <c r="AJ7" i="6"/>
  <c r="R84" i="6" s="1"/>
  <c r="CH84" i="6"/>
  <c r="EE57" i="6"/>
  <c r="CH57" i="6" s="1"/>
  <c r="CT84" i="6"/>
  <c r="EQ57" i="6"/>
  <c r="CT57" i="6" s="1"/>
  <c r="T8" i="6"/>
  <c r="T86" i="6" s="1"/>
  <c r="CN86" i="6" s="1"/>
  <c r="EM8" i="6"/>
  <c r="EM58" i="6" s="1"/>
  <c r="CP58" i="6" s="1"/>
  <c r="DW9" i="6"/>
  <c r="BY39" i="6"/>
  <c r="BR40" i="6"/>
  <c r="DO13" i="6"/>
  <c r="O223" i="6"/>
  <c r="O218" i="6"/>
  <c r="O220" i="6"/>
  <c r="U218" i="6"/>
  <c r="U220" i="6"/>
  <c r="U72" i="6"/>
  <c r="AH6" i="6"/>
  <c r="AN6" i="6"/>
  <c r="DE6" i="6"/>
  <c r="DQ6" i="6"/>
  <c r="CV7" i="6"/>
  <c r="CI84" i="6"/>
  <c r="CI85" i="6" s="1"/>
  <c r="EF57" i="6"/>
  <c r="CI57" i="6" s="1"/>
  <c r="CJ62" i="6" s="1"/>
  <c r="EG62" i="6" s="1"/>
  <c r="CO84" i="6"/>
  <c r="EL57" i="6"/>
  <c r="CO57" i="6" s="1"/>
  <c r="O8" i="6"/>
  <c r="AG8" i="6" s="1"/>
  <c r="U8" i="6"/>
  <c r="U86" i="6" s="1"/>
  <c r="CR86" i="6" s="1"/>
  <c r="AH8" i="6"/>
  <c r="EB8" i="6"/>
  <c r="EH8" i="6"/>
  <c r="EH58" i="6" s="1"/>
  <c r="CK58" i="6" s="1"/>
  <c r="CL63" i="6" s="1"/>
  <c r="EI63" i="6" s="1"/>
  <c r="EN8" i="6"/>
  <c r="EN58" i="6" s="1"/>
  <c r="CQ58" i="6" s="1"/>
  <c r="CR63" i="6" s="1"/>
  <c r="BJ9" i="6"/>
  <c r="BQ10" i="6"/>
  <c r="CC10" i="6"/>
  <c r="CO10" i="6"/>
  <c r="AJ11" i="6"/>
  <c r="BS11" i="6"/>
  <c r="DO11" i="6"/>
  <c r="DW11" i="6"/>
  <c r="Q11" i="6"/>
  <c r="EC11" i="6"/>
  <c r="DF11" i="6"/>
  <c r="DR11" i="6"/>
  <c r="ED11" i="6"/>
  <c r="EP11" i="6"/>
  <c r="AN12" i="6"/>
  <c r="DI12" i="6"/>
  <c r="U13" i="6"/>
  <c r="BE16" i="6"/>
  <c r="BE40" i="6"/>
  <c r="BL13" i="6"/>
  <c r="DF13" i="6"/>
  <c r="DX13" i="6"/>
  <c r="EP13" i="6"/>
  <c r="BH41" i="6"/>
  <c r="BX16" i="6"/>
  <c r="CJ16" i="6"/>
  <c r="CV16" i="6"/>
  <c r="AH17" i="6"/>
  <c r="BG18" i="6"/>
  <c r="BY18" i="6"/>
  <c r="CQ18" i="6"/>
  <c r="AI20" i="6"/>
  <c r="CI40" i="6"/>
  <c r="T55" i="6"/>
  <c r="M76" i="6"/>
  <c r="AE76" i="6" s="1"/>
  <c r="AE71" i="6"/>
  <c r="O246" i="6"/>
  <c r="O41" i="6"/>
  <c r="U246" i="6"/>
  <c r="U41" i="6"/>
  <c r="AH14" i="6"/>
  <c r="AN14" i="6"/>
  <c r="L52" i="6"/>
  <c r="BN52" i="6"/>
  <c r="BZ52" i="6"/>
  <c r="CF52" i="6"/>
  <c r="CF47" i="6"/>
  <c r="CL52" i="6"/>
  <c r="L18" i="6"/>
  <c r="BN18" i="6"/>
  <c r="BT18" i="6"/>
  <c r="BZ18" i="6"/>
  <c r="CF18" i="6"/>
  <c r="CL18" i="6"/>
  <c r="CR18" i="6"/>
  <c r="AI19" i="6"/>
  <c r="CB40" i="6"/>
  <c r="CN40" i="6"/>
  <c r="DM49" i="6"/>
  <c r="AB72" i="6"/>
  <c r="AB11" i="6"/>
  <c r="P219" i="6"/>
  <c r="P221" i="6"/>
  <c r="AE13" i="6"/>
  <c r="P246" i="6"/>
  <c r="P41" i="6"/>
  <c r="V246" i="6"/>
  <c r="V41" i="6"/>
  <c r="DI14" i="6"/>
  <c r="M16" i="6"/>
  <c r="BI16" i="6"/>
  <c r="BO16" i="6"/>
  <c r="BU16" i="6"/>
  <c r="CA16" i="6"/>
  <c r="CE47" i="6" s="1"/>
  <c r="CG16" i="6"/>
  <c r="CM16" i="6"/>
  <c r="CS16" i="6"/>
  <c r="AJ19" i="6"/>
  <c r="DI20" i="6"/>
  <c r="BT43" i="6"/>
  <c r="CF43" i="6"/>
  <c r="CR43" i="6"/>
  <c r="CN60" i="6"/>
  <c r="EI55" i="6"/>
  <c r="BP75" i="6"/>
  <c r="BI153" i="6"/>
  <c r="BI155" i="6" s="1"/>
  <c r="BI157" i="6"/>
  <c r="BO215" i="6"/>
  <c r="BO216" i="6" s="1"/>
  <c r="BO201" i="6"/>
  <c r="BP201" i="6"/>
  <c r="BP215" i="6"/>
  <c r="BP216" i="6" s="1"/>
  <c r="Q219" i="6"/>
  <c r="Q221" i="6"/>
  <c r="AJ12" i="6"/>
  <c r="DM12" i="6"/>
  <c r="AF13" i="6"/>
  <c r="DJ13" i="6"/>
  <c r="DP13" i="6"/>
  <c r="DV13" i="6"/>
  <c r="EB13" i="6"/>
  <c r="EH13" i="6"/>
  <c r="EN13" i="6"/>
  <c r="Q246" i="6"/>
  <c r="Q41" i="6"/>
  <c r="AJ14" i="6"/>
  <c r="H16" i="6"/>
  <c r="N16" i="6"/>
  <c r="BJ16" i="6"/>
  <c r="BN47" i="6" s="1"/>
  <c r="BV16" i="6"/>
  <c r="CH16" i="6"/>
  <c r="CL47" i="6" s="1"/>
  <c r="CT16" i="6"/>
  <c r="DK16" i="6"/>
  <c r="DW16" i="6"/>
  <c r="EC16" i="6"/>
  <c r="AN17" i="6"/>
  <c r="AK19" i="6"/>
  <c r="DM19" i="6"/>
  <c r="CK76" i="6"/>
  <c r="EL71" i="6"/>
  <c r="EH71" i="6"/>
  <c r="BO85" i="6"/>
  <c r="BK75" i="6"/>
  <c r="BK77" i="6" s="1"/>
  <c r="DH72" i="6"/>
  <c r="BK76" i="6"/>
  <c r="DT85" i="6"/>
  <c r="BW82" i="6"/>
  <c r="BW81" i="6"/>
  <c r="BW80" i="6"/>
  <c r="BW84" i="6"/>
  <c r="CE77" i="6"/>
  <c r="CO85" i="6"/>
  <c r="BR77" i="6"/>
  <c r="DZ85" i="6"/>
  <c r="CC81" i="6"/>
  <c r="CC80" i="6"/>
  <c r="CC84" i="6"/>
  <c r="CC82" i="6"/>
  <c r="BQ157" i="6"/>
  <c r="BQ153" i="6"/>
  <c r="BQ155" i="6" s="1"/>
  <c r="CG153" i="6"/>
  <c r="CG157" i="6"/>
  <c r="BG157" i="6"/>
  <c r="BG153" i="6"/>
  <c r="BG155" i="6" s="1"/>
  <c r="BL155" i="6"/>
  <c r="L158" i="6"/>
  <c r="BH221" i="6"/>
  <c r="V185" i="6"/>
  <c r="CV185" i="6" s="1"/>
  <c r="CV181" i="6"/>
  <c r="T201" i="6"/>
  <c r="T215" i="6"/>
  <c r="T216" i="6" s="1"/>
  <c r="CN199" i="6"/>
  <c r="CN215" i="6" s="1"/>
  <c r="CN216" i="6" s="1"/>
  <c r="CS215" i="6"/>
  <c r="CS216" i="6" s="1"/>
  <c r="CS201" i="6"/>
  <c r="R219" i="6"/>
  <c r="R221" i="6"/>
  <c r="T13" i="6"/>
  <c r="DK13" i="6"/>
  <c r="DW13" i="6"/>
  <c r="EC13" i="6"/>
  <c r="EI13" i="6"/>
  <c r="EO13" i="6"/>
  <c r="BT42" i="6"/>
  <c r="BP41" i="6"/>
  <c r="DQ14" i="6"/>
  <c r="R41" i="6"/>
  <c r="L43" i="6"/>
  <c r="EF55" i="6"/>
  <c r="CJ60" i="6"/>
  <c r="EO55" i="6"/>
  <c r="T56" i="6"/>
  <c r="CL61" i="6"/>
  <c r="EI61" i="6" s="1"/>
  <c r="CR61" i="6"/>
  <c r="U56" i="6"/>
  <c r="BI85" i="6"/>
  <c r="BE75" i="6"/>
  <c r="BE76" i="6"/>
  <c r="BE74" i="6"/>
  <c r="BE77" i="6" s="1"/>
  <c r="BM77" i="6"/>
  <c r="BS76" i="6"/>
  <c r="BP157" i="6"/>
  <c r="CN157" i="6"/>
  <c r="CN153" i="6"/>
  <c r="T158" i="6"/>
  <c r="Q158" i="6"/>
  <c r="X206" i="6"/>
  <c r="Y183" i="6"/>
  <c r="Y206" i="6" s="1"/>
  <c r="CR208" i="6"/>
  <c r="CR207" i="6" s="1"/>
  <c r="BE82" i="6"/>
  <c r="BE81" i="6"/>
  <c r="BE80" i="6"/>
  <c r="BG77" i="6"/>
  <c r="BN74" i="6"/>
  <c r="BR85" i="6"/>
  <c r="BX85" i="6"/>
  <c r="BZ74" i="6"/>
  <c r="CP85" i="6"/>
  <c r="CL71" i="6"/>
  <c r="CL74" i="6"/>
  <c r="BX73" i="6"/>
  <c r="CD85" i="6"/>
  <c r="BT153" i="6"/>
  <c r="BT157" i="6"/>
  <c r="CR153" i="6"/>
  <c r="CR157" i="6"/>
  <c r="BD155" i="6"/>
  <c r="BT219" i="6"/>
  <c r="DQ168" i="6"/>
  <c r="DQ169" i="6"/>
  <c r="DR166" i="6"/>
  <c r="DQ166" i="6"/>
  <c r="DT168" i="6"/>
  <c r="CR219" i="6"/>
  <c r="CR230" i="6"/>
  <c r="EO168" i="6"/>
  <c r="EO169" i="6"/>
  <c r="ER168" i="6"/>
  <c r="EP166" i="6"/>
  <c r="EO166" i="6"/>
  <c r="AO49" i="6"/>
  <c r="CL60" i="6"/>
  <c r="BT74" i="6"/>
  <c r="DQ69" i="6"/>
  <c r="EE71" i="6"/>
  <c r="CH76" i="6"/>
  <c r="EA71" i="6"/>
  <c r="L84" i="6"/>
  <c r="L82" i="6"/>
  <c r="L81" i="6"/>
  <c r="L80" i="6"/>
  <c r="BF85" i="6"/>
  <c r="BB74" i="6"/>
  <c r="BS85" i="6"/>
  <c r="BO74" i="6"/>
  <c r="BO75" i="6"/>
  <c r="DL72" i="6"/>
  <c r="BY85" i="6"/>
  <c r="BU74" i="6"/>
  <c r="BU73" i="6"/>
  <c r="BU75" i="6"/>
  <c r="DR72" i="6"/>
  <c r="CE85" i="6"/>
  <c r="CA74" i="6"/>
  <c r="CA77" i="6" s="1"/>
  <c r="CA75" i="6"/>
  <c r="DX72" i="6"/>
  <c r="CK85" i="6"/>
  <c r="CG74" i="6"/>
  <c r="CG75" i="6"/>
  <c r="ED72" i="6"/>
  <c r="CM74" i="6"/>
  <c r="CM75" i="6"/>
  <c r="EJ72" i="6"/>
  <c r="CW85" i="6"/>
  <c r="CS74" i="6"/>
  <c r="CS75" i="6"/>
  <c r="EP72" i="6"/>
  <c r="DQ72" i="6"/>
  <c r="EC72" i="6"/>
  <c r="EO72" i="6"/>
  <c r="CG76" i="6"/>
  <c r="CS76" i="6"/>
  <c r="BX157" i="6"/>
  <c r="BX153" i="6"/>
  <c r="BU153" i="6"/>
  <c r="BU157" i="6"/>
  <c r="M153" i="6"/>
  <c r="M157" i="6"/>
  <c r="BX219" i="6"/>
  <c r="DU169" i="6"/>
  <c r="DU168" i="6"/>
  <c r="DV166" i="6"/>
  <c r="DU166" i="6"/>
  <c r="DX168" i="6"/>
  <c r="BX168" i="6"/>
  <c r="ES169" i="6"/>
  <c r="ES166" i="6"/>
  <c r="ES168" i="6"/>
  <c r="BF213" i="6"/>
  <c r="BF174" i="6"/>
  <c r="BF223" i="6" s="1"/>
  <c r="W173" i="6"/>
  <c r="CV173" i="6"/>
  <c r="CV172" i="6"/>
  <c r="Q211" i="6"/>
  <c r="Q212" i="6" s="1"/>
  <c r="Q209" i="6"/>
  <c r="ES55" i="6"/>
  <c r="CB71" i="6"/>
  <c r="CI76" i="6"/>
  <c r="EJ71" i="6"/>
  <c r="EQ71" i="6"/>
  <c r="CT76" i="6"/>
  <c r="AC72" i="6"/>
  <c r="BG85" i="6"/>
  <c r="BC74" i="6"/>
  <c r="BC75" i="6"/>
  <c r="BM85" i="6"/>
  <c r="BI74" i="6"/>
  <c r="BI75" i="6"/>
  <c r="DF72" i="6"/>
  <c r="BZ85" i="6"/>
  <c r="BZ86" i="6" s="1"/>
  <c r="BV75" i="6"/>
  <c r="BV77" i="6" s="1"/>
  <c r="DS72" i="6"/>
  <c r="BV86" i="6"/>
  <c r="CH75" i="6"/>
  <c r="EE72" i="6"/>
  <c r="CX85" i="6"/>
  <c r="CT75" i="6"/>
  <c r="EQ72" i="6"/>
  <c r="DU72" i="6"/>
  <c r="BL157" i="6"/>
  <c r="BL153" i="6"/>
  <c r="BY157" i="6"/>
  <c r="BY153" i="6"/>
  <c r="CP157" i="6"/>
  <c r="CP153" i="6"/>
  <c r="BZ153" i="6"/>
  <c r="BZ157" i="6"/>
  <c r="CV133" i="6"/>
  <c r="CV153" i="6" s="1"/>
  <c r="BL210" i="6"/>
  <c r="BL168" i="6"/>
  <c r="K223" i="6"/>
  <c r="BD174" i="6"/>
  <c r="W172" i="6"/>
  <c r="W150" i="6"/>
  <c r="CZ139" i="6"/>
  <c r="EN55" i="6"/>
  <c r="DY70" i="6"/>
  <c r="BQ76" i="6"/>
  <c r="DN71" i="6"/>
  <c r="AD72" i="6"/>
  <c r="BN85" i="6"/>
  <c r="BJ75" i="6"/>
  <c r="BJ77" i="6" s="1"/>
  <c r="DG72" i="6"/>
  <c r="BJ76" i="6"/>
  <c r="BU85" i="6"/>
  <c r="BQ75" i="6"/>
  <c r="BQ77" i="6" s="1"/>
  <c r="DN72" i="6"/>
  <c r="CA85" i="6"/>
  <c r="BW86" i="6"/>
  <c r="BW75" i="6"/>
  <c r="DT72" i="6"/>
  <c r="CG85" i="6"/>
  <c r="CC86" i="6"/>
  <c r="CC75" i="6"/>
  <c r="DZ72" i="6"/>
  <c r="CI75" i="6"/>
  <c r="CI77" i="6" s="1"/>
  <c r="EF72" i="6"/>
  <c r="CS85" i="6"/>
  <c r="CO75" i="6"/>
  <c r="EL72" i="6"/>
  <c r="CO76" i="6"/>
  <c r="DJ72" i="6"/>
  <c r="DV72" i="6"/>
  <c r="EH72" i="6"/>
  <c r="CC74" i="6"/>
  <c r="CC77" i="6" s="1"/>
  <c r="CO74" i="6"/>
  <c r="BB75" i="6"/>
  <c r="BN75" i="6"/>
  <c r="BZ75" i="6"/>
  <c r="CL75" i="6"/>
  <c r="BB76" i="6"/>
  <c r="BK81" i="6"/>
  <c r="BK80" i="6"/>
  <c r="BK84" i="6"/>
  <c r="CJ157" i="6"/>
  <c r="CQ157" i="6"/>
  <c r="CQ153" i="6"/>
  <c r="CA153" i="6"/>
  <c r="CJ150" i="6"/>
  <c r="CJ153" i="6" s="1"/>
  <c r="BP210" i="6"/>
  <c r="BP168" i="6"/>
  <c r="X125" i="6"/>
  <c r="Y167" i="6"/>
  <c r="Y125" i="6" s="1"/>
  <c r="BQ85" i="6"/>
  <c r="H158" i="6"/>
  <c r="N158" i="6"/>
  <c r="U158" i="6"/>
  <c r="BR157" i="6"/>
  <c r="BR153" i="6"/>
  <c r="BR155" i="6" s="1"/>
  <c r="CK157" i="6"/>
  <c r="CK153" i="6"/>
  <c r="H153" i="6"/>
  <c r="H155" i="6" s="1"/>
  <c r="I154" i="6" s="1"/>
  <c r="BV153" i="6"/>
  <c r="R157" i="6"/>
  <c r="BO157" i="6"/>
  <c r="BL218" i="6"/>
  <c r="BL220" i="6"/>
  <c r="CJ218" i="6"/>
  <c r="CJ220" i="6"/>
  <c r="L213" i="6"/>
  <c r="L174" i="6"/>
  <c r="L223" i="6" s="1"/>
  <c r="R213" i="6"/>
  <c r="R174" i="6"/>
  <c r="CF174" i="6" s="1"/>
  <c r="CF223" i="6" s="1"/>
  <c r="CK213" i="6"/>
  <c r="CK174" i="6"/>
  <c r="CK223" i="6" s="1"/>
  <c r="BH208" i="6"/>
  <c r="BH207" i="6"/>
  <c r="CD211" i="6"/>
  <c r="CD212" i="6" s="1"/>
  <c r="CD209" i="6"/>
  <c r="M201" i="6"/>
  <c r="M215" i="6"/>
  <c r="M216" i="6" s="1"/>
  <c r="U215" i="6"/>
  <c r="U216" i="6" s="1"/>
  <c r="CR199" i="6"/>
  <c r="CR215" i="6" s="1"/>
  <c r="CR216" i="6" s="1"/>
  <c r="U201" i="6"/>
  <c r="BY208" i="6"/>
  <c r="BY207" i="6"/>
  <c r="CQ211" i="6"/>
  <c r="CQ212" i="6" s="1"/>
  <c r="CQ209" i="6"/>
  <c r="M74" i="6"/>
  <c r="BA74" i="6"/>
  <c r="BA77" i="6" s="1"/>
  <c r="BS74" i="6"/>
  <c r="BS77" i="6" s="1"/>
  <c r="CK74" i="6"/>
  <c r="CK77" i="6" s="1"/>
  <c r="BJ80" i="6"/>
  <c r="BV80" i="6"/>
  <c r="BV81" i="6"/>
  <c r="M85" i="6"/>
  <c r="I158" i="6"/>
  <c r="O158" i="6"/>
  <c r="V157" i="6"/>
  <c r="V153" i="6"/>
  <c r="BS126" i="6"/>
  <c r="CD157" i="6"/>
  <c r="CD153" i="6"/>
  <c r="S153" i="6"/>
  <c r="S157" i="6"/>
  <c r="BX150" i="6"/>
  <c r="CV150" i="6"/>
  <c r="I153" i="6"/>
  <c r="BE153" i="6"/>
  <c r="BE155" i="6" s="1"/>
  <c r="BW153" i="6"/>
  <c r="CO153" i="6"/>
  <c r="U210" i="6"/>
  <c r="U168" i="6"/>
  <c r="CR164" i="6"/>
  <c r="CR210" i="6" s="1"/>
  <c r="BP218" i="6"/>
  <c r="BP220" i="6"/>
  <c r="CN218" i="6"/>
  <c r="CN220" i="6"/>
  <c r="M213" i="6"/>
  <c r="M174" i="6"/>
  <c r="M223" i="6" s="1"/>
  <c r="S213" i="6"/>
  <c r="S174" i="6"/>
  <c r="CJ174" i="6" s="1"/>
  <c r="CJ223" i="6" s="1"/>
  <c r="CJ168" i="6"/>
  <c r="CJ213" i="6" s="1"/>
  <c r="CL213" i="6"/>
  <c r="CL174" i="6"/>
  <c r="CL223" i="6" s="1"/>
  <c r="H201" i="6"/>
  <c r="H203" i="6" s="1"/>
  <c r="H215" i="6"/>
  <c r="H216" i="6" s="1"/>
  <c r="CM215" i="6"/>
  <c r="CM216" i="6" s="1"/>
  <c r="CM201" i="6"/>
  <c r="CU215" i="6"/>
  <c r="CU216" i="6" s="1"/>
  <c r="CU201" i="6"/>
  <c r="P211" i="6"/>
  <c r="P212" i="6" s="1"/>
  <c r="P209" i="6"/>
  <c r="BJ212" i="6"/>
  <c r="DB211" i="6"/>
  <c r="BZ208" i="6"/>
  <c r="BZ207" i="6"/>
  <c r="AE72" i="6"/>
  <c r="BJ84" i="6"/>
  <c r="BJ82" i="6"/>
  <c r="BV84" i="6"/>
  <c r="BV82" i="6"/>
  <c r="BX86" i="6"/>
  <c r="CH85" i="6"/>
  <c r="CD86" i="6"/>
  <c r="CT85" i="6"/>
  <c r="CB126" i="6"/>
  <c r="BH119" i="6"/>
  <c r="BH126" i="6" s="1"/>
  <c r="J157" i="6"/>
  <c r="J153" i="6"/>
  <c r="P157" i="6"/>
  <c r="P153" i="6"/>
  <c r="CE157" i="6"/>
  <c r="CE153" i="6"/>
  <c r="CL153" i="6"/>
  <c r="BP133" i="6"/>
  <c r="BP153" i="6" s="1"/>
  <c r="BP155" i="6" s="1"/>
  <c r="CZ150" i="6"/>
  <c r="N153" i="6"/>
  <c r="N155" i="6" s="1"/>
  <c r="O154" i="6" s="1"/>
  <c r="BJ153" i="6"/>
  <c r="BJ155" i="6" s="1"/>
  <c r="CT153" i="6"/>
  <c r="V210" i="6"/>
  <c r="V211" i="6" s="1"/>
  <c r="V212" i="6" s="1"/>
  <c r="V168" i="6"/>
  <c r="BY213" i="6"/>
  <c r="BY174" i="6"/>
  <c r="BY223" i="6" s="1"/>
  <c r="CF168" i="6"/>
  <c r="CE203" i="6"/>
  <c r="BL196" i="6"/>
  <c r="BL199" i="6" s="1"/>
  <c r="BU215" i="6"/>
  <c r="BU216" i="6" s="1"/>
  <c r="BU201" i="6"/>
  <c r="BU203" i="6" s="1"/>
  <c r="CO209" i="6"/>
  <c r="CO215" i="6"/>
  <c r="CO216" i="6" s="1"/>
  <c r="CO201" i="6"/>
  <c r="CZ197" i="6"/>
  <c r="X197" i="6"/>
  <c r="Y197" i="6" s="1"/>
  <c r="N84" i="6"/>
  <c r="O85" i="6"/>
  <c r="O84" i="6" s="1"/>
  <c r="ER72" i="6"/>
  <c r="CU75" i="6"/>
  <c r="CU77" i="6" s="1"/>
  <c r="BF76" i="6"/>
  <c r="CD76" i="6"/>
  <c r="CD77" i="6" s="1"/>
  <c r="CP76" i="6"/>
  <c r="CP77" i="6" s="1"/>
  <c r="CF119" i="6"/>
  <c r="CF126" i="6" s="1"/>
  <c r="K153" i="6"/>
  <c r="BD153" i="6" s="1"/>
  <c r="BD126" i="6"/>
  <c r="BF157" i="6"/>
  <c r="BF153" i="6"/>
  <c r="BF155" i="6" s="1"/>
  <c r="BM157" i="6"/>
  <c r="BM153" i="6"/>
  <c r="BM155" i="6" s="1"/>
  <c r="CM153" i="6"/>
  <c r="CN133" i="6"/>
  <c r="O153" i="6"/>
  <c r="BK153" i="6"/>
  <c r="BK155" i="6" s="1"/>
  <c r="CC153" i="6"/>
  <c r="CU153" i="6"/>
  <c r="K157" i="6"/>
  <c r="CV164" i="6"/>
  <c r="BH181" i="6"/>
  <c r="BH185" i="6" s="1"/>
  <c r="BH201" i="6" s="1"/>
  <c r="CZ180" i="6"/>
  <c r="X180" i="6"/>
  <c r="Y180" i="6" s="1"/>
  <c r="BV215" i="6"/>
  <c r="BV216" i="6" s="1"/>
  <c r="BV201" i="6"/>
  <c r="CC215" i="6"/>
  <c r="CC216" i="6" s="1"/>
  <c r="CC209" i="6"/>
  <c r="CI215" i="6"/>
  <c r="CI216" i="6" s="1"/>
  <c r="CI201" i="6"/>
  <c r="CI203" i="6" s="1"/>
  <c r="CC201" i="6"/>
  <c r="CC203" i="6" s="1"/>
  <c r="BT218" i="6"/>
  <c r="BT220" i="6"/>
  <c r="CR218" i="6"/>
  <c r="CR220" i="6"/>
  <c r="CB219" i="6"/>
  <c r="EB168" i="6"/>
  <c r="DY169" i="6"/>
  <c r="DY166" i="6"/>
  <c r="H213" i="6"/>
  <c r="H174" i="6"/>
  <c r="H223" i="6" s="1"/>
  <c r="T174" i="6"/>
  <c r="CN174" i="6" s="1"/>
  <c r="CN223" i="6" s="1"/>
  <c r="BT168" i="6"/>
  <c r="BZ213" i="6"/>
  <c r="BZ174" i="6"/>
  <c r="BZ223" i="6" s="1"/>
  <c r="BL221" i="6"/>
  <c r="BD181" i="6"/>
  <c r="K185" i="6"/>
  <c r="CB181" i="6"/>
  <c r="Q185" i="6"/>
  <c r="CB185" i="6" s="1"/>
  <c r="BL208" i="6"/>
  <c r="BT199" i="6"/>
  <c r="I215" i="6"/>
  <c r="I216" i="6" s="1"/>
  <c r="I201" i="6"/>
  <c r="I203" i="6" s="1"/>
  <c r="O215" i="6"/>
  <c r="O216" i="6" s="1"/>
  <c r="O207" i="6"/>
  <c r="BI215" i="6"/>
  <c r="BI216" i="6" s="1"/>
  <c r="BI201" i="6"/>
  <c r="BW201" i="6"/>
  <c r="BW203" i="6" s="1"/>
  <c r="CA215" i="6"/>
  <c r="CA216" i="6" s="1"/>
  <c r="CA201" i="6"/>
  <c r="CA203" i="6" s="1"/>
  <c r="K208" i="6"/>
  <c r="K207" i="6" s="1"/>
  <c r="Q207" i="6"/>
  <c r="W208" i="6"/>
  <c r="BK212" i="6"/>
  <c r="DC211" i="6"/>
  <c r="BS211" i="6"/>
  <c r="BS212" i="6" s="1"/>
  <c r="BS209" i="6"/>
  <c r="R133" i="6"/>
  <c r="R153" i="6" s="1"/>
  <c r="BX218" i="6"/>
  <c r="BX220" i="6"/>
  <c r="CF219" i="6"/>
  <c r="EC168" i="6"/>
  <c r="DZ166" i="6"/>
  <c r="BH168" i="6"/>
  <c r="BN213" i="6"/>
  <c r="BN174" i="6"/>
  <c r="BN223" i="6" s="1"/>
  <c r="CP168" i="6"/>
  <c r="DH168" i="6"/>
  <c r="EF168" i="6"/>
  <c r="BP208" i="6"/>
  <c r="BP207" i="6"/>
  <c r="CF208" i="6"/>
  <c r="CZ184" i="6"/>
  <c r="X184" i="6"/>
  <c r="Y184" i="6" s="1"/>
  <c r="BX196" i="6"/>
  <c r="BX199" i="6" s="1"/>
  <c r="J215" i="6"/>
  <c r="J216" i="6" s="1"/>
  <c r="J201" i="6"/>
  <c r="J203" i="6" s="1"/>
  <c r="J207" i="6"/>
  <c r="BJ201" i="6"/>
  <c r="CG215" i="6"/>
  <c r="CG216" i="6" s="1"/>
  <c r="CG201" i="6"/>
  <c r="CG203" i="6" s="1"/>
  <c r="N201" i="6"/>
  <c r="N203" i="6" s="1"/>
  <c r="N215" i="6"/>
  <c r="N216" i="6" s="1"/>
  <c r="N209" i="6"/>
  <c r="CU209" i="6"/>
  <c r="CB218" i="6"/>
  <c r="CB220" i="6"/>
  <c r="DI169" i="6"/>
  <c r="DI168" i="6"/>
  <c r="CJ219" i="6"/>
  <c r="CJ230" i="6"/>
  <c r="EG169" i="6"/>
  <c r="EG168" i="6"/>
  <c r="DI166" i="6"/>
  <c r="EG166" i="6"/>
  <c r="J213" i="6"/>
  <c r="P213" i="6"/>
  <c r="CQ168" i="6"/>
  <c r="DY168" i="6"/>
  <c r="X171" i="6"/>
  <c r="Y171" i="6" s="1"/>
  <c r="BM174" i="6"/>
  <c r="BM223" i="6" s="1"/>
  <c r="BT185" i="6"/>
  <c r="CA185" i="6"/>
  <c r="BT208" i="6"/>
  <c r="BT207" i="6"/>
  <c r="BK215" i="6"/>
  <c r="BK216" i="6" s="1"/>
  <c r="BK201" i="6"/>
  <c r="BK203" i="6" s="1"/>
  <c r="BQ201" i="6"/>
  <c r="BQ203" i="6" s="1"/>
  <c r="I207" i="6"/>
  <c r="CE208" i="6"/>
  <c r="CU210" i="6"/>
  <c r="CU211" i="6" s="1"/>
  <c r="CU212" i="6" s="1"/>
  <c r="CU168" i="6"/>
  <c r="BH218" i="6"/>
  <c r="BH220" i="6"/>
  <c r="CF218" i="6"/>
  <c r="CF220" i="6"/>
  <c r="DP168" i="6"/>
  <c r="DM169" i="6"/>
  <c r="CN219" i="6"/>
  <c r="CN230" i="6"/>
  <c r="CN231" i="6"/>
  <c r="EN168" i="6"/>
  <c r="EK169" i="6"/>
  <c r="DJ166" i="6"/>
  <c r="EH166" i="6"/>
  <c r="K213" i="6"/>
  <c r="BD168" i="6"/>
  <c r="Q213" i="6"/>
  <c r="CB168" i="6"/>
  <c r="CB213" i="6" s="1"/>
  <c r="CO174" i="6"/>
  <c r="CO223" i="6" s="1"/>
  <c r="BH215" i="6"/>
  <c r="BH216" i="6" s="1"/>
  <c r="Q215" i="6"/>
  <c r="Q216" i="6" s="1"/>
  <c r="Q201" i="6"/>
  <c r="L215" i="6"/>
  <c r="L216" i="6" s="1"/>
  <c r="L201" i="6"/>
  <c r="S201" i="6"/>
  <c r="S215" i="6"/>
  <c r="S216" i="6" s="1"/>
  <c r="CJ199" i="6"/>
  <c r="CJ215" i="6" s="1"/>
  <c r="CJ216" i="6" s="1"/>
  <c r="BE215" i="6"/>
  <c r="BE216" i="6" s="1"/>
  <c r="BE209" i="6"/>
  <c r="CJ196" i="6"/>
  <c r="CT201" i="6"/>
  <c r="CT203" i="6" s="1"/>
  <c r="CT215" i="6"/>
  <c r="CT216" i="6" s="1"/>
  <c r="BG211" i="6"/>
  <c r="BG212" i="6" s="1"/>
  <c r="BG209" i="6"/>
  <c r="BG207" i="6"/>
  <c r="CP211" i="6"/>
  <c r="CP212" i="6" s="1"/>
  <c r="CG212" i="6"/>
  <c r="BJ215" i="6"/>
  <c r="BJ216" i="6" s="1"/>
  <c r="V221" i="6"/>
  <c r="BP221" i="6"/>
  <c r="CF181" i="6"/>
  <c r="CJ211" i="6"/>
  <c r="P201" i="6"/>
  <c r="P203" i="6" s="1"/>
  <c r="BF201" i="6"/>
  <c r="BF203" i="6" s="1"/>
  <c r="BR201" i="6"/>
  <c r="BR203" i="6" s="1"/>
  <c r="CD201" i="6"/>
  <c r="CD203" i="6" s="1"/>
  <c r="M209" i="6"/>
  <c r="M211" i="6"/>
  <c r="M212" i="6" s="1"/>
  <c r="BM211" i="6"/>
  <c r="BM212" i="6" s="1"/>
  <c r="BM209" i="6"/>
  <c r="CQ207" i="6"/>
  <c r="BR209" i="6"/>
  <c r="BI212" i="6"/>
  <c r="BX211" i="6"/>
  <c r="BX212" i="6" s="1"/>
  <c r="BX209" i="6"/>
  <c r="CN208" i="6"/>
  <c r="X192" i="6"/>
  <c r="Y192" i="6" s="1"/>
  <c r="CN196" i="6"/>
  <c r="BG201" i="6"/>
  <c r="BG203" i="6" s="1"/>
  <c r="BS201" i="6"/>
  <c r="BS203" i="6" s="1"/>
  <c r="H207" i="6"/>
  <c r="T212" i="6"/>
  <c r="BN208" i="6"/>
  <c r="BN207" i="6"/>
  <c r="CK211" i="6"/>
  <c r="CK212" i="6" s="1"/>
  <c r="CK209" i="6"/>
  <c r="CD207" i="6"/>
  <c r="H211" i="6"/>
  <c r="H212" i="6" s="1"/>
  <c r="H209" i="6"/>
  <c r="BR211" i="6"/>
  <c r="BR212" i="6" s="1"/>
  <c r="CN168" i="6"/>
  <c r="CN213" i="6" s="1"/>
  <c r="BI174" i="6"/>
  <c r="BI223" i="6" s="1"/>
  <c r="BO174" i="6"/>
  <c r="BO223" i="6" s="1"/>
  <c r="BU174" i="6"/>
  <c r="BU223" i="6" s="1"/>
  <c r="CA174" i="6"/>
  <c r="CA223" i="6" s="1"/>
  <c r="CG174" i="6"/>
  <c r="CG223" i="6" s="1"/>
  <c r="CM174" i="6"/>
  <c r="CM223" i="6" s="1"/>
  <c r="CS174" i="6"/>
  <c r="CS223" i="6" s="1"/>
  <c r="X177" i="6"/>
  <c r="CV179" i="6"/>
  <c r="CB208" i="6"/>
  <c r="CB207" i="6"/>
  <c r="X189" i="6"/>
  <c r="R191" i="6"/>
  <c r="V215" i="6"/>
  <c r="V216" i="6" s="1"/>
  <c r="CV199" i="6"/>
  <c r="CV196" i="6"/>
  <c r="O212" i="6"/>
  <c r="U211" i="6"/>
  <c r="U212" i="6" s="1"/>
  <c r="U209" i="6"/>
  <c r="BV212" i="6"/>
  <c r="CL208" i="6"/>
  <c r="CL207" i="6" s="1"/>
  <c r="P207" i="6"/>
  <c r="BM207" i="6"/>
  <c r="I211" i="6"/>
  <c r="I212" i="6" s="1"/>
  <c r="I209" i="6"/>
  <c r="O209" i="6"/>
  <c r="BU212" i="6"/>
  <c r="T213" i="6"/>
  <c r="N174" i="6"/>
  <c r="N223" i="6" s="1"/>
  <c r="BJ174" i="6"/>
  <c r="BJ223" i="6" s="1"/>
  <c r="BV174" i="6"/>
  <c r="BV223" i="6" s="1"/>
  <c r="CH174" i="6"/>
  <c r="CH223" i="6" s="1"/>
  <c r="CT174" i="6"/>
  <c r="CT223" i="6" s="1"/>
  <c r="CZ189" i="6"/>
  <c r="BN215" i="6"/>
  <c r="BN216" i="6" s="1"/>
  <c r="BN201" i="6"/>
  <c r="BZ215" i="6"/>
  <c r="BZ216" i="6" s="1"/>
  <c r="BZ201" i="6"/>
  <c r="CH201" i="6"/>
  <c r="CH203" i="6" s="1"/>
  <c r="CH215" i="6"/>
  <c r="CH216" i="6" s="1"/>
  <c r="V201" i="6"/>
  <c r="J211" i="6"/>
  <c r="J212" i="6" s="1"/>
  <c r="J209" i="6"/>
  <c r="V209" i="6"/>
  <c r="BW212" i="6"/>
  <c r="U207" i="6"/>
  <c r="BR207" i="6"/>
  <c r="CJ207" i="6"/>
  <c r="N212" i="6"/>
  <c r="CC212" i="6"/>
  <c r="L209" i="6"/>
  <c r="BI209" i="6"/>
  <c r="BO209" i="6"/>
  <c r="BU209" i="6"/>
  <c r="CA209" i="6"/>
  <c r="CG209" i="6"/>
  <c r="CM209" i="6"/>
  <c r="CS209" i="6"/>
  <c r="S208" i="6"/>
  <c r="CL201" i="6"/>
  <c r="BJ209" i="6"/>
  <c r="BV209" i="6"/>
  <c r="CH209" i="6"/>
  <c r="CT209" i="6"/>
  <c r="L207" i="6"/>
  <c r="BI207" i="6"/>
  <c r="BO207" i="6"/>
  <c r="BU207" i="6"/>
  <c r="CA207" i="6"/>
  <c r="CG207" i="6"/>
  <c r="CM207" i="6"/>
  <c r="CS207" i="6"/>
  <c r="T209" i="6"/>
  <c r="BK209" i="6"/>
  <c r="BW209" i="6"/>
  <c r="CI209" i="6"/>
  <c r="CM211" i="6"/>
  <c r="CM212" i="6" s="1"/>
  <c r="N239" i="6"/>
  <c r="N242" i="6"/>
  <c r="L250" i="6"/>
  <c r="L251" i="6"/>
  <c r="CI212" i="6"/>
  <c r="CO212" i="6"/>
  <c r="M207" i="6"/>
  <c r="BJ207" i="6"/>
  <c r="BV207" i="6"/>
  <c r="CH207" i="6"/>
  <c r="CT207" i="6"/>
  <c r="L211" i="6"/>
  <c r="L212" i="6" s="1"/>
  <c r="BO211" i="6"/>
  <c r="BO212" i="6" s="1"/>
  <c r="CA211" i="6"/>
  <c r="CA212" i="6" s="1"/>
  <c r="N207" i="6"/>
  <c r="T207" i="6"/>
  <c r="BE207" i="6"/>
  <c r="BK207" i="6"/>
  <c r="BQ207" i="6"/>
  <c r="BW207" i="6"/>
  <c r="CC207" i="6"/>
  <c r="CI207" i="6"/>
  <c r="CO207" i="6"/>
  <c r="CU207" i="6"/>
  <c r="CS211" i="6"/>
  <c r="CS212" i="6" s="1"/>
  <c r="Q242" i="6"/>
  <c r="P239" i="6"/>
  <c r="Q230" i="6"/>
  <c r="Q237" i="6" s="1"/>
  <c r="R238" i="6"/>
  <c r="M251" i="6"/>
  <c r="N251" i="6"/>
  <c r="H115" i="2"/>
  <c r="I115" i="2" s="1"/>
  <c r="DQ54" i="2"/>
  <c r="AP54" i="2"/>
  <c r="AO54" i="2"/>
  <c r="C28" i="2"/>
  <c r="EF85" i="6" l="1"/>
  <c r="CI81" i="6"/>
  <c r="CI80" i="6"/>
  <c r="CI82" i="6"/>
  <c r="CM82" i="6"/>
  <c r="EJ82" i="6" s="1"/>
  <c r="EJ85" i="6"/>
  <c r="CM81" i="6"/>
  <c r="EJ81" i="6" s="1"/>
  <c r="CM80" i="6"/>
  <c r="EJ80" i="6" s="1"/>
  <c r="EI85" i="6"/>
  <c r="CL82" i="6"/>
  <c r="CL81" i="6"/>
  <c r="EI81" i="6" s="1"/>
  <c r="CL80" i="6"/>
  <c r="EI80" i="6" s="1"/>
  <c r="EN85" i="6"/>
  <c r="CQ82" i="6"/>
  <c r="CQ81" i="6"/>
  <c r="CQ80" i="6"/>
  <c r="EN80" i="6" s="1"/>
  <c r="CB53" i="6"/>
  <c r="W165" i="6"/>
  <c r="W55" i="6"/>
  <c r="W14" i="6"/>
  <c r="W72" i="6"/>
  <c r="CZ6" i="6"/>
  <c r="AP8" i="6"/>
  <c r="W10" i="6"/>
  <c r="AO6" i="6"/>
  <c r="X7" i="6"/>
  <c r="T52" i="6"/>
  <c r="T47" i="6"/>
  <c r="T43" i="6"/>
  <c r="CB201" i="6"/>
  <c r="CB203" i="6" s="1"/>
  <c r="Q203" i="6"/>
  <c r="CF211" i="6"/>
  <c r="P155" i="6"/>
  <c r="CT82" i="6"/>
  <c r="EQ85" i="6"/>
  <c r="CT81" i="6"/>
  <c r="CT80" i="6"/>
  <c r="DS80" i="6"/>
  <c r="CG82" i="6"/>
  <c r="ED82" i="6" s="1"/>
  <c r="CG81" i="6"/>
  <c r="ED81" i="6" s="1"/>
  <c r="CG80" i="6"/>
  <c r="ED80" i="6" s="1"/>
  <c r="ED85" i="6"/>
  <c r="BX213" i="6"/>
  <c r="BX174" i="6"/>
  <c r="BX223" i="6" s="1"/>
  <c r="ET85" i="6"/>
  <c r="BF82" i="6"/>
  <c r="BF81" i="6"/>
  <c r="BF80" i="6"/>
  <c r="BO203" i="6"/>
  <c r="CG52" i="6"/>
  <c r="EH52" i="6" s="1"/>
  <c r="CG47" i="6"/>
  <c r="ED16" i="6"/>
  <c r="CG43" i="6"/>
  <c r="CG18" i="6"/>
  <c r="S16" i="6"/>
  <c r="CH48" i="6"/>
  <c r="CR44" i="6"/>
  <c r="CR46" i="6"/>
  <c r="CR226" i="6" s="1"/>
  <c r="CR227" i="6" s="1"/>
  <c r="CR21" i="6"/>
  <c r="AM56" i="6"/>
  <c r="T58" i="6"/>
  <c r="AL58" i="6" s="1"/>
  <c r="AL55" i="6"/>
  <c r="BY44" i="6"/>
  <c r="BY46" i="6"/>
  <c r="BY226" i="6" s="1"/>
  <c r="BY227" i="6" s="1"/>
  <c r="BY21" i="6"/>
  <c r="Q18" i="6"/>
  <c r="BE43" i="6"/>
  <c r="BE18" i="6"/>
  <c r="BE52" i="6"/>
  <c r="BE53" i="6" s="1"/>
  <c r="T7" i="6"/>
  <c r="AL7" i="6" s="1"/>
  <c r="T84" i="6" s="1"/>
  <c r="T85" i="6" s="1"/>
  <c r="DJ52" i="6"/>
  <c r="BM53" i="6"/>
  <c r="BP71" i="6"/>
  <c r="BP76" i="6" s="1"/>
  <c r="AF71" i="6"/>
  <c r="N76" i="6"/>
  <c r="AF76" i="6" s="1"/>
  <c r="CP48" i="6"/>
  <c r="CO43" i="6"/>
  <c r="CO18" i="6"/>
  <c r="U16" i="6"/>
  <c r="CO47" i="6"/>
  <c r="EL16" i="6"/>
  <c r="CO52" i="6"/>
  <c r="BR48" i="6"/>
  <c r="BQ43" i="6"/>
  <c r="BQ18" i="6"/>
  <c r="O16" i="6"/>
  <c r="BQ52" i="6"/>
  <c r="BQ47" i="6"/>
  <c r="DN16" i="6"/>
  <c r="AL11" i="6"/>
  <c r="J47" i="6"/>
  <c r="J43" i="6"/>
  <c r="AB16" i="6"/>
  <c r="J18" i="6"/>
  <c r="J52" i="6"/>
  <c r="CS39" i="6"/>
  <c r="EP10" i="6"/>
  <c r="CQ9" i="6"/>
  <c r="EN11" i="6"/>
  <c r="CR11" i="6"/>
  <c r="CL39" i="6"/>
  <c r="EI10" i="6"/>
  <c r="AG74" i="6"/>
  <c r="BN203" i="6"/>
  <c r="CF191" i="6"/>
  <c r="R196" i="6"/>
  <c r="CE211" i="6"/>
  <c r="CE212" i="6" s="1"/>
  <c r="CE209" i="6"/>
  <c r="P158" i="6"/>
  <c r="BH211" i="6"/>
  <c r="BH212" i="6" s="1"/>
  <c r="BH209" i="6"/>
  <c r="BU84" i="6"/>
  <c r="BU82" i="6"/>
  <c r="DR85" i="6"/>
  <c r="BU81" i="6"/>
  <c r="BU80" i="6"/>
  <c r="DR80" i="6" s="1"/>
  <c r="BU86" i="6"/>
  <c r="CZ172" i="6"/>
  <c r="X172" i="6"/>
  <c r="Y172" i="6" s="1"/>
  <c r="BC77" i="6"/>
  <c r="CG77" i="6"/>
  <c r="BZ77" i="6"/>
  <c r="EL85" i="6"/>
  <c r="CO82" i="6"/>
  <c r="CO81" i="6"/>
  <c r="CO80" i="6"/>
  <c r="H52" i="6"/>
  <c r="H53" i="6" s="1"/>
  <c r="H43" i="6"/>
  <c r="H18" i="6"/>
  <c r="CL44" i="6"/>
  <c r="CL46" i="6"/>
  <c r="CL226" i="6" s="1"/>
  <c r="CL227" i="6" s="1"/>
  <c r="EI18" i="6"/>
  <c r="CL21" i="6"/>
  <c r="CR47" i="6"/>
  <c r="L53" i="6"/>
  <c r="BG44" i="6"/>
  <c r="BG21" i="6"/>
  <c r="BG46" i="6"/>
  <c r="BG226" i="6" s="1"/>
  <c r="BG227" i="6" s="1"/>
  <c r="U40" i="6"/>
  <c r="AM13" i="6"/>
  <c r="BS9" i="6"/>
  <c r="DP11" i="6"/>
  <c r="BT11" i="6"/>
  <c r="DT11" i="6"/>
  <c r="BJ10" i="6"/>
  <c r="DG9" i="6"/>
  <c r="DK9" i="6"/>
  <c r="CV8" i="6"/>
  <c r="ES7" i="6"/>
  <c r="ES57" i="6" s="1"/>
  <c r="CV57" i="6" s="1"/>
  <c r="V57" i="6" s="1"/>
  <c r="CB86" i="6"/>
  <c r="BF43" i="6"/>
  <c r="BF18" i="6"/>
  <c r="BF52" i="6"/>
  <c r="BF53" i="6" s="1"/>
  <c r="CD48" i="6"/>
  <c r="CC43" i="6"/>
  <c r="CC18" i="6"/>
  <c r="CC52" i="6"/>
  <c r="R16" i="6"/>
  <c r="CC47" i="6"/>
  <c r="DZ16" i="6"/>
  <c r="EH16" i="6"/>
  <c r="CI39" i="6"/>
  <c r="EF10" i="6"/>
  <c r="AM55" i="6"/>
  <c r="CN39" i="6"/>
  <c r="AH85" i="6"/>
  <c r="P84" i="6"/>
  <c r="P82" i="6"/>
  <c r="P81" i="6"/>
  <c r="P80" i="6"/>
  <c r="EV37" i="6"/>
  <c r="CV201" i="6"/>
  <c r="Y189" i="6"/>
  <c r="BP209" i="6"/>
  <c r="BP211" i="6"/>
  <c r="BP212" i="6" s="1"/>
  <c r="BH213" i="6"/>
  <c r="BH174" i="6"/>
  <c r="BH223" i="6" s="1"/>
  <c r="BT213" i="6"/>
  <c r="BT174" i="6"/>
  <c r="BT223" i="6" s="1"/>
  <c r="BV203" i="6"/>
  <c r="CH77" i="6"/>
  <c r="BG82" i="6"/>
  <c r="BH82" i="6" s="1"/>
  <c r="BH91" i="6" s="1"/>
  <c r="BG81" i="6"/>
  <c r="BH81" i="6" s="1"/>
  <c r="BH90" i="6" s="1"/>
  <c r="BG80" i="6"/>
  <c r="BH80" i="6" s="1"/>
  <c r="BH89" i="6" s="1"/>
  <c r="DY71" i="6"/>
  <c r="CB76" i="6"/>
  <c r="CB77" i="6" s="1"/>
  <c r="EH85" i="6"/>
  <c r="CK82" i="6"/>
  <c r="CK80" i="6"/>
  <c r="EH80" i="6" s="1"/>
  <c r="CK81" i="6"/>
  <c r="EH81" i="6" s="1"/>
  <c r="EA85" i="6"/>
  <c r="CD81" i="6"/>
  <c r="CD80" i="6"/>
  <c r="EA80" i="6" s="1"/>
  <c r="CD84" i="6"/>
  <c r="CD82" i="6"/>
  <c r="BM203" i="6"/>
  <c r="EO16" i="6"/>
  <c r="EO63" i="6"/>
  <c r="EO62" i="6"/>
  <c r="EO61" i="6"/>
  <c r="BU52" i="6"/>
  <c r="DV52" i="6" s="1"/>
  <c r="BU47" i="6"/>
  <c r="DR16" i="6"/>
  <c r="BV48" i="6"/>
  <c r="BU43" i="6"/>
  <c r="BU18" i="6"/>
  <c r="P16" i="6"/>
  <c r="CF44" i="6"/>
  <c r="CF46" i="6"/>
  <c r="CF226" i="6" s="1"/>
  <c r="EC18" i="6"/>
  <c r="CF21" i="6"/>
  <c r="EC52" i="6"/>
  <c r="CF53" i="6"/>
  <c r="O250" i="6"/>
  <c r="O251" i="6"/>
  <c r="CL62" i="6"/>
  <c r="EI62" i="6" s="1"/>
  <c r="T57" i="6"/>
  <c r="W85" i="6"/>
  <c r="AN72" i="6"/>
  <c r="V69" i="6"/>
  <c r="V70" i="6"/>
  <c r="DV16" i="6"/>
  <c r="CD39" i="6"/>
  <c r="EA10" i="6"/>
  <c r="AF74" i="6"/>
  <c r="CE25" i="6"/>
  <c r="CE27" i="6"/>
  <c r="EB16" i="6"/>
  <c r="K47" i="6"/>
  <c r="K43" i="6"/>
  <c r="K52" i="6"/>
  <c r="K18" i="6"/>
  <c r="AD16" i="6"/>
  <c r="AC16" i="6"/>
  <c r="L47" i="6"/>
  <c r="S40" i="6"/>
  <c r="AK13" i="6"/>
  <c r="P40" i="6"/>
  <c r="AH13" i="6"/>
  <c r="AI13" i="6"/>
  <c r="BX9" i="6"/>
  <c r="CA10" i="6"/>
  <c r="DX9" i="6"/>
  <c r="Q9" i="6"/>
  <c r="AI9" i="6" s="1"/>
  <c r="EB9" i="6"/>
  <c r="AL8" i="6"/>
  <c r="S57" i="6"/>
  <c r="CH62" i="6"/>
  <c r="EE62" i="6" s="1"/>
  <c r="BP16" i="6"/>
  <c r="BP48" i="6" s="1"/>
  <c r="BP40" i="6"/>
  <c r="DM13" i="6"/>
  <c r="AS10" i="6"/>
  <c r="AS9" i="6"/>
  <c r="AU6" i="6"/>
  <c r="AS14" i="6"/>
  <c r="BP77" i="6"/>
  <c r="BK39" i="6"/>
  <c r="DH10" i="6"/>
  <c r="CH39" i="6"/>
  <c r="EE10" i="6"/>
  <c r="CW42" i="6"/>
  <c r="ET14" i="6"/>
  <c r="ER85" i="6"/>
  <c r="CU81" i="6"/>
  <c r="CU80" i="6"/>
  <c r="CU82" i="6"/>
  <c r="ER82" i="6" s="1"/>
  <c r="CP21" i="6"/>
  <c r="CP46" i="6"/>
  <c r="CP226" i="6" s="1"/>
  <c r="CP227" i="6" s="1"/>
  <c r="EM18" i="6"/>
  <c r="CP44" i="6"/>
  <c r="BT82" i="6"/>
  <c r="AG82" i="6"/>
  <c r="Q16" i="6"/>
  <c r="CD53" i="6"/>
  <c r="EA52" i="6"/>
  <c r="CX12" i="6"/>
  <c r="EU9" i="6"/>
  <c r="AQ36" i="6"/>
  <c r="AO35" i="6"/>
  <c r="R237" i="6"/>
  <c r="S238" i="6"/>
  <c r="CJ209" i="6"/>
  <c r="BT215" i="6"/>
  <c r="BT216" i="6" s="1"/>
  <c r="BT201" i="6"/>
  <c r="BT203" i="6" s="1"/>
  <c r="K158" i="6"/>
  <c r="BL215" i="6"/>
  <c r="BL216" i="6" s="1"/>
  <c r="BL201" i="6"/>
  <c r="J158" i="6"/>
  <c r="U213" i="6"/>
  <c r="CR168" i="6"/>
  <c r="CR213" i="6" s="1"/>
  <c r="U174" i="6"/>
  <c r="BS157" i="6"/>
  <c r="BS153" i="6"/>
  <c r="M203" i="6"/>
  <c r="CM77" i="6"/>
  <c r="BO77" i="6"/>
  <c r="EI16" i="6"/>
  <c r="BO52" i="6"/>
  <c r="BO47" i="6"/>
  <c r="DL16" i="6"/>
  <c r="BO18" i="6"/>
  <c r="BO43" i="6"/>
  <c r="AI11" i="6"/>
  <c r="EL10" i="6"/>
  <c r="CO39" i="6"/>
  <c r="U57" i="6"/>
  <c r="AM57" i="6" s="1"/>
  <c r="U7" i="6"/>
  <c r="AM7" i="6" s="1"/>
  <c r="U84" i="6" s="1"/>
  <c r="U85" i="6" s="1"/>
  <c r="AM72" i="6"/>
  <c r="U70" i="6"/>
  <c r="U69" i="6"/>
  <c r="U71" i="6" s="1"/>
  <c r="T223" i="6"/>
  <c r="K39" i="6"/>
  <c r="AC10" i="6"/>
  <c r="AO58" i="6"/>
  <c r="AN55" i="6"/>
  <c r="W56" i="6"/>
  <c r="CZ56" i="6" s="1"/>
  <c r="EW56" i="6" s="1"/>
  <c r="BK43" i="6"/>
  <c r="BK18" i="6"/>
  <c r="BK52" i="6"/>
  <c r="BK47" i="6"/>
  <c r="DH16" i="6"/>
  <c r="BS47" i="6"/>
  <c r="CI43" i="6"/>
  <c r="CI18" i="6"/>
  <c r="CI52" i="6"/>
  <c r="CI47" i="6"/>
  <c r="CJ48" i="6"/>
  <c r="EF16" i="6"/>
  <c r="CP39" i="6"/>
  <c r="EM10" i="6"/>
  <c r="I47" i="6"/>
  <c r="I43" i="6"/>
  <c r="I18" i="6"/>
  <c r="AA16" i="6"/>
  <c r="I52" i="6"/>
  <c r="AK8" i="6"/>
  <c r="AK56" i="6"/>
  <c r="AK57" i="6"/>
  <c r="AK58" i="6"/>
  <c r="CY9" i="6"/>
  <c r="CW12" i="6"/>
  <c r="ET9" i="6"/>
  <c r="CB209" i="6"/>
  <c r="CB211" i="6"/>
  <c r="CB212" i="6" s="1"/>
  <c r="BN211" i="6"/>
  <c r="BN212" i="6" s="1"/>
  <c r="BN209" i="6"/>
  <c r="CJ212" i="6"/>
  <c r="L203" i="6"/>
  <c r="BJ203" i="6"/>
  <c r="CE207" i="6"/>
  <c r="BY203" i="6"/>
  <c r="CO203" i="6"/>
  <c r="BH153" i="6"/>
  <c r="BH155" i="6" s="1"/>
  <c r="BH157" i="6"/>
  <c r="DS82" i="6"/>
  <c r="BZ211" i="6"/>
  <c r="BZ212" i="6" s="1"/>
  <c r="BZ209" i="6"/>
  <c r="M84" i="6"/>
  <c r="M82" i="6"/>
  <c r="M81" i="6"/>
  <c r="M80" i="6"/>
  <c r="BY211" i="6"/>
  <c r="BY212" i="6" s="1"/>
  <c r="BY209" i="6"/>
  <c r="CA84" i="6"/>
  <c r="CA82" i="6"/>
  <c r="DX82" i="6" s="1"/>
  <c r="DX85" i="6"/>
  <c r="CA81" i="6"/>
  <c r="DX81" i="6" s="1"/>
  <c r="CA80" i="6"/>
  <c r="DX80" i="6" s="1"/>
  <c r="BL213" i="6"/>
  <c r="BL174" i="6"/>
  <c r="BL223" i="6" s="1"/>
  <c r="BI77" i="6"/>
  <c r="BS82" i="6"/>
  <c r="DT82" i="6" s="1"/>
  <c r="BS80" i="6"/>
  <c r="BS81" i="6"/>
  <c r="CL77" i="6"/>
  <c r="BR84" i="6"/>
  <c r="BR81" i="6"/>
  <c r="BT81" i="6" s="1"/>
  <c r="BR80" i="6"/>
  <c r="BR82" i="6"/>
  <c r="BI84" i="6"/>
  <c r="BI82" i="6"/>
  <c r="BI81" i="6"/>
  <c r="BI80" i="6"/>
  <c r="EK63" i="6"/>
  <c r="EK62" i="6"/>
  <c r="EK61" i="6"/>
  <c r="DZ81" i="6"/>
  <c r="DT80" i="6"/>
  <c r="BV52" i="6"/>
  <c r="BV47" i="6"/>
  <c r="BV43" i="6"/>
  <c r="BV18" i="6"/>
  <c r="DS16" i="6"/>
  <c r="CS52" i="6"/>
  <c r="CS47" i="6"/>
  <c r="EP16" i="6"/>
  <c r="CS43" i="6"/>
  <c r="CS18" i="6"/>
  <c r="CT48" i="6"/>
  <c r="V16" i="6"/>
  <c r="BI52" i="6"/>
  <c r="BI47" i="6"/>
  <c r="DF16" i="6"/>
  <c r="BI43" i="6"/>
  <c r="BI18" i="6"/>
  <c r="BJ48" i="6"/>
  <c r="P251" i="6"/>
  <c r="P250" i="6"/>
  <c r="BT51" i="6"/>
  <c r="BT44" i="6"/>
  <c r="BT46" i="6"/>
  <c r="BT226" i="6" s="1"/>
  <c r="BT227" i="6" s="1"/>
  <c r="BT21" i="6"/>
  <c r="BZ47" i="6"/>
  <c r="CJ43" i="6"/>
  <c r="CJ52" i="6"/>
  <c r="CJ47" i="6"/>
  <c r="EG16" i="6"/>
  <c r="CJ18" i="6"/>
  <c r="DI13" i="6"/>
  <c r="BL16" i="6"/>
  <c r="BL40" i="6"/>
  <c r="R10" i="6"/>
  <c r="DZ10" i="6"/>
  <c r="CC39" i="6"/>
  <c r="L39" i="6"/>
  <c r="AD10" i="6"/>
  <c r="R85" i="6"/>
  <c r="Q74" i="6"/>
  <c r="Q71" i="6"/>
  <c r="AI72" i="6"/>
  <c r="Q75" i="6"/>
  <c r="AI75" i="6" s="1"/>
  <c r="BM47" i="6"/>
  <c r="BY47" i="6"/>
  <c r="CQ52" i="6"/>
  <c r="EB52" i="6"/>
  <c r="CE53" i="6"/>
  <c r="BS52" i="6"/>
  <c r="S58" i="6"/>
  <c r="AL56" i="6"/>
  <c r="AL57" i="6"/>
  <c r="AK55" i="6"/>
  <c r="CK47" i="6"/>
  <c r="T246" i="6"/>
  <c r="T41" i="6"/>
  <c r="AL14" i="6"/>
  <c r="AR14" i="6"/>
  <c r="AM14" i="6"/>
  <c r="CF86" i="6"/>
  <c r="BP85" i="6"/>
  <c r="BP84" i="6" s="1"/>
  <c r="BL76" i="6"/>
  <c r="DI72" i="6"/>
  <c r="BL75" i="6"/>
  <c r="BL74" i="6"/>
  <c r="BL77" i="6" s="1"/>
  <c r="R69" i="6"/>
  <c r="AJ72" i="6"/>
  <c r="R70" i="6"/>
  <c r="R71" i="6"/>
  <c r="U11" i="6"/>
  <c r="CY42" i="6"/>
  <c r="EV14" i="6"/>
  <c r="AF10" i="6"/>
  <c r="N39" i="6"/>
  <c r="CT39" i="6"/>
  <c r="EQ10" i="6"/>
  <c r="AG81" i="6"/>
  <c r="AA10" i="6"/>
  <c r="EU10" i="6"/>
  <c r="AQ35" i="6"/>
  <c r="S209" i="6"/>
  <c r="S211" i="6"/>
  <c r="S212" i="6" s="1"/>
  <c r="Y177" i="6"/>
  <c r="Y208" i="6" s="1"/>
  <c r="CN209" i="6"/>
  <c r="CN211" i="6"/>
  <c r="CN212" i="6" s="1"/>
  <c r="BL211" i="6"/>
  <c r="BL212" i="6" s="1"/>
  <c r="BL209" i="6"/>
  <c r="BT154" i="6"/>
  <c r="BT155" i="6" s="1"/>
  <c r="BS154" i="6"/>
  <c r="BS155" i="6" s="1"/>
  <c r="EU85" i="6"/>
  <c r="CZ173" i="6"/>
  <c r="X173" i="6"/>
  <c r="Y173" i="6" s="1"/>
  <c r="DV85" i="6"/>
  <c r="BY84" i="6"/>
  <c r="BY82" i="6"/>
  <c r="DV82" i="6" s="1"/>
  <c r="BY81" i="6"/>
  <c r="DV81" i="6" s="1"/>
  <c r="BY80" i="6"/>
  <c r="DV80" i="6" s="1"/>
  <c r="EM85" i="6"/>
  <c r="CP82" i="6"/>
  <c r="EM82" i="6" s="1"/>
  <c r="CP81" i="6"/>
  <c r="CP80" i="6"/>
  <c r="CN201" i="6"/>
  <c r="CN203" i="6" s="1"/>
  <c r="T203" i="6"/>
  <c r="N52" i="6"/>
  <c r="N47" i="6"/>
  <c r="N18" i="6"/>
  <c r="AF16" i="6"/>
  <c r="N43" i="6"/>
  <c r="L44" i="6"/>
  <c r="AD18" i="6"/>
  <c r="L21" i="6"/>
  <c r="L46" i="6"/>
  <c r="L226" i="6" s="1"/>
  <c r="L227" i="6" s="1"/>
  <c r="BY53" i="6"/>
  <c r="BS51" i="6"/>
  <c r="BS44" i="6"/>
  <c r="BS46" i="6"/>
  <c r="BS226" i="6" s="1"/>
  <c r="BS227" i="6" s="1"/>
  <c r="BS21" i="6"/>
  <c r="CM39" i="6"/>
  <c r="EJ10" i="6"/>
  <c r="W57" i="6"/>
  <c r="CZ57" i="6" s="1"/>
  <c r="EW57" i="6" s="1"/>
  <c r="CZ7" i="6"/>
  <c r="EW7" i="6" s="1"/>
  <c r="CK53" i="6"/>
  <c r="CN52" i="6"/>
  <c r="CN47" i="6"/>
  <c r="CN43" i="6"/>
  <c r="CN18" i="6"/>
  <c r="EK16" i="6"/>
  <c r="BH74" i="6"/>
  <c r="BH76" i="6"/>
  <c r="BH75" i="6"/>
  <c r="BL85" i="6"/>
  <c r="BL84" i="6" s="1"/>
  <c r="AG80" i="6"/>
  <c r="BT80" i="6"/>
  <c r="CX42" i="6"/>
  <c r="EU14" i="6"/>
  <c r="O155" i="6"/>
  <c r="P154" i="6" s="1"/>
  <c r="R158" i="6"/>
  <c r="DW85" i="6"/>
  <c r="BZ84" i="6"/>
  <c r="BZ82" i="6"/>
  <c r="DW82" i="6" s="1"/>
  <c r="BZ80" i="6"/>
  <c r="DW80" i="6" s="1"/>
  <c r="BZ81" i="6"/>
  <c r="DW81" i="6" s="1"/>
  <c r="M158" i="6"/>
  <c r="EB85" i="6"/>
  <c r="CE82" i="6"/>
  <c r="EB82" i="6" s="1"/>
  <c r="CE80" i="6"/>
  <c r="CE81" i="6"/>
  <c r="EB81" i="6" s="1"/>
  <c r="X208" i="6"/>
  <c r="DZ82" i="6"/>
  <c r="CA52" i="6"/>
  <c r="CA47" i="6"/>
  <c r="CB48" i="6"/>
  <c r="DX16" i="6"/>
  <c r="CA18" i="6"/>
  <c r="CA43" i="6"/>
  <c r="AL72" i="6"/>
  <c r="T70" i="6"/>
  <c r="T69" i="6"/>
  <c r="BM51" i="6"/>
  <c r="BM44" i="6"/>
  <c r="BM46" i="6"/>
  <c r="BM226" i="6" s="1"/>
  <c r="BM227" i="6" s="1"/>
  <c r="DJ18" i="6"/>
  <c r="BM21" i="6"/>
  <c r="CG10" i="6"/>
  <c r="ED9" i="6"/>
  <c r="EH9" i="6"/>
  <c r="BP39" i="6"/>
  <c r="DM10" i="6"/>
  <c r="S223" i="6"/>
  <c r="CB46" i="6"/>
  <c r="CB226" i="6" s="1"/>
  <c r="CB227" i="6" s="1"/>
  <c r="CB44" i="6"/>
  <c r="CB21" i="6"/>
  <c r="CX74" i="6"/>
  <c r="CX75" i="6"/>
  <c r="CX71" i="6"/>
  <c r="EU72" i="6"/>
  <c r="S207" i="6"/>
  <c r="BT211" i="6"/>
  <c r="BT212" i="6" s="1"/>
  <c r="BT209" i="6"/>
  <c r="BX215" i="6"/>
  <c r="BX216" i="6" s="1"/>
  <c r="BX201" i="6"/>
  <c r="BX207" i="6"/>
  <c r="V213" i="6"/>
  <c r="V174" i="6"/>
  <c r="CV168" i="6"/>
  <c r="CH82" i="6"/>
  <c r="EE82" i="6" s="1"/>
  <c r="CH81" i="6"/>
  <c r="EE81" i="6" s="1"/>
  <c r="CH80" i="6"/>
  <c r="EE85" i="6"/>
  <c r="CS203" i="6"/>
  <c r="CT52" i="6"/>
  <c r="EU37" i="6" s="1"/>
  <c r="CT47" i="6"/>
  <c r="CT43" i="6"/>
  <c r="CT18" i="6"/>
  <c r="EQ16" i="6"/>
  <c r="CJ201" i="6"/>
  <c r="CJ203" i="6" s="1"/>
  <c r="S203" i="6"/>
  <c r="CQ213" i="6"/>
  <c r="CQ174" i="6"/>
  <c r="BI203" i="6"/>
  <c r="K201" i="6"/>
  <c r="BD185" i="6"/>
  <c r="BP213" i="6"/>
  <c r="BP174" i="6"/>
  <c r="BP223" i="6" s="1"/>
  <c r="CO77" i="6"/>
  <c r="CK203" i="6"/>
  <c r="DU85" i="6"/>
  <c r="BX84" i="6"/>
  <c r="DQ13" i="6"/>
  <c r="CH52" i="6"/>
  <c r="CH47" i="6"/>
  <c r="CH43" i="6"/>
  <c r="CH18" i="6"/>
  <c r="EE16" i="6"/>
  <c r="BZ44" i="6"/>
  <c r="BZ46" i="6"/>
  <c r="BZ226" i="6" s="1"/>
  <c r="BZ227" i="6" s="1"/>
  <c r="BZ21" i="6"/>
  <c r="CV43" i="6"/>
  <c r="ES16" i="6"/>
  <c r="CV18" i="6"/>
  <c r="CV47" i="6"/>
  <c r="T10" i="6"/>
  <c r="CU43" i="6"/>
  <c r="CU18" i="6"/>
  <c r="CV48" i="6"/>
  <c r="CU52" i="6"/>
  <c r="CU47" i="6"/>
  <c r="ER16" i="6"/>
  <c r="BW43" i="6"/>
  <c r="BX48" i="6"/>
  <c r="BW18" i="6"/>
  <c r="BW47" i="6"/>
  <c r="BW52" i="6"/>
  <c r="DT16" i="6"/>
  <c r="BL39" i="6"/>
  <c r="DI10" i="6"/>
  <c r="BU10" i="6"/>
  <c r="DR9" i="6"/>
  <c r="P9" i="6"/>
  <c r="DV9" i="6"/>
  <c r="BT85" i="6"/>
  <c r="BT84" i="6" s="1"/>
  <c r="DM72" i="6"/>
  <c r="Q85" i="6"/>
  <c r="P86" i="6"/>
  <c r="P75" i="6"/>
  <c r="AH75" i="6" s="1"/>
  <c r="P74" i="6"/>
  <c r="P71" i="6"/>
  <c r="AH72" i="6"/>
  <c r="EG11" i="6"/>
  <c r="S11" i="6"/>
  <c r="AK11" i="6" s="1"/>
  <c r="CJ9" i="6"/>
  <c r="CP53" i="6"/>
  <c r="EM52" i="6"/>
  <c r="O76" i="6"/>
  <c r="AG76" i="6" s="1"/>
  <c r="BT71" i="6"/>
  <c r="AG71" i="6"/>
  <c r="EV35" i="6"/>
  <c r="R230" i="6"/>
  <c r="Q239" i="6"/>
  <c r="CL203" i="6"/>
  <c r="BZ203" i="6"/>
  <c r="CL211" i="6"/>
  <c r="CL212" i="6" s="1"/>
  <c r="CL209" i="6"/>
  <c r="CN207" i="6"/>
  <c r="CU213" i="6"/>
  <c r="CU174" i="6"/>
  <c r="CU223" i="6" s="1"/>
  <c r="CP213" i="6"/>
  <c r="CP174" i="6"/>
  <c r="K211" i="6"/>
  <c r="K212" i="6" s="1"/>
  <c r="K209" i="6"/>
  <c r="BL207" i="6"/>
  <c r="CF153" i="6"/>
  <c r="CF157" i="6"/>
  <c r="BY86" i="6"/>
  <c r="CF213" i="6"/>
  <c r="CB157" i="6"/>
  <c r="CB153" i="6"/>
  <c r="CM203" i="6"/>
  <c r="S158" i="6"/>
  <c r="V158" i="6"/>
  <c r="DS81" i="6"/>
  <c r="M77" i="6"/>
  <c r="AE77" i="6" s="1"/>
  <c r="AE74" i="6"/>
  <c r="U203" i="6"/>
  <c r="CR201" i="6"/>
  <c r="BQ84" i="6"/>
  <c r="BQ81" i="6"/>
  <c r="BQ80" i="6"/>
  <c r="BQ82" i="6"/>
  <c r="CS82" i="6"/>
  <c r="EP82" i="6" s="1"/>
  <c r="EP85" i="6"/>
  <c r="CS81" i="6"/>
  <c r="CS80" i="6"/>
  <c r="BN84" i="6"/>
  <c r="BN82" i="6"/>
  <c r="BN80" i="6"/>
  <c r="BN81" i="6"/>
  <c r="BM84" i="6"/>
  <c r="BM82" i="6"/>
  <c r="BM80" i="6"/>
  <c r="BM81" i="6"/>
  <c r="CS77" i="6"/>
  <c r="CA86" i="6"/>
  <c r="BU77" i="6"/>
  <c r="BB77" i="6"/>
  <c r="CL76" i="6"/>
  <c r="EM71" i="6"/>
  <c r="EI71" i="6"/>
  <c r="BN77" i="6"/>
  <c r="CR211" i="6"/>
  <c r="CR212" i="6" s="1"/>
  <c r="CR209" i="6"/>
  <c r="T40" i="6"/>
  <c r="AL13" i="6"/>
  <c r="DT81" i="6"/>
  <c r="BO84" i="6"/>
  <c r="BO82" i="6"/>
  <c r="BO81" i="6"/>
  <c r="BP81" i="6" s="1"/>
  <c r="BP90" i="6" s="1"/>
  <c r="BO80" i="6"/>
  <c r="BJ52" i="6"/>
  <c r="BJ47" i="6"/>
  <c r="BJ43" i="6"/>
  <c r="BJ18" i="6"/>
  <c r="DG16" i="6"/>
  <c r="CM52" i="6"/>
  <c r="CM47" i="6"/>
  <c r="CN48" i="6"/>
  <c r="EJ16" i="6"/>
  <c r="CM18" i="6"/>
  <c r="CM43" i="6"/>
  <c r="M52" i="6"/>
  <c r="M18" i="6"/>
  <c r="AE16" i="6"/>
  <c r="M47" i="6"/>
  <c r="M43" i="6"/>
  <c r="BN51" i="6"/>
  <c r="BN44" i="6"/>
  <c r="BN46" i="6"/>
  <c r="BN226" i="6" s="1"/>
  <c r="BN227" i="6" s="1"/>
  <c r="BN21" i="6"/>
  <c r="CL53" i="6"/>
  <c r="DW52" i="6"/>
  <c r="BZ53" i="6"/>
  <c r="BN53" i="6"/>
  <c r="CQ44" i="6"/>
  <c r="CQ46" i="6"/>
  <c r="CQ226" i="6" s="1"/>
  <c r="CQ227" i="6" s="1"/>
  <c r="EN18" i="6"/>
  <c r="CQ21" i="6"/>
  <c r="BX43" i="6"/>
  <c r="BX47" i="6"/>
  <c r="DU16" i="6"/>
  <c r="BX18" i="6"/>
  <c r="BX52" i="6"/>
  <c r="DY16" i="6"/>
  <c r="BQ39" i="6"/>
  <c r="DN10" i="6"/>
  <c r="AM8" i="6"/>
  <c r="BN48" i="6"/>
  <c r="BH85" i="6"/>
  <c r="BD75" i="6"/>
  <c r="BD76" i="6"/>
  <c r="BD74" i="6"/>
  <c r="BD77" i="6" s="1"/>
  <c r="ER11" i="6"/>
  <c r="CU9" i="6"/>
  <c r="EV11" i="6"/>
  <c r="BZ48" i="6"/>
  <c r="CK44" i="6"/>
  <c r="CK46" i="6"/>
  <c r="CK226" i="6" s="1"/>
  <c r="CK227" i="6" s="1"/>
  <c r="T18" i="6"/>
  <c r="EH18" i="6"/>
  <c r="CK21" i="6"/>
  <c r="CR48" i="6"/>
  <c r="CF48" i="6"/>
  <c r="BT48" i="6"/>
  <c r="R40" i="6"/>
  <c r="AJ13" i="6"/>
  <c r="AA9" i="6"/>
  <c r="S7" i="6"/>
  <c r="AK7" i="6" s="1"/>
  <c r="S84" i="6" s="1"/>
  <c r="S85" i="6" s="1"/>
  <c r="AK72" i="6"/>
  <c r="S69" i="6"/>
  <c r="S71" i="6" s="1"/>
  <c r="S70" i="6"/>
  <c r="CB9" i="6"/>
  <c r="DY11" i="6"/>
  <c r="CL48" i="6"/>
  <c r="BR43" i="6"/>
  <c r="BR52" i="6"/>
  <c r="BR47" i="6"/>
  <c r="DO16" i="6"/>
  <c r="BR18" i="6"/>
  <c r="CV11" i="6"/>
  <c r="AE10" i="6"/>
  <c r="BH40" i="6"/>
  <c r="BH16" i="6"/>
  <c r="CY74" i="6"/>
  <c r="CY75" i="6"/>
  <c r="EV72" i="6"/>
  <c r="CY71" i="6"/>
  <c r="ET10" i="6"/>
  <c r="CW74" i="6"/>
  <c r="ET72" i="6"/>
  <c r="CW75" i="6"/>
  <c r="CW71" i="6"/>
  <c r="AG75" i="6"/>
  <c r="CD46" i="6"/>
  <c r="CD226" i="6" s="1"/>
  <c r="CD227" i="6" s="1"/>
  <c r="CD21" i="6"/>
  <c r="EA18" i="6"/>
  <c r="CD44" i="6"/>
  <c r="AP35" i="6"/>
  <c r="ET37" i="6"/>
  <c r="EW35" i="6"/>
  <c r="AN57" i="6" l="1"/>
  <c r="V58" i="6"/>
  <c r="AN58" i="6" s="1"/>
  <c r="S76" i="6"/>
  <c r="AK71" i="6"/>
  <c r="U76" i="6"/>
  <c r="A71" i="6"/>
  <c r="CN85" i="6"/>
  <c r="AL85" i="6"/>
  <c r="T81" i="6"/>
  <c r="T82" i="6"/>
  <c r="AL82" i="6" s="1"/>
  <c r="T80" i="6"/>
  <c r="AK85" i="6"/>
  <c r="S82" i="6"/>
  <c r="S81" i="6"/>
  <c r="S80" i="6"/>
  <c r="CJ85" i="6"/>
  <c r="CR85" i="6"/>
  <c r="AM85" i="6"/>
  <c r="U82" i="6"/>
  <c r="U80" i="6"/>
  <c r="U81" i="6"/>
  <c r="CW76" i="6"/>
  <c r="ET71" i="6"/>
  <c r="T44" i="6"/>
  <c r="AL18" i="6"/>
  <c r="T46" i="6"/>
  <c r="T226" i="6" s="1"/>
  <c r="T227" i="6" s="1"/>
  <c r="BX53" i="6"/>
  <c r="CQ225" i="6"/>
  <c r="CQ224" i="6"/>
  <c r="CQ45" i="6"/>
  <c r="EN21" i="6"/>
  <c r="CQ23" i="6"/>
  <c r="M44" i="6"/>
  <c r="AE18" i="6"/>
  <c r="M21" i="6"/>
  <c r="M46" i="6"/>
  <c r="M226" i="6" s="1"/>
  <c r="M227" i="6" s="1"/>
  <c r="BJ46" i="6"/>
  <c r="BJ226" i="6" s="1"/>
  <c r="BJ227" i="6" s="1"/>
  <c r="BJ21" i="6"/>
  <c r="DK21" i="6" s="1"/>
  <c r="BJ51" i="6"/>
  <c r="BJ44" i="6"/>
  <c r="DG18" i="6"/>
  <c r="EP80" i="6"/>
  <c r="CW80" i="6"/>
  <c r="CV46" i="6"/>
  <c r="CV21" i="6"/>
  <c r="CV44" i="6"/>
  <c r="ES18" i="6"/>
  <c r="CH53" i="6"/>
  <c r="EE52" i="6"/>
  <c r="BD201" i="6"/>
  <c r="BD203" i="6" s="1"/>
  <c r="K203" i="6"/>
  <c r="AM11" i="6"/>
  <c r="AN11" i="6"/>
  <c r="BL43" i="6"/>
  <c r="BL52" i="6"/>
  <c r="DI16" i="6"/>
  <c r="BL47" i="6"/>
  <c r="BL18" i="6"/>
  <c r="AE82" i="6"/>
  <c r="BL82" i="6"/>
  <c r="BL91" i="6" s="1"/>
  <c r="AF82" i="6"/>
  <c r="CI53" i="6"/>
  <c r="EF52" i="6"/>
  <c r="BO53" i="6"/>
  <c r="DL52" i="6"/>
  <c r="CP225" i="6"/>
  <c r="CP224" i="6"/>
  <c r="CP45" i="6"/>
  <c r="EM21" i="6"/>
  <c r="CP23" i="6"/>
  <c r="P47" i="6"/>
  <c r="P43" i="6"/>
  <c r="AH16" i="6"/>
  <c r="P52" i="6"/>
  <c r="BR51" i="6"/>
  <c r="BR21" i="6"/>
  <c r="DO18" i="6"/>
  <c r="BR46" i="6"/>
  <c r="BR226" i="6" s="1"/>
  <c r="BR227" i="6" s="1"/>
  <c r="BR44" i="6"/>
  <c r="AE52" i="6"/>
  <c r="M53" i="6"/>
  <c r="BP82" i="6"/>
  <c r="BP91" i="6" s="1"/>
  <c r="P76" i="6"/>
  <c r="AH76" i="6" s="1"/>
  <c r="AH71" i="6"/>
  <c r="T74" i="6"/>
  <c r="AL69" i="6"/>
  <c r="CN69" i="6"/>
  <c r="BW154" i="6"/>
  <c r="BW155" i="6" s="1"/>
  <c r="BV154" i="6"/>
  <c r="BV155" i="6" s="1"/>
  <c r="BU154" i="6"/>
  <c r="BU155" i="6" s="1"/>
  <c r="BX154" i="6"/>
  <c r="BX155" i="6" s="1"/>
  <c r="R76" i="6"/>
  <c r="AJ71" i="6"/>
  <c r="AA52" i="6"/>
  <c r="I53" i="6"/>
  <c r="BK53" i="6"/>
  <c r="DH52" i="6"/>
  <c r="CZ85" i="6"/>
  <c r="AO85" i="6"/>
  <c r="R199" i="6"/>
  <c r="CF196" i="6"/>
  <c r="AH74" i="6"/>
  <c r="CT46" i="6"/>
  <c r="CT226" i="6" s="1"/>
  <c r="CT227" i="6" s="1"/>
  <c r="CT21" i="6"/>
  <c r="CT44" i="6"/>
  <c r="EQ18" i="6"/>
  <c r="CV174" i="6"/>
  <c r="V223" i="6"/>
  <c r="CX77" i="6"/>
  <c r="T71" i="6"/>
  <c r="AM71" i="6" s="1"/>
  <c r="EV9" i="6"/>
  <c r="CY12" i="6"/>
  <c r="AU10" i="6"/>
  <c r="AU14" i="6"/>
  <c r="AU9" i="6"/>
  <c r="BX81" i="6"/>
  <c r="DU81" i="6" s="1"/>
  <c r="AH81" i="6"/>
  <c r="DQ11" i="6"/>
  <c r="BT9" i="6"/>
  <c r="BT52" i="6"/>
  <c r="DU52" i="6" s="1"/>
  <c r="AP58" i="6"/>
  <c r="AO55" i="6"/>
  <c r="X56" i="6"/>
  <c r="X57" i="6" s="1"/>
  <c r="AP57" i="6" s="1"/>
  <c r="EN81" i="6"/>
  <c r="BH52" i="6"/>
  <c r="BH53" i="6" s="1"/>
  <c r="BH43" i="6"/>
  <c r="BH18" i="6"/>
  <c r="CP223" i="6"/>
  <c r="CP203" i="6"/>
  <c r="CJ10" i="6"/>
  <c r="EG9" i="6"/>
  <c r="EK9" i="6"/>
  <c r="BW53" i="6"/>
  <c r="DT52" i="6"/>
  <c r="T75" i="6"/>
  <c r="AL70" i="6"/>
  <c r="CN70" i="6"/>
  <c r="Q76" i="6"/>
  <c r="AI71" i="6"/>
  <c r="BT225" i="6"/>
  <c r="BT224" i="6"/>
  <c r="BT45" i="6"/>
  <c r="BT23" i="6"/>
  <c r="BI53" i="6"/>
  <c r="DF52" i="6"/>
  <c r="AO57" i="6"/>
  <c r="EU12" i="6"/>
  <c r="CX13" i="6"/>
  <c r="CA39" i="6"/>
  <c r="Q10" i="6"/>
  <c r="DX10" i="6"/>
  <c r="EB10" i="6"/>
  <c r="K53" i="6"/>
  <c r="AC52" i="6"/>
  <c r="BX82" i="6"/>
  <c r="DU82" i="6" s="1"/>
  <c r="AH82" i="6"/>
  <c r="R52" i="6"/>
  <c r="R47" i="6"/>
  <c r="R43" i="6"/>
  <c r="AJ16" i="6"/>
  <c r="ES8" i="6"/>
  <c r="ES58" i="6" s="1"/>
  <c r="CV58" i="6" s="1"/>
  <c r="V8" i="6"/>
  <c r="EL80" i="6"/>
  <c r="DR81" i="6"/>
  <c r="J53" i="6"/>
  <c r="AB52" i="6"/>
  <c r="U47" i="6"/>
  <c r="U43" i="6"/>
  <c r="U52" i="6"/>
  <c r="AM16" i="6"/>
  <c r="BE46" i="6"/>
  <c r="BE226" i="6" s="1"/>
  <c r="BE227" i="6" s="1"/>
  <c r="BE21" i="6"/>
  <c r="BE44" i="6"/>
  <c r="S52" i="6"/>
  <c r="S47" i="6"/>
  <c r="S43" i="6"/>
  <c r="AK16" i="6"/>
  <c r="EQ81" i="6"/>
  <c r="CX81" i="6"/>
  <c r="CX90" i="6" s="1"/>
  <c r="W122" i="6"/>
  <c r="CZ165" i="6"/>
  <c r="EN82" i="6"/>
  <c r="EF82" i="6"/>
  <c r="BR53" i="6"/>
  <c r="DO52" i="6"/>
  <c r="CK225" i="6"/>
  <c r="CK224" i="6"/>
  <c r="CK45" i="6"/>
  <c r="CK23" i="6"/>
  <c r="O11" i="6"/>
  <c r="DJ43" i="6"/>
  <c r="BN225" i="6"/>
  <c r="BN224" i="6"/>
  <c r="BN45" i="6"/>
  <c r="BN23" i="6"/>
  <c r="CM44" i="6"/>
  <c r="CM46" i="6"/>
  <c r="CM226" i="6" s="1"/>
  <c r="CM227" i="6" s="1"/>
  <c r="EJ18" i="6"/>
  <c r="CM21" i="6"/>
  <c r="BP203" i="6"/>
  <c r="AL10" i="6"/>
  <c r="T39" i="6"/>
  <c r="BZ225" i="6"/>
  <c r="BZ224" i="6"/>
  <c r="BZ45" i="6"/>
  <c r="BZ23" i="6"/>
  <c r="CU203" i="6"/>
  <c r="EE80" i="6"/>
  <c r="CB225" i="6"/>
  <c r="CB224" i="6"/>
  <c r="CB45" i="6"/>
  <c r="CB23" i="6"/>
  <c r="S9" i="6"/>
  <c r="CN46" i="6"/>
  <c r="CN226" i="6" s="1"/>
  <c r="CN227" i="6" s="1"/>
  <c r="CN44" i="6"/>
  <c r="CN21" i="6"/>
  <c r="EK18" i="6"/>
  <c r="N44" i="6"/>
  <c r="N46" i="6"/>
  <c r="N226" i="6" s="1"/>
  <c r="N227" i="6" s="1"/>
  <c r="AF18" i="6"/>
  <c r="N21" i="6"/>
  <c r="A80" i="6"/>
  <c r="EM80" i="6"/>
  <c r="AJ69" i="6"/>
  <c r="R74" i="6"/>
  <c r="CF69" i="6"/>
  <c r="AI74" i="6"/>
  <c r="Q77" i="6"/>
  <c r="R39" i="6"/>
  <c r="AJ10" i="6"/>
  <c r="BL80" i="6"/>
  <c r="BL89" i="6" s="1"/>
  <c r="AE80" i="6"/>
  <c r="AF80" i="6"/>
  <c r="CR174" i="6"/>
  <c r="CR223" i="6" s="1"/>
  <c r="U223" i="6"/>
  <c r="S237" i="6"/>
  <c r="T238" i="6"/>
  <c r="BX10" i="6"/>
  <c r="CV69" i="6"/>
  <c r="W69" i="6"/>
  <c r="AN69" i="6"/>
  <c r="V74" i="6"/>
  <c r="EA81" i="6"/>
  <c r="V203" i="6"/>
  <c r="CC53" i="6"/>
  <c r="DZ52" i="6"/>
  <c r="BF21" i="6"/>
  <c r="BF44" i="6"/>
  <c r="BF46" i="6"/>
  <c r="BF226" i="6" s="1"/>
  <c r="BF227" i="6" s="1"/>
  <c r="DP9" i="6"/>
  <c r="BS10" i="6"/>
  <c r="O9" i="6"/>
  <c r="AG9" i="6" s="1"/>
  <c r="DT9" i="6"/>
  <c r="EL81" i="6"/>
  <c r="J46" i="6"/>
  <c r="J226" i="6" s="1"/>
  <c r="J227" i="6" s="1"/>
  <c r="AB18" i="6"/>
  <c r="J21" i="6"/>
  <c r="J44" i="6"/>
  <c r="U18" i="6"/>
  <c r="CO21" i="6"/>
  <c r="CO46" i="6"/>
  <c r="CO226" i="6" s="1"/>
  <c r="CO227" i="6" s="1"/>
  <c r="EL18" i="6"/>
  <c r="CO44" i="6"/>
  <c r="CR225" i="6"/>
  <c r="CR45" i="6"/>
  <c r="CR23" i="6"/>
  <c r="CG44" i="6"/>
  <c r="CG46" i="6"/>
  <c r="CG226" i="6" s="1"/>
  <c r="CG227" i="6" s="1"/>
  <c r="ED18" i="6"/>
  <c r="S18" i="6"/>
  <c r="CG21" i="6"/>
  <c r="EH21" i="6" s="1"/>
  <c r="W9" i="6"/>
  <c r="CZ72" i="6"/>
  <c r="CZ55" i="6"/>
  <c r="EW55" i="6" s="1"/>
  <c r="CZ2" i="6"/>
  <c r="EW6" i="6"/>
  <c r="CQ231" i="6"/>
  <c r="CU231" i="6"/>
  <c r="CT231" i="6"/>
  <c r="CS231" i="6"/>
  <c r="CP231" i="6"/>
  <c r="CO231" i="6"/>
  <c r="CR231" i="6"/>
  <c r="BH203" i="6"/>
  <c r="EF80" i="6"/>
  <c r="ES11" i="6"/>
  <c r="CV9" i="6"/>
  <c r="V9" i="6" s="1"/>
  <c r="S74" i="6"/>
  <c r="AK69" i="6"/>
  <c r="CJ69" i="6"/>
  <c r="CX76" i="6"/>
  <c r="EU71" i="6"/>
  <c r="AF52" i="6"/>
  <c r="N53" i="6"/>
  <c r="DP52" i="6"/>
  <c r="BS53" i="6"/>
  <c r="Q47" i="6"/>
  <c r="Q43" i="6"/>
  <c r="Q52" i="6"/>
  <c r="AI16" i="6"/>
  <c r="BU53" i="6"/>
  <c r="DR52" i="6"/>
  <c r="BJ39" i="6"/>
  <c r="DG10" i="6"/>
  <c r="DK10" i="6"/>
  <c r="BQ53" i="6"/>
  <c r="DN52" i="6"/>
  <c r="CO53" i="6"/>
  <c r="EL52" i="6"/>
  <c r="AI18" i="6"/>
  <c r="Q44" i="6"/>
  <c r="Q46" i="6"/>
  <c r="Q226" i="6" s="1"/>
  <c r="Q227" i="6" s="1"/>
  <c r="CB154" i="6"/>
  <c r="CB155" i="6" s="1"/>
  <c r="Q154" i="6"/>
  <c r="Q155" i="6" s="1"/>
  <c r="R154" i="6" s="1"/>
  <c r="R155" i="6" s="1"/>
  <c r="S154" i="6" s="1"/>
  <c r="S155" i="6" s="1"/>
  <c r="T154" i="6" s="1"/>
  <c r="T155" i="6" s="1"/>
  <c r="U154" i="6" s="1"/>
  <c r="U155" i="6" s="1"/>
  <c r="V154" i="6" s="1"/>
  <c r="V155" i="6" s="1"/>
  <c r="W154" i="6" s="1"/>
  <c r="X85" i="6"/>
  <c r="AO72" i="6"/>
  <c r="BX21" i="6"/>
  <c r="BX44" i="6"/>
  <c r="BX46" i="6"/>
  <c r="BX226" i="6" s="1"/>
  <c r="BX227" i="6" s="1"/>
  <c r="DU18" i="6"/>
  <c r="EP81" i="6"/>
  <c r="CW81" i="6"/>
  <c r="CW90" i="6" s="1"/>
  <c r="CU46" i="6"/>
  <c r="CU226" i="6" s="1"/>
  <c r="CU227" i="6" s="1"/>
  <c r="CU21" i="6"/>
  <c r="CU44" i="6"/>
  <c r="ER18" i="6"/>
  <c r="S10" i="6"/>
  <c r="CG39" i="6"/>
  <c r="ED10" i="6"/>
  <c r="EH10" i="6"/>
  <c r="CA44" i="6"/>
  <c r="CA46" i="6"/>
  <c r="CA226" i="6" s="1"/>
  <c r="CA227" i="6" s="1"/>
  <c r="DX18" i="6"/>
  <c r="CA21" i="6"/>
  <c r="EB18" i="6"/>
  <c r="CN53" i="6"/>
  <c r="EK52" i="6"/>
  <c r="CS44" i="6"/>
  <c r="CS46" i="6"/>
  <c r="CS226" i="6" s="1"/>
  <c r="CS227" i="6" s="1"/>
  <c r="EP18" i="6"/>
  <c r="CS21" i="6"/>
  <c r="V18" i="6"/>
  <c r="ET12" i="6"/>
  <c r="CW13" i="6"/>
  <c r="CI21" i="6"/>
  <c r="CI44" i="6"/>
  <c r="EF18" i="6"/>
  <c r="CI46" i="6"/>
  <c r="CI226" i="6" s="1"/>
  <c r="CI227" i="6" s="1"/>
  <c r="BU44" i="6"/>
  <c r="BU46" i="6"/>
  <c r="BU226" i="6" s="1"/>
  <c r="BU227" i="6" s="1"/>
  <c r="DR18" i="6"/>
  <c r="BU21" i="6"/>
  <c r="P18" i="6"/>
  <c r="EA82" i="6"/>
  <c r="BX80" i="6"/>
  <c r="DU80" i="6" s="1"/>
  <c r="AH80" i="6"/>
  <c r="CL225" i="6"/>
  <c r="CL224" i="6"/>
  <c r="CL45" i="6"/>
  <c r="CL23" i="6"/>
  <c r="O47" i="6"/>
  <c r="O43" i="6"/>
  <c r="AG16" i="6"/>
  <c r="BY225" i="6"/>
  <c r="BY224" i="6"/>
  <c r="BY45" i="6"/>
  <c r="Q21" i="6"/>
  <c r="BY23" i="6"/>
  <c r="W246" i="6"/>
  <c r="CZ14" i="6"/>
  <c r="AO14" i="6"/>
  <c r="W2" i="6"/>
  <c r="CM53" i="6"/>
  <c r="EJ52" i="6"/>
  <c r="CV52" i="6"/>
  <c r="CQ223" i="6"/>
  <c r="CQ203" i="6"/>
  <c r="BM225" i="6"/>
  <c r="BM224" i="6"/>
  <c r="BM45" i="6"/>
  <c r="DJ21" i="6"/>
  <c r="BM23" i="6"/>
  <c r="BH77" i="6"/>
  <c r="CF70" i="6"/>
  <c r="R75" i="6"/>
  <c r="AJ75" i="6" s="1"/>
  <c r="AJ70" i="6"/>
  <c r="CJ21" i="6"/>
  <c r="CJ44" i="6"/>
  <c r="EG18" i="6"/>
  <c r="CJ46" i="6"/>
  <c r="CJ226" i="6" s="1"/>
  <c r="CJ227" i="6" s="1"/>
  <c r="BV46" i="6"/>
  <c r="BV226" i="6" s="1"/>
  <c r="BV227" i="6" s="1"/>
  <c r="BV21" i="6"/>
  <c r="BV44" i="6"/>
  <c r="DS18" i="6"/>
  <c r="BL48" i="6"/>
  <c r="U74" i="6"/>
  <c r="CR69" i="6"/>
  <c r="A69" i="6"/>
  <c r="AM69" i="6"/>
  <c r="BO51" i="6"/>
  <c r="BO44" i="6"/>
  <c r="BO46" i="6"/>
  <c r="BO226" i="6" s="1"/>
  <c r="BO227" i="6" s="1"/>
  <c r="DL18" i="6"/>
  <c r="BO21" i="6"/>
  <c r="CY80" i="6"/>
  <c r="ER80" i="6"/>
  <c r="BP52" i="6"/>
  <c r="BP47" i="6"/>
  <c r="BP43" i="6"/>
  <c r="BP18" i="6"/>
  <c r="DM16" i="6"/>
  <c r="BT47" i="6"/>
  <c r="DQ16" i="6"/>
  <c r="K46" i="6"/>
  <c r="K226" i="6" s="1"/>
  <c r="K227" i="6" s="1"/>
  <c r="K21" i="6"/>
  <c r="K44" i="6"/>
  <c r="AC18" i="6"/>
  <c r="CF224" i="6"/>
  <c r="CF45" i="6"/>
  <c r="EC21" i="6"/>
  <c r="CF23" i="6"/>
  <c r="EH82" i="6"/>
  <c r="BG225" i="6"/>
  <c r="BG224" i="6"/>
  <c r="BG45" i="6"/>
  <c r="BG23" i="6"/>
  <c r="U58" i="6"/>
  <c r="AM58" i="6" s="1"/>
  <c r="BQ51" i="6"/>
  <c r="BQ46" i="6"/>
  <c r="BQ226" i="6" s="1"/>
  <c r="BQ227" i="6" s="1"/>
  <c r="O18" i="6"/>
  <c r="BQ21" i="6"/>
  <c r="DN18" i="6"/>
  <c r="BQ44" i="6"/>
  <c r="DV18" i="6"/>
  <c r="CG53" i="6"/>
  <c r="ED52" i="6"/>
  <c r="EQ80" i="6"/>
  <c r="CX80" i="6"/>
  <c r="AL52" i="6"/>
  <c r="T53" i="6"/>
  <c r="EI82" i="6"/>
  <c r="CD225" i="6"/>
  <c r="CD224" i="6"/>
  <c r="CD45" i="6"/>
  <c r="EA21" i="6"/>
  <c r="CD23" i="6"/>
  <c r="CW77" i="6"/>
  <c r="CB10" i="6"/>
  <c r="DY9" i="6"/>
  <c r="EC9" i="6"/>
  <c r="EI52" i="6"/>
  <c r="BJ53" i="6"/>
  <c r="DG52" i="6"/>
  <c r="CH46" i="6"/>
  <c r="CH226" i="6" s="1"/>
  <c r="CH227" i="6" s="1"/>
  <c r="CH21" i="6"/>
  <c r="CH44" i="6"/>
  <c r="EE18" i="6"/>
  <c r="DY18" i="6"/>
  <c r="BS225" i="6"/>
  <c r="BS224" i="6"/>
  <c r="BS45" i="6"/>
  <c r="DP21" i="6"/>
  <c r="BS23" i="6"/>
  <c r="EN52" i="6"/>
  <c r="CQ53" i="6"/>
  <c r="I46" i="6"/>
  <c r="I226" i="6" s="1"/>
  <c r="I227" i="6" s="1"/>
  <c r="AA18" i="6"/>
  <c r="I21" i="6"/>
  <c r="I44" i="6"/>
  <c r="BK21" i="6"/>
  <c r="BK51" i="6"/>
  <c r="BK44" i="6"/>
  <c r="BK46" i="6"/>
  <c r="BK226" i="6" s="1"/>
  <c r="BK227" i="6" s="1"/>
  <c r="DH18" i="6"/>
  <c r="U75" i="6"/>
  <c r="AM75" i="6" s="1"/>
  <c r="AM70" i="6"/>
  <c r="A70" i="6"/>
  <c r="CR70" i="6"/>
  <c r="DZ80" i="6"/>
  <c r="BL203" i="6"/>
  <c r="CY81" i="6"/>
  <c r="CY90" i="6" s="1"/>
  <c r="ER81" i="6"/>
  <c r="CE29" i="6"/>
  <c r="V75" i="6"/>
  <c r="AN75" i="6" s="1"/>
  <c r="AN70" i="6"/>
  <c r="CV70" i="6"/>
  <c r="W70" i="6"/>
  <c r="CV203" i="6"/>
  <c r="EO11" i="6"/>
  <c r="CR9" i="6"/>
  <c r="CR52" i="6"/>
  <c r="EV71" i="6"/>
  <c r="CY76" i="6"/>
  <c r="CY77" i="6" s="1"/>
  <c r="CJ70" i="6"/>
  <c r="S75" i="6"/>
  <c r="AK75" i="6" s="1"/>
  <c r="AK70" i="6"/>
  <c r="ER9" i="6"/>
  <c r="CU10" i="6"/>
  <c r="DK52" i="6"/>
  <c r="DK18" i="6"/>
  <c r="BP80" i="6"/>
  <c r="BP89" i="6" s="1"/>
  <c r="DQ71" i="6"/>
  <c r="BT76" i="6"/>
  <c r="BT77" i="6" s="1"/>
  <c r="CB85" i="6"/>
  <c r="AI85" i="6"/>
  <c r="Q82" i="6"/>
  <c r="Q81" i="6"/>
  <c r="Q80" i="6"/>
  <c r="DR10" i="6"/>
  <c r="BU39" i="6"/>
  <c r="P10" i="6"/>
  <c r="DV10" i="6"/>
  <c r="BW21" i="6"/>
  <c r="BW44" i="6"/>
  <c r="BW46" i="6"/>
  <c r="BW226" i="6" s="1"/>
  <c r="BW227" i="6" s="1"/>
  <c r="DT18" i="6"/>
  <c r="CU53" i="6"/>
  <c r="ER52" i="6"/>
  <c r="DW18" i="6"/>
  <c r="CT53" i="6"/>
  <c r="EQ52" i="6"/>
  <c r="BX203" i="6"/>
  <c r="CA53" i="6"/>
  <c r="DX52" i="6"/>
  <c r="EB80" i="6"/>
  <c r="DP18" i="6"/>
  <c r="L225" i="6"/>
  <c r="L224" i="6"/>
  <c r="L45" i="6"/>
  <c r="AD21" i="6"/>
  <c r="L23" i="6"/>
  <c r="EM81" i="6"/>
  <c r="AJ9" i="6"/>
  <c r="AJ85" i="6"/>
  <c r="CF85" i="6"/>
  <c r="R82" i="6"/>
  <c r="AJ82" i="6" s="1"/>
  <c r="R81" i="6"/>
  <c r="AJ81" i="6" s="1"/>
  <c r="R80" i="6"/>
  <c r="AJ80" i="6" s="1"/>
  <c r="CJ53" i="6"/>
  <c r="EG52" i="6"/>
  <c r="BI51" i="6"/>
  <c r="BI44" i="6"/>
  <c r="BI46" i="6"/>
  <c r="BI226" i="6" s="1"/>
  <c r="BI227" i="6" s="1"/>
  <c r="DF18" i="6"/>
  <c r="BI21" i="6"/>
  <c r="V47" i="6"/>
  <c r="V43" i="6"/>
  <c r="V52" i="6"/>
  <c r="AN16" i="6"/>
  <c r="CS53" i="6"/>
  <c r="EP52" i="6"/>
  <c r="BV53" i="6"/>
  <c r="DS52" i="6"/>
  <c r="BL81" i="6"/>
  <c r="BL90" i="6" s="1"/>
  <c r="AF81" i="6"/>
  <c r="AE81" i="6"/>
  <c r="S230" i="6"/>
  <c r="R242" i="6"/>
  <c r="DU11" i="6"/>
  <c r="N77" i="6"/>
  <c r="AF77" i="6" s="1"/>
  <c r="V71" i="6"/>
  <c r="CC46" i="6"/>
  <c r="CC226" i="6" s="1"/>
  <c r="CC227" i="6" s="1"/>
  <c r="CC21" i="6"/>
  <c r="R18" i="6"/>
  <c r="DZ18" i="6"/>
  <c r="CC44" i="6"/>
  <c r="AD52" i="6"/>
  <c r="H44" i="6"/>
  <c r="H46" i="6"/>
  <c r="H226" i="6" s="1"/>
  <c r="H227" i="6" s="1"/>
  <c r="H21" i="6"/>
  <c r="EL82" i="6"/>
  <c r="DR82" i="6"/>
  <c r="O77" i="6"/>
  <c r="AG77" i="6" s="1"/>
  <c r="CQ10" i="6"/>
  <c r="EN9" i="6"/>
  <c r="EO18" i="6"/>
  <c r="EQ82" i="6"/>
  <c r="AL16" i="6"/>
  <c r="X6" i="6"/>
  <c r="DY52" i="6"/>
  <c r="EF81" i="6"/>
  <c r="V76" i="6" l="1"/>
  <c r="AN76" i="6" s="1"/>
  <c r="AN71" i="6"/>
  <c r="EO52" i="6"/>
  <c r="CR53" i="6"/>
  <c r="I225" i="6"/>
  <c r="I224" i="6"/>
  <c r="I23" i="6"/>
  <c r="AA21" i="6"/>
  <c r="I45" i="6"/>
  <c r="BU225" i="6"/>
  <c r="BU224" i="6"/>
  <c r="DR21" i="6"/>
  <c r="P21" i="6"/>
  <c r="BU23" i="6"/>
  <c r="BU45" i="6"/>
  <c r="CC154" i="6"/>
  <c r="CC155" i="6" s="1"/>
  <c r="CF154" i="6"/>
  <c r="CF155" i="6" s="1"/>
  <c r="CD154" i="6"/>
  <c r="CD155" i="6" s="1"/>
  <c r="CE154" i="6"/>
  <c r="CE155" i="6" s="1"/>
  <c r="CJ71" i="6"/>
  <c r="CJ74" i="6"/>
  <c r="EG69" i="6"/>
  <c r="CB27" i="6"/>
  <c r="CB25" i="6"/>
  <c r="BE224" i="6"/>
  <c r="BE225" i="6"/>
  <c r="BE45" i="6"/>
  <c r="BE23" i="6"/>
  <c r="L25" i="6"/>
  <c r="L27" i="6"/>
  <c r="L159" i="6"/>
  <c r="EW72" i="6"/>
  <c r="J225" i="6"/>
  <c r="J224" i="6"/>
  <c r="J45" i="6"/>
  <c r="J23" i="6"/>
  <c r="AB21" i="6"/>
  <c r="CZ69" i="6"/>
  <c r="X69" i="6"/>
  <c r="W74" i="6"/>
  <c r="BZ25" i="6"/>
  <c r="BZ27" i="6"/>
  <c r="AG11" i="6"/>
  <c r="AH11" i="6"/>
  <c r="CT225" i="6"/>
  <c r="CT224" i="6"/>
  <c r="EQ21" i="6"/>
  <c r="CT23" i="6"/>
  <c r="CT45" i="6"/>
  <c r="CW89" i="6"/>
  <c r="CW91" i="6" s="1"/>
  <c r="CW82" i="6"/>
  <c r="ET82" i="6" s="1"/>
  <c r="AM80" i="6"/>
  <c r="AK81" i="6"/>
  <c r="CB82" i="6"/>
  <c r="DY82" i="6" s="1"/>
  <c r="AI82" i="6"/>
  <c r="CY89" i="6"/>
  <c r="CY91" i="6" s="1"/>
  <c r="CY82" i="6"/>
  <c r="EV82" i="6" s="1"/>
  <c r="CJ225" i="6"/>
  <c r="CJ224" i="6"/>
  <c r="CJ45" i="6"/>
  <c r="EG21" i="6"/>
  <c r="CJ23" i="6"/>
  <c r="CV53" i="6"/>
  <c r="ES52" i="6"/>
  <c r="EW37" i="6"/>
  <c r="CW40" i="6"/>
  <c r="ET13" i="6"/>
  <c r="CW16" i="6"/>
  <c r="AP85" i="6"/>
  <c r="AO9" i="6"/>
  <c r="CV71" i="6"/>
  <c r="CV74" i="6"/>
  <c r="ES69" i="6"/>
  <c r="CN225" i="6"/>
  <c r="CN224" i="6"/>
  <c r="EK21" i="6"/>
  <c r="CN45" i="6"/>
  <c r="CN23" i="6"/>
  <c r="CZ122" i="6"/>
  <c r="AI76" i="6"/>
  <c r="A82" i="6"/>
  <c r="AM82" i="6"/>
  <c r="AK82" i="6"/>
  <c r="H224" i="6"/>
  <c r="H225" i="6"/>
  <c r="H23" i="6"/>
  <c r="H45" i="6"/>
  <c r="CJ75" i="6"/>
  <c r="EG70" i="6"/>
  <c r="K225" i="6"/>
  <c r="K224" i="6"/>
  <c r="K45" i="6"/>
  <c r="K23" i="6"/>
  <c r="AC21" i="6"/>
  <c r="BO225" i="6"/>
  <c r="BO224" i="6"/>
  <c r="DL21" i="6"/>
  <c r="BO45" i="6"/>
  <c r="BO23" i="6"/>
  <c r="BV225" i="6"/>
  <c r="BV224" i="6"/>
  <c r="DS21" i="6"/>
  <c r="BV23" i="6"/>
  <c r="BV45" i="6"/>
  <c r="CR203" i="6"/>
  <c r="W71" i="6"/>
  <c r="N224" i="6"/>
  <c r="N225" i="6"/>
  <c r="N45" i="6"/>
  <c r="N23" i="6"/>
  <c r="AF21" i="6"/>
  <c r="DW21" i="6"/>
  <c r="AM52" i="6"/>
  <c r="U53" i="6"/>
  <c r="CX40" i="6"/>
  <c r="EU13" i="6"/>
  <c r="CX16" i="6"/>
  <c r="P77" i="6"/>
  <c r="AH77" i="6" s="1"/>
  <c r="CP27" i="6"/>
  <c r="CP25" i="6"/>
  <c r="CC224" i="6"/>
  <c r="CC225" i="6"/>
  <c r="CC45" i="6"/>
  <c r="CC23" i="6"/>
  <c r="R21" i="6"/>
  <c r="DZ21" i="6"/>
  <c r="CB84" i="6"/>
  <c r="DY85" i="6"/>
  <c r="W75" i="6"/>
  <c r="AO75" i="6" s="1"/>
  <c r="CZ70" i="6"/>
  <c r="X70" i="6"/>
  <c r="BK224" i="6"/>
  <c r="BK225" i="6"/>
  <c r="BK45" i="6"/>
  <c r="BK23" i="6"/>
  <c r="DH21" i="6"/>
  <c r="BQ224" i="6"/>
  <c r="BQ225" i="6"/>
  <c r="BQ45" i="6"/>
  <c r="BQ23" i="6"/>
  <c r="O21" i="6"/>
  <c r="DN21" i="6"/>
  <c r="CR74" i="6"/>
  <c r="EO69" i="6"/>
  <c r="CR71" i="6"/>
  <c r="BY25" i="6"/>
  <c r="BY27" i="6"/>
  <c r="O52" i="6"/>
  <c r="AH52" i="6" s="1"/>
  <c r="AN18" i="6"/>
  <c r="V44" i="6"/>
  <c r="V46" i="6"/>
  <c r="V226" i="6" s="1"/>
  <c r="V227" i="6" s="1"/>
  <c r="S44" i="6"/>
  <c r="AK18" i="6"/>
  <c r="S46" i="6"/>
  <c r="S226" i="6" s="1"/>
  <c r="S227" i="6" s="1"/>
  <c r="CO224" i="6"/>
  <c r="CO225" i="6"/>
  <c r="CO45" i="6"/>
  <c r="CO23" i="6"/>
  <c r="U21" i="6"/>
  <c r="EL21" i="6"/>
  <c r="BX39" i="6"/>
  <c r="CF74" i="6"/>
  <c r="EC69" i="6"/>
  <c r="CF71" i="6"/>
  <c r="AJ52" i="6"/>
  <c r="R53" i="6"/>
  <c r="CJ39" i="6"/>
  <c r="EG10" i="6"/>
  <c r="EK10" i="6"/>
  <c r="CZ84" i="6"/>
  <c r="EW85" i="6"/>
  <c r="AJ76" i="6"/>
  <c r="P53" i="6"/>
  <c r="EO85" i="6"/>
  <c r="CR84" i="6"/>
  <c r="CR82" i="6"/>
  <c r="CR80" i="6"/>
  <c r="CR81" i="6"/>
  <c r="AK76" i="6"/>
  <c r="AI80" i="6"/>
  <c r="CB80" i="6"/>
  <c r="Q225" i="6"/>
  <c r="Q224" i="6"/>
  <c r="Q45" i="6"/>
  <c r="Q23" i="6"/>
  <c r="AI21" i="6"/>
  <c r="BX225" i="6"/>
  <c r="BX224" i="6"/>
  <c r="BX45" i="6"/>
  <c r="DU21" i="6"/>
  <c r="BX23" i="6"/>
  <c r="T230" i="6"/>
  <c r="S242" i="6"/>
  <c r="V53" i="6"/>
  <c r="AN52" i="6"/>
  <c r="AO37" i="6"/>
  <c r="BW224" i="6"/>
  <c r="BW225" i="6"/>
  <c r="BW45" i="6"/>
  <c r="BW23" i="6"/>
  <c r="DT21" i="6"/>
  <c r="AI81" i="6"/>
  <c r="CB81" i="6"/>
  <c r="CR10" i="6"/>
  <c r="EO9" i="6"/>
  <c r="CD27" i="6"/>
  <c r="EA27" i="6" s="1"/>
  <c r="CD25" i="6"/>
  <c r="BM25" i="6"/>
  <c r="BM27" i="6"/>
  <c r="CI224" i="6"/>
  <c r="CI225" i="6"/>
  <c r="CI45" i="6"/>
  <c r="CI23" i="6"/>
  <c r="EF21" i="6"/>
  <c r="CA225" i="6"/>
  <c r="CA224" i="6"/>
  <c r="DX21" i="6"/>
  <c r="CA45" i="6"/>
  <c r="CA23" i="6"/>
  <c r="EB21" i="6"/>
  <c r="BS39" i="6"/>
  <c r="DP10" i="6"/>
  <c r="DT10" i="6"/>
  <c r="BN25" i="6"/>
  <c r="BN27" i="6"/>
  <c r="BH44" i="6"/>
  <c r="BH21" i="6"/>
  <c r="BH46" i="6"/>
  <c r="BH226" i="6" s="1"/>
  <c r="BH227" i="6" s="1"/>
  <c r="BT10" i="6"/>
  <c r="DQ9" i="6"/>
  <c r="T76" i="6"/>
  <c r="AL76" i="6" s="1"/>
  <c r="AL71" i="6"/>
  <c r="R215" i="6"/>
  <c r="R216" i="6" s="1"/>
  <c r="CF199" i="6"/>
  <c r="R201" i="6"/>
  <c r="R207" i="6"/>
  <c r="R212" i="6"/>
  <c r="R209" i="6"/>
  <c r="AL80" i="6"/>
  <c r="CE50" i="6"/>
  <c r="EO70" i="6"/>
  <c r="CR75" i="6"/>
  <c r="CF25" i="6"/>
  <c r="CF27" i="6"/>
  <c r="BP44" i="6"/>
  <c r="BP21" i="6"/>
  <c r="DM18" i="6"/>
  <c r="BP46" i="6"/>
  <c r="BP226" i="6" s="1"/>
  <c r="BP227" i="6" s="1"/>
  <c r="BP51" i="6"/>
  <c r="DQ18" i="6"/>
  <c r="CZ42" i="6"/>
  <c r="CZ41" i="6"/>
  <c r="EW14" i="6"/>
  <c r="S39" i="6"/>
  <c r="AK10" i="6"/>
  <c r="Q53" i="6"/>
  <c r="AI52" i="6"/>
  <c r="S77" i="6"/>
  <c r="AK77" i="6" s="1"/>
  <c r="AK74" i="6"/>
  <c r="CR25" i="6"/>
  <c r="CR27" i="6"/>
  <c r="DY21" i="6"/>
  <c r="CK25" i="6"/>
  <c r="CK27" i="6"/>
  <c r="BT25" i="6"/>
  <c r="BT27" i="6"/>
  <c r="BR225" i="6"/>
  <c r="BR224" i="6"/>
  <c r="BR45" i="6"/>
  <c r="DO21" i="6"/>
  <c r="BR23" i="6"/>
  <c r="U9" i="6"/>
  <c r="AM9" i="6" s="1"/>
  <c r="R44" i="6"/>
  <c r="AJ18" i="6"/>
  <c r="R46" i="6"/>
  <c r="R226" i="6" s="1"/>
  <c r="R227" i="6" s="1"/>
  <c r="EC85" i="6"/>
  <c r="CF84" i="6"/>
  <c r="CF82" i="6"/>
  <c r="EC82" i="6" s="1"/>
  <c r="CF80" i="6"/>
  <c r="CF81" i="6"/>
  <c r="EC81" i="6" s="1"/>
  <c r="P39" i="6"/>
  <c r="CH225" i="6"/>
  <c r="CH224" i="6"/>
  <c r="EE21" i="6"/>
  <c r="CH23" i="6"/>
  <c r="CH45" i="6"/>
  <c r="CX89" i="6"/>
  <c r="CX91" i="6" s="1"/>
  <c r="CX82" i="6"/>
  <c r="EU82" i="6" s="1"/>
  <c r="BG25" i="6"/>
  <c r="BG29" i="6" s="1"/>
  <c r="BG50" i="6" s="1"/>
  <c r="BG27" i="6"/>
  <c r="CL25" i="6"/>
  <c r="CL27" i="6"/>
  <c r="CV10" i="6"/>
  <c r="ES9" i="6"/>
  <c r="CG225" i="6"/>
  <c r="CG224" i="6"/>
  <c r="ED21" i="6"/>
  <c r="CG23" i="6"/>
  <c r="S21" i="6"/>
  <c r="CG45" i="6"/>
  <c r="EO21" i="6"/>
  <c r="DU9" i="6"/>
  <c r="CM225" i="6"/>
  <c r="CM224" i="6"/>
  <c r="EJ21" i="6"/>
  <c r="CM45" i="6"/>
  <c r="CM23" i="6"/>
  <c r="T21" i="6"/>
  <c r="AK52" i="6"/>
  <c r="S53" i="6"/>
  <c r="CN75" i="6"/>
  <c r="EK70" i="6"/>
  <c r="CN74" i="6"/>
  <c r="CN71" i="6"/>
  <c r="EK69" i="6"/>
  <c r="BL21" i="6"/>
  <c r="BL44" i="6"/>
  <c r="DI18" i="6"/>
  <c r="BL46" i="6"/>
  <c r="BL226" i="6" s="1"/>
  <c r="BL227" i="6" s="1"/>
  <c r="BL51" i="6"/>
  <c r="M225" i="6"/>
  <c r="M224" i="6"/>
  <c r="M45" i="6"/>
  <c r="AE21" i="6"/>
  <c r="M23" i="6"/>
  <c r="AL81" i="6"/>
  <c r="X165" i="6"/>
  <c r="X72" i="6"/>
  <c r="X55" i="6"/>
  <c r="X14" i="6"/>
  <c r="X10" i="6"/>
  <c r="AP10" i="6" s="1"/>
  <c r="AP6" i="6"/>
  <c r="Y7" i="6"/>
  <c r="AQ8" i="6"/>
  <c r="CQ39" i="6"/>
  <c r="EN10" i="6"/>
  <c r="U10" i="6"/>
  <c r="BI225" i="6"/>
  <c r="BI224" i="6"/>
  <c r="DF21" i="6"/>
  <c r="BI23" i="6"/>
  <c r="BI45" i="6"/>
  <c r="CU39" i="6"/>
  <c r="ER10" i="6"/>
  <c r="EV10" i="6"/>
  <c r="CV75" i="6"/>
  <c r="ES70" i="6"/>
  <c r="BS25" i="6"/>
  <c r="BS27" i="6"/>
  <c r="AH9" i="6"/>
  <c r="CB39" i="6"/>
  <c r="DY10" i="6"/>
  <c r="EC10" i="6"/>
  <c r="O44" i="6"/>
  <c r="AG18" i="6"/>
  <c r="O46" i="6"/>
  <c r="O226" i="6" s="1"/>
  <c r="O227" i="6" s="1"/>
  <c r="BP53" i="6"/>
  <c r="DM52" i="6"/>
  <c r="U77" i="6"/>
  <c r="AM77" i="6" s="1"/>
  <c r="AM74" i="6"/>
  <c r="EC70" i="6"/>
  <c r="CF75" i="6"/>
  <c r="DV21" i="6"/>
  <c r="EI21" i="6"/>
  <c r="AH18" i="6"/>
  <c r="P44" i="6"/>
  <c r="P46" i="6"/>
  <c r="P226" i="6" s="1"/>
  <c r="P227" i="6" s="1"/>
  <c r="CS225" i="6"/>
  <c r="CS224" i="6"/>
  <c r="EP21" i="6"/>
  <c r="V21" i="6"/>
  <c r="CS23" i="6"/>
  <c r="CS45" i="6"/>
  <c r="CU224" i="6"/>
  <c r="CU225" i="6"/>
  <c r="CU45" i="6"/>
  <c r="CU23" i="6"/>
  <c r="ER21" i="6"/>
  <c r="CR224" i="6"/>
  <c r="AM18" i="6"/>
  <c r="U44" i="6"/>
  <c r="U46" i="6"/>
  <c r="U226" i="6" s="1"/>
  <c r="U227" i="6" s="1"/>
  <c r="BF225" i="6"/>
  <c r="BF224" i="6"/>
  <c r="BF45" i="6"/>
  <c r="BF23" i="6"/>
  <c r="AN74" i="6"/>
  <c r="V77" i="6"/>
  <c r="U238" i="6"/>
  <c r="T237" i="6"/>
  <c r="AJ74" i="6"/>
  <c r="R77" i="6"/>
  <c r="AJ77" i="6" s="1"/>
  <c r="AK9" i="6"/>
  <c r="AL9" i="6"/>
  <c r="V86" i="6"/>
  <c r="CV86" i="6" s="1"/>
  <c r="AN8" i="6"/>
  <c r="V7" i="6"/>
  <c r="AN7" i="6" s="1"/>
  <c r="V84" i="6" s="1"/>
  <c r="V85" i="6" s="1"/>
  <c r="AL75" i="6"/>
  <c r="EV12" i="6"/>
  <c r="CY13" i="6"/>
  <c r="CA154" i="6"/>
  <c r="CA155" i="6" s="1"/>
  <c r="BZ154" i="6"/>
  <c r="BZ155" i="6" s="1"/>
  <c r="BY154" i="6"/>
  <c r="BY155" i="6" s="1"/>
  <c r="T77" i="6"/>
  <c r="AL74" i="6"/>
  <c r="CV45" i="6"/>
  <c r="ES21" i="6"/>
  <c r="CV23" i="6"/>
  <c r="EG85" i="6"/>
  <c r="CJ81" i="6"/>
  <c r="CJ80" i="6"/>
  <c r="EG80" i="6" s="1"/>
  <c r="CJ82" i="6"/>
  <c r="EG82" i="6" s="1"/>
  <c r="CJ84" i="6"/>
  <c r="CN84" i="6"/>
  <c r="CN82" i="6"/>
  <c r="EK82" i="6" s="1"/>
  <c r="EK85" i="6"/>
  <c r="CN81" i="6"/>
  <c r="CN80" i="6"/>
  <c r="EK80" i="6" s="1"/>
  <c r="Q39" i="6"/>
  <c r="AI10" i="6"/>
  <c r="DQ52" i="6"/>
  <c r="BT53" i="6"/>
  <c r="BL53" i="6"/>
  <c r="DI52" i="6"/>
  <c r="BJ225" i="6"/>
  <c r="BJ224" i="6"/>
  <c r="DG21" i="6"/>
  <c r="BJ23" i="6"/>
  <c r="BJ45" i="6"/>
  <c r="CQ25" i="6"/>
  <c r="CQ27" i="6"/>
  <c r="A81" i="6"/>
  <c r="AM81" i="6"/>
  <c r="AK80" i="6"/>
  <c r="CS25" i="6" l="1"/>
  <c r="V23" i="6"/>
  <c r="CS27" i="6"/>
  <c r="BS29" i="6"/>
  <c r="Y57" i="6"/>
  <c r="AQ57" i="6" s="1"/>
  <c r="S225" i="6"/>
  <c r="S224" i="6"/>
  <c r="S45" i="6"/>
  <c r="AK21" i="6"/>
  <c r="S23" i="6"/>
  <c r="CV39" i="6"/>
  <c r="ES10" i="6"/>
  <c r="CF201" i="6"/>
  <c r="CF203" i="6" s="1"/>
  <c r="R203" i="6"/>
  <c r="DQ10" i="6"/>
  <c r="BT39" i="6"/>
  <c r="BW27" i="6"/>
  <c r="DT27" i="6" s="1"/>
  <c r="BW25" i="6"/>
  <c r="EO82" i="6"/>
  <c r="CZ75" i="6"/>
  <c r="EW70" i="6"/>
  <c r="CN27" i="6"/>
  <c r="EK27" i="6" s="1"/>
  <c r="CN25" i="6"/>
  <c r="EO25" i="6" s="1"/>
  <c r="L29" i="6"/>
  <c r="CI154" i="6"/>
  <c r="CI155" i="6" s="1"/>
  <c r="CH154" i="6"/>
  <c r="CH155" i="6" s="1"/>
  <c r="CG154" i="6"/>
  <c r="CG155" i="6" s="1"/>
  <c r="CJ154" i="6"/>
  <c r="CJ155" i="6" s="1"/>
  <c r="CU27" i="6"/>
  <c r="CU25" i="6"/>
  <c r="X122" i="6"/>
  <c r="BL225" i="6"/>
  <c r="BL224" i="6"/>
  <c r="BL45" i="6"/>
  <c r="DI21" i="6"/>
  <c r="BL23" i="6"/>
  <c r="CG25" i="6"/>
  <c r="CG27" i="6"/>
  <c r="ED27" i="6" s="1"/>
  <c r="CK29" i="6"/>
  <c r="CF215" i="6"/>
  <c r="CF216" i="6" s="1"/>
  <c r="CF207" i="6"/>
  <c r="CF209" i="6"/>
  <c r="CF212" i="6"/>
  <c r="CF227" i="6"/>
  <c r="CF225" i="6"/>
  <c r="CB89" i="6"/>
  <c r="DY80" i="6"/>
  <c r="U225" i="6"/>
  <c r="U224" i="6"/>
  <c r="U23" i="6"/>
  <c r="AM21" i="6"/>
  <c r="U45" i="6"/>
  <c r="K25" i="6"/>
  <c r="AD25" i="6" s="1"/>
  <c r="K27" i="6"/>
  <c r="AC27" i="6" s="1"/>
  <c r="K159" i="6"/>
  <c r="CW52" i="6"/>
  <c r="CX48" i="6"/>
  <c r="CW47" i="6"/>
  <c r="CW43" i="6"/>
  <c r="ET16" i="6"/>
  <c r="CW18" i="6"/>
  <c r="CJ27" i="6"/>
  <c r="EG27" i="6" s="1"/>
  <c r="CJ25" i="6"/>
  <c r="Y69" i="6"/>
  <c r="X74" i="6"/>
  <c r="EN25" i="6"/>
  <c r="CQ29" i="6"/>
  <c r="CY40" i="6"/>
  <c r="CY16" i="6"/>
  <c r="EV13" i="6"/>
  <c r="AN77" i="6"/>
  <c r="BI25" i="6"/>
  <c r="BI27" i="6"/>
  <c r="CL29" i="6"/>
  <c r="EC27" i="6"/>
  <c r="CR39" i="6"/>
  <c r="EO10" i="6"/>
  <c r="CO27" i="6"/>
  <c r="EL27" i="6" s="1"/>
  <c r="CO25" i="6"/>
  <c r="BY29" i="6"/>
  <c r="BQ27" i="6"/>
  <c r="DN27" i="6" s="1"/>
  <c r="BQ25" i="6"/>
  <c r="N25" i="6"/>
  <c r="N27" i="6"/>
  <c r="N159" i="6"/>
  <c r="H25" i="6"/>
  <c r="H29" i="6" s="1"/>
  <c r="H27" i="6"/>
  <c r="H159" i="6"/>
  <c r="CV76" i="6"/>
  <c r="ES71" i="6"/>
  <c r="CZ74" i="6"/>
  <c r="EW69" i="6"/>
  <c r="CZ71" i="6"/>
  <c r="CJ77" i="6"/>
  <c r="EK81" i="6"/>
  <c r="V10" i="6"/>
  <c r="EK71" i="6"/>
  <c r="CN76" i="6"/>
  <c r="T224" i="6"/>
  <c r="T225" i="6"/>
  <c r="T23" i="6"/>
  <c r="AL21" i="6"/>
  <c r="T45" i="6"/>
  <c r="EC80" i="6"/>
  <c r="EO27" i="6"/>
  <c r="CF29" i="6"/>
  <c r="EC25" i="6"/>
  <c r="DJ27" i="6"/>
  <c r="CB90" i="6"/>
  <c r="DY81" i="6"/>
  <c r="BX27" i="6"/>
  <c r="DU27" i="6" s="1"/>
  <c r="BX25" i="6"/>
  <c r="DY25" i="6" s="1"/>
  <c r="Q25" i="6"/>
  <c r="Q27" i="6"/>
  <c r="Q159" i="6"/>
  <c r="CR76" i="6"/>
  <c r="EO71" i="6"/>
  <c r="BV27" i="6"/>
  <c r="BV25" i="6"/>
  <c r="CT27" i="6"/>
  <c r="CT25" i="6"/>
  <c r="CJ76" i="6"/>
  <c r="EG71" i="6"/>
  <c r="BU25" i="6"/>
  <c r="DV25" i="6" s="1"/>
  <c r="BU27" i="6"/>
  <c r="DV27" i="6" s="1"/>
  <c r="CV27" i="6"/>
  <c r="CV25" i="6"/>
  <c r="U230" i="6"/>
  <c r="T242" i="6"/>
  <c r="AM10" i="6"/>
  <c r="U39" i="6"/>
  <c r="Y85" i="6"/>
  <c r="X71" i="6"/>
  <c r="AP72" i="6"/>
  <c r="EH27" i="6"/>
  <c r="BP225" i="6"/>
  <c r="BP224" i="6"/>
  <c r="DM21" i="6"/>
  <c r="BP45" i="6"/>
  <c r="BP23" i="6"/>
  <c r="DQ21" i="6"/>
  <c r="O10" i="6"/>
  <c r="AG52" i="6"/>
  <c r="O53" i="6"/>
  <c r="CC27" i="6"/>
  <c r="DZ27" i="6" s="1"/>
  <c r="CC25" i="6"/>
  <c r="W76" i="6"/>
  <c r="AO76" i="6" s="1"/>
  <c r="AO71" i="6"/>
  <c r="AO74" i="6"/>
  <c r="U237" i="6"/>
  <c r="V238" i="6"/>
  <c r="V225" i="6"/>
  <c r="V224" i="6"/>
  <c r="V45" i="6"/>
  <c r="AN21" i="6"/>
  <c r="EI27" i="6"/>
  <c r="EC71" i="6"/>
  <c r="CF76" i="6"/>
  <c r="CF77" i="6" s="1"/>
  <c r="O225" i="6"/>
  <c r="O224" i="6"/>
  <c r="O45" i="6"/>
  <c r="O23" i="6"/>
  <c r="AG21" i="6"/>
  <c r="BK27" i="6"/>
  <c r="DH27" i="6" s="1"/>
  <c r="BK25" i="6"/>
  <c r="CX52" i="6"/>
  <c r="CX47" i="6"/>
  <c r="EU16" i="6"/>
  <c r="CX18" i="6"/>
  <c r="CX43" i="6"/>
  <c r="BO25" i="6"/>
  <c r="BO27" i="6"/>
  <c r="DL27" i="6" s="1"/>
  <c r="CV77" i="6"/>
  <c r="BE27" i="6"/>
  <c r="BE25" i="6"/>
  <c r="BE29" i="6" s="1"/>
  <c r="BE50" i="6" s="1"/>
  <c r="CH27" i="6"/>
  <c r="EE27" i="6" s="1"/>
  <c r="CH25" i="6"/>
  <c r="BH225" i="6"/>
  <c r="BH224" i="6"/>
  <c r="BH45" i="6"/>
  <c r="BH23" i="6"/>
  <c r="BJ27" i="6"/>
  <c r="BJ25" i="6"/>
  <c r="EG81" i="6"/>
  <c r="AL77" i="6"/>
  <c r="BF27" i="6"/>
  <c r="BF25" i="6"/>
  <c r="BF29" i="6" s="1"/>
  <c r="BF50" i="6" s="1"/>
  <c r="X9" i="6"/>
  <c r="X246" i="6"/>
  <c r="AP14" i="6"/>
  <c r="X2" i="6"/>
  <c r="M25" i="6"/>
  <c r="M27" i="6"/>
  <c r="AE27" i="6" s="1"/>
  <c r="M159" i="6"/>
  <c r="CN77" i="6"/>
  <c r="CM25" i="6"/>
  <c r="CM27" i="6"/>
  <c r="EJ27" i="6" s="1"/>
  <c r="CR29" i="6"/>
  <c r="DK27" i="6"/>
  <c r="BM29" i="6"/>
  <c r="EO81" i="6"/>
  <c r="DU10" i="6"/>
  <c r="EM25" i="6"/>
  <c r="CP29" i="6"/>
  <c r="DW27" i="6"/>
  <c r="J27" i="6"/>
  <c r="AB27" i="6" s="1"/>
  <c r="J25" i="6"/>
  <c r="J159" i="6"/>
  <c r="P225" i="6"/>
  <c r="P224" i="6"/>
  <c r="P45" i="6"/>
  <c r="P23" i="6"/>
  <c r="AH21" i="6"/>
  <c r="I27" i="6"/>
  <c r="I25" i="6"/>
  <c r="I159" i="6"/>
  <c r="AN85" i="6"/>
  <c r="V82" i="6"/>
  <c r="AN82" i="6" s="1"/>
  <c r="V81" i="6"/>
  <c r="CV85" i="6"/>
  <c r="V80" i="6"/>
  <c r="DP27" i="6"/>
  <c r="Y6" i="6"/>
  <c r="AP55" i="6"/>
  <c r="Y56" i="6"/>
  <c r="AQ58" i="6"/>
  <c r="BR27" i="6"/>
  <c r="DO27" i="6" s="1"/>
  <c r="BR25" i="6"/>
  <c r="BT29" i="6"/>
  <c r="BN29" i="6"/>
  <c r="DK25" i="6"/>
  <c r="CA25" i="6"/>
  <c r="CA27" i="6"/>
  <c r="CI27" i="6"/>
  <c r="EF27" i="6" s="1"/>
  <c r="CI25" i="6"/>
  <c r="EA25" i="6"/>
  <c r="CD29" i="6"/>
  <c r="EO80" i="6"/>
  <c r="CR77" i="6"/>
  <c r="X75" i="6"/>
  <c r="AP75" i="6" s="1"/>
  <c r="Y70" i="6"/>
  <c r="R225" i="6"/>
  <c r="R224" i="6"/>
  <c r="R45" i="6"/>
  <c r="AJ21" i="6"/>
  <c r="R23" i="6"/>
  <c r="EM27" i="6"/>
  <c r="AM76" i="6"/>
  <c r="AI77" i="6"/>
  <c r="BZ29" i="6"/>
  <c r="DW25" i="6"/>
  <c r="CB29" i="6"/>
  <c r="AN9" i="6"/>
  <c r="CM29" i="6" l="1"/>
  <c r="EN29" i="6" s="1"/>
  <c r="EJ25" i="6"/>
  <c r="EU52" i="6"/>
  <c r="CX53" i="6"/>
  <c r="EN27" i="6"/>
  <c r="S25" i="6"/>
  <c r="S27" i="6"/>
  <c r="S159" i="6"/>
  <c r="EA29" i="6"/>
  <c r="CD50" i="6"/>
  <c r="AN80" i="6"/>
  <c r="W80" i="6"/>
  <c r="I29" i="6"/>
  <c r="AA25" i="6"/>
  <c r="CP50" i="6"/>
  <c r="EM29" i="6"/>
  <c r="BJ29" i="6"/>
  <c r="DG25" i="6"/>
  <c r="CH29" i="6"/>
  <c r="EE25" i="6"/>
  <c r="BO29" i="6"/>
  <c r="DL25" i="6"/>
  <c r="BK29" i="6"/>
  <c r="DH25" i="6"/>
  <c r="DY27" i="6"/>
  <c r="X76" i="6"/>
  <c r="AP76" i="6" s="1"/>
  <c r="AP71" i="6"/>
  <c r="ES25" i="6"/>
  <c r="CV29" i="6"/>
  <c r="CT29" i="6"/>
  <c r="EQ25" i="6"/>
  <c r="BY50" i="6"/>
  <c r="BL27" i="6"/>
  <c r="DI27" i="6" s="1"/>
  <c r="BL25" i="6"/>
  <c r="DP25" i="6"/>
  <c r="DX27" i="6"/>
  <c r="EB27" i="6"/>
  <c r="Y165" i="6"/>
  <c r="Y72" i="6"/>
  <c r="Y55" i="6"/>
  <c r="AQ55" i="6" s="1"/>
  <c r="Y10" i="6"/>
  <c r="AQ10" i="6" s="1"/>
  <c r="Y14" i="6"/>
  <c r="Y9" i="6"/>
  <c r="AQ6" i="6"/>
  <c r="AW6" i="6"/>
  <c r="BM50" i="6"/>
  <c r="CF50" i="6"/>
  <c r="EC29" i="6"/>
  <c r="BQ29" i="6"/>
  <c r="DN25" i="6"/>
  <c r="BI29" i="6"/>
  <c r="DF25" i="6"/>
  <c r="CC29" i="6"/>
  <c r="DZ25" i="6"/>
  <c r="BP27" i="6"/>
  <c r="BP25" i="6"/>
  <c r="EW71" i="6"/>
  <c r="CZ76" i="6"/>
  <c r="X77" i="6"/>
  <c r="AP77" i="6" s="1"/>
  <c r="AP74" i="6"/>
  <c r="CG29" i="6"/>
  <c r="ED25" i="6"/>
  <c r="BS50" i="6"/>
  <c r="DP29" i="6"/>
  <c r="BN50" i="6"/>
  <c r="DK29" i="6"/>
  <c r="ES85" i="6"/>
  <c r="CV81" i="6"/>
  <c r="ES81" i="6" s="1"/>
  <c r="CV80" i="6"/>
  <c r="ES80" i="6" s="1"/>
  <c r="CV84" i="6"/>
  <c r="CV82" i="6"/>
  <c r="ES82" i="6" s="1"/>
  <c r="AA27" i="6"/>
  <c r="AP9" i="6"/>
  <c r="DG27" i="6"/>
  <c r="AQ85" i="6"/>
  <c r="ES27" i="6"/>
  <c r="EW36" i="6"/>
  <c r="EQ27" i="6"/>
  <c r="EU36" i="6"/>
  <c r="CZ77" i="6"/>
  <c r="EI25" i="6"/>
  <c r="CY52" i="6"/>
  <c r="CY47" i="6"/>
  <c r="EV16" i="6"/>
  <c r="CY18" i="6"/>
  <c r="CY43" i="6"/>
  <c r="EG25" i="6"/>
  <c r="CJ29" i="6"/>
  <c r="CB91" i="6"/>
  <c r="EP27" i="6"/>
  <c r="ET36" i="6"/>
  <c r="DO25" i="6"/>
  <c r="BR29" i="6"/>
  <c r="V230" i="6"/>
  <c r="U242" i="6"/>
  <c r="DU25" i="6"/>
  <c r="BX29" i="6"/>
  <c r="CN154" i="6"/>
  <c r="CN155" i="6" s="1"/>
  <c r="CM154" i="6"/>
  <c r="CM155" i="6" s="1"/>
  <c r="CP154" i="6" s="1"/>
  <c r="CP155" i="6" s="1"/>
  <c r="CL154" i="6"/>
  <c r="CL155" i="6" s="1"/>
  <c r="CK154" i="6"/>
  <c r="CK155" i="6" s="1"/>
  <c r="CN29" i="6"/>
  <c r="EK25" i="6"/>
  <c r="BZ50" i="6"/>
  <c r="CA29" i="6"/>
  <c r="DX25" i="6"/>
  <c r="EB25" i="6"/>
  <c r="DJ25" i="6"/>
  <c r="CB50" i="6"/>
  <c r="DY29" i="6"/>
  <c r="Y75" i="6"/>
  <c r="AQ75" i="6" s="1"/>
  <c r="CI29" i="6"/>
  <c r="EF25" i="6"/>
  <c r="AN81" i="6"/>
  <c r="W81" i="6"/>
  <c r="AB25" i="6"/>
  <c r="J29" i="6"/>
  <c r="CR50" i="6"/>
  <c r="EO29" i="6"/>
  <c r="BH25" i="6"/>
  <c r="BH29" i="6" s="1"/>
  <c r="BH50" i="6" s="1"/>
  <c r="BH27" i="6"/>
  <c r="CX44" i="6"/>
  <c r="EU18" i="6"/>
  <c r="CX19" i="6"/>
  <c r="EU19" i="6" s="1"/>
  <c r="CX21" i="6"/>
  <c r="W77" i="6"/>
  <c r="AO77" i="6" s="1"/>
  <c r="DR27" i="6"/>
  <c r="BV29" i="6"/>
  <c r="DW29" i="6" s="1"/>
  <c r="DS25" i="6"/>
  <c r="V39" i="6"/>
  <c r="AN10" i="6"/>
  <c r="AO10" i="6"/>
  <c r="AF27" i="6"/>
  <c r="CO29" i="6"/>
  <c r="EL25" i="6"/>
  <c r="CL50" i="6"/>
  <c r="EI29" i="6"/>
  <c r="ET52" i="6"/>
  <c r="CW53" i="6"/>
  <c r="CK50" i="6"/>
  <c r="CU29" i="6"/>
  <c r="ER25" i="6"/>
  <c r="V27" i="6"/>
  <c r="V159" i="6"/>
  <c r="AC25" i="6"/>
  <c r="K29" i="6"/>
  <c r="AD27" i="6"/>
  <c r="R25" i="6"/>
  <c r="R27" i="6"/>
  <c r="AJ27" i="6" s="1"/>
  <c r="R159" i="6"/>
  <c r="BT50" i="6"/>
  <c r="P27" i="6"/>
  <c r="AH27" i="6" s="1"/>
  <c r="P25" i="6"/>
  <c r="P159" i="6"/>
  <c r="M29" i="6"/>
  <c r="AE25" i="6"/>
  <c r="O27" i="6"/>
  <c r="AG27" i="6" s="1"/>
  <c r="O25" i="6"/>
  <c r="O159" i="6"/>
  <c r="V237" i="6"/>
  <c r="AG10" i="6"/>
  <c r="O39" i="6"/>
  <c r="AH10" i="6"/>
  <c r="BU29" i="6"/>
  <c r="DR25" i="6"/>
  <c r="DS27" i="6"/>
  <c r="Q29" i="6"/>
  <c r="T25" i="6"/>
  <c r="T27" i="6"/>
  <c r="AL27" i="6" s="1"/>
  <c r="T159" i="6"/>
  <c r="N29" i="6"/>
  <c r="AF25" i="6"/>
  <c r="DF27" i="6"/>
  <c r="CQ50" i="6"/>
  <c r="CW44" i="6"/>
  <c r="CW19" i="6"/>
  <c r="ET19" i="6" s="1"/>
  <c r="ET18" i="6"/>
  <c r="U27" i="6"/>
  <c r="U25" i="6"/>
  <c r="U159" i="6"/>
  <c r="EH25" i="6"/>
  <c r="ER27" i="6"/>
  <c r="EV36" i="6"/>
  <c r="L50" i="6"/>
  <c r="AD29" i="6"/>
  <c r="BW29" i="6"/>
  <c r="DT25" i="6"/>
  <c r="CS29" i="6"/>
  <c r="EP25" i="6"/>
  <c r="V25" i="6"/>
  <c r="CO50" i="6" l="1"/>
  <c r="EL29" i="6"/>
  <c r="J50" i="6"/>
  <c r="AB29" i="6"/>
  <c r="CG50" i="6"/>
  <c r="ED29" i="6"/>
  <c r="BQ50" i="6"/>
  <c r="DN29" i="6"/>
  <c r="AQ72" i="6"/>
  <c r="Y71" i="6"/>
  <c r="S29" i="6"/>
  <c r="AK25" i="6"/>
  <c r="BW50" i="6"/>
  <c r="DT29" i="6"/>
  <c r="W230" i="6"/>
  <c r="W237" i="6" s="1"/>
  <c r="V242" i="6"/>
  <c r="BR50" i="6"/>
  <c r="DO29" i="6"/>
  <c r="AN27" i="6"/>
  <c r="AO36" i="6"/>
  <c r="CO154" i="6"/>
  <c r="CO155" i="6" s="1"/>
  <c r="CR154" i="6"/>
  <c r="CR155" i="6" s="1"/>
  <c r="CQ154" i="6"/>
  <c r="CQ155" i="6" s="1"/>
  <c r="O29" i="6"/>
  <c r="AG25" i="6"/>
  <c r="CW21" i="6"/>
  <c r="Q50" i="6"/>
  <c r="AI29" i="6"/>
  <c r="K50" i="6"/>
  <c r="AC29" i="6"/>
  <c r="CU50" i="6"/>
  <c r="ER29" i="6"/>
  <c r="EU21" i="6"/>
  <c r="CX45" i="6"/>
  <c r="CX23" i="6"/>
  <c r="CN50" i="6"/>
  <c r="EK29" i="6"/>
  <c r="BI50" i="6"/>
  <c r="DF29" i="6"/>
  <c r="DJ29" i="6"/>
  <c r="N50" i="6"/>
  <c r="AF29" i="6"/>
  <c r="M50" i="6"/>
  <c r="AE29" i="6"/>
  <c r="CA50" i="6"/>
  <c r="DX29" i="6"/>
  <c r="EB29" i="6"/>
  <c r="CJ50" i="6"/>
  <c r="EG29" i="6"/>
  <c r="DM27" i="6"/>
  <c r="DQ27" i="6"/>
  <c r="DI25" i="6"/>
  <c r="BL29" i="6"/>
  <c r="CT50" i="6"/>
  <c r="EQ29" i="6"/>
  <c r="W89" i="6"/>
  <c r="X80" i="6"/>
  <c r="CZ80" i="6"/>
  <c r="W82" i="6"/>
  <c r="CM50" i="6"/>
  <c r="EJ29" i="6"/>
  <c r="BV50" i="6"/>
  <c r="DS29" i="6"/>
  <c r="CY53" i="6"/>
  <c r="EV52" i="6"/>
  <c r="AQ9" i="6"/>
  <c r="Y122" i="6"/>
  <c r="ES29" i="6"/>
  <c r="CV50" i="6"/>
  <c r="BK50" i="6"/>
  <c r="DH29" i="6"/>
  <c r="BJ50" i="6"/>
  <c r="DG29" i="6"/>
  <c r="U29" i="6"/>
  <c r="AM25" i="6"/>
  <c r="BU50" i="6"/>
  <c r="DR29" i="6"/>
  <c r="P29" i="6"/>
  <c r="AH25" i="6"/>
  <c r="R29" i="6"/>
  <c r="AJ25" i="6"/>
  <c r="W90" i="6"/>
  <c r="X81" i="6"/>
  <c r="CZ81" i="6"/>
  <c r="CC50" i="6"/>
  <c r="DZ29" i="6"/>
  <c r="Y246" i="6"/>
  <c r="AQ14" i="6"/>
  <c r="Y2" i="6"/>
  <c r="Y74" i="6"/>
  <c r="V29" i="6"/>
  <c r="AN25" i="6"/>
  <c r="AM27" i="6"/>
  <c r="T29" i="6"/>
  <c r="AL25" i="6"/>
  <c r="BX50" i="6"/>
  <c r="DU29" i="6"/>
  <c r="CY44" i="6"/>
  <c r="EV18" i="6"/>
  <c r="CY21" i="6"/>
  <c r="CY19" i="6"/>
  <c r="EV19" i="6" s="1"/>
  <c r="DV29" i="6"/>
  <c r="BO50" i="6"/>
  <c r="DL29" i="6"/>
  <c r="CS50" i="6"/>
  <c r="EP29" i="6"/>
  <c r="AI25" i="6"/>
  <c r="EH29" i="6"/>
  <c r="AI27" i="6"/>
  <c r="CI50" i="6"/>
  <c r="EF29" i="6"/>
  <c r="BP29" i="6"/>
  <c r="DM25" i="6"/>
  <c r="DQ25" i="6"/>
  <c r="CH50" i="6"/>
  <c r="EE29" i="6"/>
  <c r="I50" i="6"/>
  <c r="AA29" i="6"/>
  <c r="AK27" i="6"/>
  <c r="EV21" i="6" l="1"/>
  <c r="CY45" i="6"/>
  <c r="CY23" i="6"/>
  <c r="X90" i="6"/>
  <c r="Y81" i="6"/>
  <c r="Y90" i="6" s="1"/>
  <c r="DI29" i="6"/>
  <c r="BL50" i="6"/>
  <c r="AN29" i="6"/>
  <c r="V50" i="6"/>
  <c r="AJ29" i="6"/>
  <c r="R50" i="6"/>
  <c r="X89" i="6"/>
  <c r="Y80" i="6"/>
  <c r="X82" i="6"/>
  <c r="W241" i="6"/>
  <c r="X230" i="6"/>
  <c r="X237" i="6" s="1"/>
  <c r="DM29" i="6"/>
  <c r="BP50" i="6"/>
  <c r="DQ29" i="6"/>
  <c r="AG29" i="6"/>
  <c r="O50" i="6"/>
  <c r="CZ82" i="6"/>
  <c r="EW82" i="6" s="1"/>
  <c r="AO82" i="6"/>
  <c r="W91" i="6"/>
  <c r="CX25" i="6"/>
  <c r="CX27" i="6"/>
  <c r="EU27" i="6" s="1"/>
  <c r="AK29" i="6"/>
  <c r="S50" i="6"/>
  <c r="AM29" i="6"/>
  <c r="U50" i="6"/>
  <c r="CZ89" i="6"/>
  <c r="EW80" i="6"/>
  <c r="CT154" i="6"/>
  <c r="CT155" i="6" s="1"/>
  <c r="CS154" i="6"/>
  <c r="CV154" i="6"/>
  <c r="CV155" i="6" s="1"/>
  <c r="CZ154" i="6" s="1"/>
  <c r="AQ71" i="6"/>
  <c r="Y76" i="6"/>
  <c r="AQ76" i="6" s="1"/>
  <c r="Y77" i="6"/>
  <c r="AQ77" i="6" s="1"/>
  <c r="AQ74" i="6"/>
  <c r="EW81" i="6"/>
  <c r="CZ90" i="6"/>
  <c r="AH29" i="6"/>
  <c r="P50" i="6"/>
  <c r="CW45" i="6"/>
  <c r="ET21" i="6"/>
  <c r="CW23" i="6"/>
  <c r="AL29" i="6"/>
  <c r="T50" i="6"/>
  <c r="CU154" i="6" l="1"/>
  <c r="CU155" i="6" s="1"/>
  <c r="CS155" i="6"/>
  <c r="Y230" i="6"/>
  <c r="Y237" i="6" s="1"/>
  <c r="X241" i="6"/>
  <c r="X111" i="6" s="1"/>
  <c r="X11" i="6" s="1"/>
  <c r="W111" i="6"/>
  <c r="W238" i="6"/>
  <c r="CZ91" i="6"/>
  <c r="CX29" i="6"/>
  <c r="EU25" i="6"/>
  <c r="AP82" i="6"/>
  <c r="X91" i="6"/>
  <c r="CY25" i="6"/>
  <c r="CY27" i="6"/>
  <c r="EV27" i="6" s="1"/>
  <c r="CW25" i="6"/>
  <c r="CW27" i="6"/>
  <c r="ET27" i="6" s="1"/>
  <c r="Y89" i="6"/>
  <c r="Y82" i="6"/>
  <c r="AU11" i="6" l="1"/>
  <c r="AU12" i="6" s="1"/>
  <c r="AU13" i="6" s="1"/>
  <c r="X12" i="6"/>
  <c r="Y241" i="6"/>
  <c r="Y111" i="6" s="1"/>
  <c r="Y11" i="6" s="1"/>
  <c r="X238" i="6"/>
  <c r="W239" i="6"/>
  <c r="W170" i="6" s="1"/>
  <c r="CZ170" i="6" s="1"/>
  <c r="AQ82" i="6"/>
  <c r="Y91" i="6"/>
  <c r="ET25" i="6"/>
  <c r="CW29" i="6"/>
  <c r="CX50" i="6"/>
  <c r="EU29" i="6"/>
  <c r="CY29" i="6"/>
  <c r="EV25" i="6"/>
  <c r="CZ111" i="6"/>
  <c r="W11" i="6"/>
  <c r="Y238" i="6" l="1"/>
  <c r="Y239" i="6" s="1"/>
  <c r="Y170" i="6" s="1"/>
  <c r="X239" i="6"/>
  <c r="X170" i="6" s="1"/>
  <c r="ET29" i="6"/>
  <c r="CW50" i="6"/>
  <c r="X179" i="6"/>
  <c r="X166" i="6"/>
  <c r="X13" i="6"/>
  <c r="AQ11" i="6"/>
  <c r="Y12" i="6"/>
  <c r="CY50" i="6"/>
  <c r="EV29" i="6"/>
  <c r="AU16" i="6"/>
  <c r="AU40" i="6"/>
  <c r="CZ11" i="6"/>
  <c r="EW11" i="6" s="1"/>
  <c r="AO11" i="6"/>
  <c r="AS11" i="6"/>
  <c r="AS12" i="6" s="1"/>
  <c r="AS13" i="6" s="1"/>
  <c r="W12" i="6"/>
  <c r="AP11" i="6"/>
  <c r="AS40" i="6" l="1"/>
  <c r="AS16" i="6"/>
  <c r="W179" i="6"/>
  <c r="W166" i="6"/>
  <c r="AO12" i="6"/>
  <c r="CZ12" i="6"/>
  <c r="W13" i="6"/>
  <c r="X181" i="6"/>
  <c r="X185" i="6" s="1"/>
  <c r="X40" i="6"/>
  <c r="X16" i="6"/>
  <c r="AP13" i="6"/>
  <c r="X220" i="6"/>
  <c r="Y179" i="6"/>
  <c r="Y166" i="6"/>
  <c r="Y220" i="6" s="1"/>
  <c r="AQ12" i="6"/>
  <c r="Y13" i="6"/>
  <c r="AU52" i="6"/>
  <c r="AU53" i="6" s="1"/>
  <c r="AU47" i="6"/>
  <c r="AU43" i="6"/>
  <c r="AU18" i="6"/>
  <c r="AP12" i="6"/>
  <c r="AU44" i="6" l="1"/>
  <c r="AU19" i="6"/>
  <c r="AU21" i="6" s="1"/>
  <c r="EW12" i="6"/>
  <c r="CZ9" i="6"/>
  <c r="CZ13" i="6"/>
  <c r="Y124" i="6"/>
  <c r="Y181" i="6"/>
  <c r="Y185" i="6" s="1"/>
  <c r="CZ179" i="6"/>
  <c r="W181" i="6"/>
  <c r="W124" i="6"/>
  <c r="CZ124" i="6" s="1"/>
  <c r="X123" i="6"/>
  <c r="X121" i="6" s="1"/>
  <c r="W123" i="6"/>
  <c r="CZ166" i="6"/>
  <c r="W220" i="6"/>
  <c r="Y40" i="6"/>
  <c r="Y16" i="6"/>
  <c r="AQ13" i="6"/>
  <c r="X226" i="6"/>
  <c r="X52" i="6"/>
  <c r="X43" i="6"/>
  <c r="X47" i="6"/>
  <c r="X18" i="6"/>
  <c r="AP16" i="6"/>
  <c r="X124" i="6"/>
  <c r="AS52" i="6"/>
  <c r="AS53" i="6" s="1"/>
  <c r="AS47" i="6"/>
  <c r="AS18" i="6"/>
  <c r="AS43" i="6"/>
  <c r="Y123" i="6"/>
  <c r="Y121" i="6" s="1"/>
  <c r="W40" i="6"/>
  <c r="AO13" i="6"/>
  <c r="W16" i="6"/>
  <c r="AU45" i="6" l="1"/>
  <c r="AU23" i="6"/>
  <c r="W185" i="6"/>
  <c r="CZ185" i="6" s="1"/>
  <c r="CZ181" i="6"/>
  <c r="CZ16" i="6"/>
  <c r="CZ40" i="6"/>
  <c r="EW13" i="6"/>
  <c r="X44" i="6"/>
  <c r="X19" i="6"/>
  <c r="X21" i="6"/>
  <c r="EW9" i="6"/>
  <c r="CZ10" i="6"/>
  <c r="AS44" i="6"/>
  <c r="AS19" i="6"/>
  <c r="AS21" i="6"/>
  <c r="Y226" i="6"/>
  <c r="Y52" i="6"/>
  <c r="Y47" i="6"/>
  <c r="Y18" i="6"/>
  <c r="AQ16" i="6"/>
  <c r="Y43" i="6"/>
  <c r="W226" i="6"/>
  <c r="W47" i="6"/>
  <c r="W43" i="6"/>
  <c r="W52" i="6"/>
  <c r="W18" i="6"/>
  <c r="AP18" i="6" s="1"/>
  <c r="AO16" i="6"/>
  <c r="AP52" i="6"/>
  <c r="X53" i="6"/>
  <c r="CZ123" i="6"/>
  <c r="CZ121" i="6" s="1"/>
  <c r="W121" i="6"/>
  <c r="X109" i="6" l="1"/>
  <c r="X119" i="6" s="1"/>
  <c r="X126" i="6" s="1"/>
  <c r="X45" i="6"/>
  <c r="X23" i="6"/>
  <c r="CZ52" i="6"/>
  <c r="CZ47" i="6"/>
  <c r="CZ43" i="6"/>
  <c r="CZ18" i="6"/>
  <c r="EW16" i="6"/>
  <c r="CZ48" i="6"/>
  <c r="AS45" i="6"/>
  <c r="AS23" i="6"/>
  <c r="AQ52" i="6"/>
  <c r="Y53" i="6"/>
  <c r="W53" i="6"/>
  <c r="AO52" i="6"/>
  <c r="Y44" i="6"/>
  <c r="Y19" i="6"/>
  <c r="AQ19" i="6" s="1"/>
  <c r="AQ18" i="6"/>
  <c r="AU25" i="6"/>
  <c r="AU29" i="6" s="1"/>
  <c r="AU27" i="6"/>
  <c r="AU34" i="6" s="1"/>
  <c r="W44" i="6"/>
  <c r="W19" i="6"/>
  <c r="AO18" i="6"/>
  <c r="CZ39" i="6"/>
  <c r="EW10" i="6"/>
  <c r="CZ44" i="6" l="1"/>
  <c r="EW18" i="6"/>
  <c r="AS25" i="6"/>
  <c r="AS29" i="6" s="1"/>
  <c r="AS27" i="6"/>
  <c r="AS34" i="6" s="1"/>
  <c r="CZ19" i="6"/>
  <c r="AO19" i="6"/>
  <c r="AP19" i="6"/>
  <c r="X153" i="6"/>
  <c r="X157" i="6"/>
  <c r="CZ53" i="6"/>
  <c r="EW52" i="6"/>
  <c r="W21" i="6"/>
  <c r="Y21" i="6"/>
  <c r="X25" i="6"/>
  <c r="X27" i="6"/>
  <c r="CZ46" i="6" l="1"/>
  <c r="EW19" i="6"/>
  <c r="X29" i="6"/>
  <c r="X159" i="6"/>
  <c r="X158" i="6"/>
  <c r="CZ21" i="6"/>
  <c r="Y109" i="6"/>
  <c r="Y119" i="6" s="1"/>
  <c r="Y126" i="6" s="1"/>
  <c r="Y45" i="6"/>
  <c r="Y23" i="6"/>
  <c r="AQ21" i="6"/>
  <c r="AW21" i="6"/>
  <c r="W109" i="6"/>
  <c r="W45" i="6"/>
  <c r="W23" i="6"/>
  <c r="AO21" i="6"/>
  <c r="AP21" i="6"/>
  <c r="W119" i="6" l="1"/>
  <c r="W126" i="6" s="1"/>
  <c r="CZ109" i="6"/>
  <c r="CZ119" i="6" s="1"/>
  <c r="CZ126" i="6" s="1"/>
  <c r="CZ153" i="6" s="1"/>
  <c r="CZ155" i="6" s="1"/>
  <c r="Y153" i="6"/>
  <c r="Y157" i="6"/>
  <c r="X50" i="6"/>
  <c r="W25" i="6"/>
  <c r="W27" i="6"/>
  <c r="Y25" i="6"/>
  <c r="Y27" i="6"/>
  <c r="AQ27" i="6" s="1"/>
  <c r="AW23" i="6"/>
  <c r="EW21" i="6"/>
  <c r="CZ45" i="6"/>
  <c r="CZ23" i="6"/>
  <c r="Y159" i="6" l="1"/>
  <c r="Y158" i="6"/>
  <c r="Y29" i="6"/>
  <c r="AQ25" i="6"/>
  <c r="AW25" i="6"/>
  <c r="W194" i="6"/>
  <c r="AO25" i="6"/>
  <c r="W29" i="6"/>
  <c r="AP25" i="6"/>
  <c r="CZ27" i="6"/>
  <c r="EW27" i="6" s="1"/>
  <c r="CZ25" i="6"/>
  <c r="AO27" i="6"/>
  <c r="AP27" i="6"/>
  <c r="W153" i="6"/>
  <c r="W155" i="6" s="1"/>
  <c r="W157" i="6"/>
  <c r="CZ29" i="6" l="1"/>
  <c r="EW25" i="6"/>
  <c r="CZ194" i="6"/>
  <c r="X194" i="6"/>
  <c r="W196" i="6"/>
  <c r="W159" i="6"/>
  <c r="W158" i="6"/>
  <c r="W164" i="6"/>
  <c r="X154" i="6"/>
  <c r="X155" i="6" s="1"/>
  <c r="AQ29" i="6"/>
  <c r="Y50" i="6"/>
  <c r="W50" i="6"/>
  <c r="AO29" i="6"/>
  <c r="AP29" i="6"/>
  <c r="W199" i="6" l="1"/>
  <c r="CZ196" i="6"/>
  <c r="Y194" i="6"/>
  <c r="Y196" i="6" s="1"/>
  <c r="Y199" i="6" s="1"/>
  <c r="X196" i="6"/>
  <c r="X199" i="6" s="1"/>
  <c r="X164" i="6"/>
  <c r="Y154" i="6"/>
  <c r="Y155" i="6" s="1"/>
  <c r="Y164" i="6" s="1"/>
  <c r="W210" i="6"/>
  <c r="W211" i="6" s="1"/>
  <c r="W212" i="6" s="1"/>
  <c r="W168" i="6"/>
  <c r="CZ164" i="6"/>
  <c r="CZ50" i="6"/>
  <c r="EW29" i="6"/>
  <c r="Y168" i="6" l="1"/>
  <c r="Y210" i="6"/>
  <c r="Y211" i="6" s="1"/>
  <c r="Y212" i="6" s="1"/>
  <c r="X210" i="6"/>
  <c r="X211" i="6" s="1"/>
  <c r="X212" i="6" s="1"/>
  <c r="X168" i="6"/>
  <c r="X215" i="6"/>
  <c r="X216" i="6" s="1"/>
  <c r="X201" i="6"/>
  <c r="X207" i="6"/>
  <c r="X209" i="6"/>
  <c r="X227" i="6"/>
  <c r="X225" i="6"/>
  <c r="Y215" i="6"/>
  <c r="Y216" i="6" s="1"/>
  <c r="Y201" i="6"/>
  <c r="Y209" i="6"/>
  <c r="Y207" i="6"/>
  <c r="Y227" i="6"/>
  <c r="Y225" i="6"/>
  <c r="W213" i="6"/>
  <c r="W174" i="6"/>
  <c r="CZ168" i="6"/>
  <c r="W215" i="6"/>
  <c r="W216" i="6" s="1"/>
  <c r="CZ199" i="6"/>
  <c r="W201" i="6"/>
  <c r="W207" i="6"/>
  <c r="W209" i="6"/>
  <c r="W227" i="6"/>
  <c r="W225" i="6"/>
  <c r="X213" i="6" l="1"/>
  <c r="X174" i="6"/>
  <c r="CZ174" i="6"/>
  <c r="W223" i="6"/>
  <c r="W224" i="6"/>
  <c r="Y203" i="6"/>
  <c r="CZ201" i="6"/>
  <c r="W203" i="6"/>
  <c r="Y213" i="6"/>
  <c r="Y174" i="6"/>
  <c r="X223" i="6" l="1"/>
  <c r="X224" i="6"/>
  <c r="Y223" i="6"/>
  <c r="Y224" i="6"/>
  <c r="CZ203" i="6"/>
  <c r="X20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Jamie Simonson</author>
  </authors>
  <commentList>
    <comment ref="A1" authorId="0" shapeId="0" xr:uid="{5D62DCDC-67AB-436E-A7C1-B3D8A3B1894A}">
      <text>
        <r>
          <rPr>
            <b/>
            <sz val="9"/>
            <color indexed="81"/>
            <rFont val="Tahoma"/>
            <family val="2"/>
          </rPr>
          <t>&lt;?xml version="1.0" encoding="utf-8"?&gt;&lt;Schema xmlns:xsd="http://www.w3.org/2001/XMLSchema" xmlns:xsi="http://www.w3.org/2001/XMLSchema-instance" Version="2" Timestamp="1771362881"&gt;&lt;FQL&gt;&lt;Q&gt;WSO-US^FE_ESTIMATE(EBITDA,MEAN,QUARTERLY,2026/4F,NOW,,,'')&lt;/Q&gt;&lt;R&gt;1&lt;/R&gt;&lt;C&gt;1&lt;/C&gt;&lt;D xsi:type="xsd:double"&gt;144.21701&lt;/D&gt;&lt;/FQL&gt;&lt;FQL&gt;&lt;Q&gt;WSO-US^FE_ESTIMATE(EBITDA,MEAN,QUARTERLY,2026/3F,NOW,,,'')&lt;/Q&gt;&lt;R&gt;1&lt;/R&gt;&lt;C&gt;1&lt;/C&gt;&lt;D xsi:type="xsd:double"&gt;267.85742&lt;/D&gt;&lt;/FQL&gt;&lt;FQL&gt;&lt;Q&gt;WSO-US^FE_ESTIMATE(EBITDA,MEAN,QUARTERLY,2026/2F,NOW,,,'')&lt;/Q&gt;&lt;R&gt;1&lt;/R&gt;&lt;C&gt;1&lt;/C&gt;&lt;D xsi:type="xsd:double"&gt;276.88943&lt;/D&gt;&lt;/FQL&gt;&lt;FQL&gt;&lt;Q&gt;WSO-US^FE_ESTIMATE(EBITDA,MEAN,QUARTERLY,2026/1F,NOW,,,'')&lt;/Q&gt;&lt;R&gt;1&lt;/R&gt;&lt;C&gt;1&lt;/C&gt;&lt;D xsi:type="xsd:double"&gt;128.4825&lt;/D&gt;&lt;/FQL&gt;&lt;FQL&gt;&lt;Q&gt;WSO-US^FE_ESTIMATE(EPS,MEAN,QUARTERLY,2026/4F,NOW,,,'')&lt;/Q&gt;&lt;R&gt;1&lt;/R&gt;&lt;C&gt;1&lt;/C&gt;&lt;D xsi:type="xsd:double"&gt;2.1993496&lt;/D&gt;&lt;/FQL&gt;&lt;FQL&gt;&lt;Q&gt;WSO-US^FE_ESTIMATE(EPS,MEAN,QUARTERLY,2026/3F,NOW,,,'')&lt;/Q&gt;&lt;R&gt;1&lt;/R&gt;&lt;C&gt;1&lt;/C&gt;&lt;D xsi:type="xsd:double"&gt;4.335524&lt;/D&gt;&lt;/FQL&gt;&lt;FQL&gt;&lt;Q&gt;WSO-US^FE_ESTIMATE(EPS,MEAN,QUARTERLY,2026/2F,NOW,,,'')&lt;/Q&gt;&lt;R&gt;1&lt;/R&gt;&lt;C&gt;1&lt;/C&gt;&lt;D xsi:type="xsd:double"&gt;4.564804&lt;/D&gt;&lt;/FQL&gt;&lt;FQL&gt;&lt;Q&gt;WSO-US^FE_ESTIMATE(EPS,MEAN,QUARTERLY,2026/1F,NOW,,,'')&lt;/Q&gt;&lt;R&gt;1&lt;/R&gt;&lt;C&gt;1&lt;/C&gt;&lt;D xsi:type="xsd:double"&gt;1.8780636&lt;/D&gt;&lt;/FQL&gt;&lt;FQL&gt;&lt;Q&gt;WSO-US^FE_ESTIMATE(EBIT,MEAN,QUARTERLY,2026/4F,NOW,,,'')&lt;/Q&gt;&lt;R&gt;1&lt;/R&gt;&lt;C&gt;1&lt;/C&gt;&lt;D xsi:type="xsd:double"&gt;134.29889&lt;/D&gt;&lt;/FQL&gt;&lt;FQL&gt;&lt;Q&gt;WSO-US^FE_ESTIMATE(EBIT,MEAN,QUARTERLY,2026/3F,NOW,,,'')&lt;/Q&gt;&lt;R&gt;1&lt;/R&gt;&lt;C&gt;1&lt;/C&gt;&lt;D xsi:type="xsd:double"&gt;254.58241&lt;/D&gt;&lt;/FQL&gt;&lt;FQL&gt;&lt;Q&gt;WSO-US^FE_ESTIMATE(EBIT,MEAN,QUARTERLY,2026/2F,NOW,,,'')&lt;/Q&gt;&lt;R&gt;1&lt;/R&gt;&lt;C&gt;1&lt;/C&gt;&lt;D xsi:type="xsd:double"&gt;266.42337&lt;/D&gt;&lt;/FQL&gt;&lt;FQL&gt;&lt;Q&gt;WSO-US^FE_ESTIMATE(EBIT,MEAN,QUARTERLY,2026/1F,NOW,,,'')&lt;/Q&gt;&lt;R&gt;1&lt;/R&gt;&lt;C&gt;1&lt;/C&gt;&lt;D xsi:type="xsd:double"&gt;116.60648&lt;/D&gt;&lt;/FQL&gt;&lt;FQL&gt;&lt;Q&gt;WSO-US^FE_ESTIMATE(SALES,MEAN,QUARTERLY,2026/4F,NOW,,,'')&lt;/Q&gt;&lt;R&gt;1&lt;/R&gt;&lt;C&gt;1&lt;/C&gt;&lt;D xsi:type="xsd:double"&gt;1705.5393&lt;/D&gt;&lt;/FQL&gt;&lt;FQL&gt;&lt;Q&gt;WSO-US^FE_ESTIMATE(SALES,MEAN,QUARTERLY,2026/3F,NOW,,,'')&lt;/Q&gt;&lt;R&gt;1&lt;/R&gt;&lt;C&gt;1&lt;/C&gt;&lt;D xsi:type="xsd:double"&gt;2161.8975&lt;/D&gt;&lt;/FQL&gt;&lt;FQL&gt;&lt;Q&gt;WSO-US^FE_ESTIMATE(SALES,MEAN,QUARTERLY,2026/2F,NOW,,,'')&lt;/Q&gt;&lt;R&gt;1&lt;/R&gt;&lt;C&gt;1&lt;/C&gt;&lt;D xsi:type="xsd:double"&gt;2140.0337&lt;/D&gt;&lt;/FQL&gt;&lt;FQL&gt;&lt;Q&gt;WSO-US^FE_ESTIMATE(SALES,MEAN,QUARTERLY,2026/1F,NOW,,,'')&lt;/Q&gt;&lt;R&gt;1&lt;/R&gt;&lt;C&gt;1&lt;/C&gt;&lt;D xsi:type="xsd:double"&gt;1556.0923&lt;/D&gt;&lt;/FQL&gt;&lt;FQL&gt;&lt;Q&gt;WSO-US^FE_ESTIMATE(EBITDA,MEAN,ANNUAL,2028,0,,,'')&lt;/Q&gt;&lt;R&gt;0&lt;/R&gt;&lt;C&gt;0&lt;/C&gt;&lt;/FQL&gt;&lt;FQL&gt;&lt;Q&gt;WSO-US^FE_ESTIMATE(EBITDA,MEAN,ANNUAL,2027,0,,,'')&lt;/Q&gt;&lt;R&gt;1&lt;/R&gt;&lt;C&gt;1&lt;/C&gt;&lt;D xsi:type="xsd:double"&gt;888.32227&lt;/D&gt;&lt;/FQL&gt;&lt;FQL&gt;&lt;Q&gt;WSO-US^FE_ESTIMATE(EBITDA,MEAN,ANNUAL,2026,0,,,'')&lt;/Q&gt;&lt;R&gt;1&lt;/R&gt;&lt;C&gt;1&lt;/C&gt;&lt;D xsi:type="xsd:double"&gt;807.8309&lt;/D&gt;&lt;/FQL&gt;&lt;FQL&gt;&lt;Q&gt;WSO-US^FE_ESTIMATE(EPS,MEAN,ANNUAL,2028,0,,,'')&lt;/Q&gt;&lt;R&gt;1&lt;/R&gt;&lt;C&gt;1&lt;/C&gt;&lt;D xsi:type="xsd:double"&gt;16.313334&lt;/D&gt;&lt;/FQL&gt;&lt;FQL&gt;&lt;Q&gt;WSO-US^FE_ESTIMATE(EPS,MEAN,ANNUAL,2027,0,,,'')&lt;/Q&gt;&lt;R&gt;1&lt;/R&gt;&lt;C&gt;1&lt;/C&gt;&lt;D xsi:type="xsd:double"&gt;14.0813055&lt;/D&gt;&lt;/FQL&gt;&lt;FQL&gt;&lt;Q&gt;WSO-US^FE_ESTIMATE(EPS,MEAN,ANNUAL,2026,0,,,'')&lt;/Q&gt;&lt;R&gt;1&lt;/R&gt;&lt;C&gt;1&lt;/C&gt;&lt;D xsi:type="xsd:double"&gt;13.012967&lt;/D&gt;&lt;/FQL&gt;&lt;FQL&gt;&lt;Q&gt;WSO-US^FE_ESTIMATE(EBIT,MEAN,ANNUAL,2028,0,,,'')&lt;/Q&gt;&lt;R&gt;1&lt;/R&gt;&lt;C&gt;1&lt;/C&gt;&lt;D xsi:type="xsd:double"&gt;902&lt;/D&gt;&lt;/FQL&gt;&lt;FQL&gt;&lt;Q&gt;WSO-US^FE_ESTIMATE(EBIT,MEAN,ANNUAL,2027,0,,,'')&lt;/Q&gt;&lt;R&gt;1&lt;/R&gt;&lt;C&gt;1&lt;/C&gt;&lt;D xsi:type="xsd:double"&gt;839.7291&lt;/D&gt;&lt;/FQL&gt;&lt;FQL&gt;&lt;Q&gt;WSO-US^FE_ESTIMATE(EBIT,MEAN,ANNUAL,2026,0,,,'')&lt;/Q&gt;&lt;R&gt;1&lt;/R&gt;&lt;C&gt;1&lt;/C&gt;&lt;D xsi:type="xsd:double"&gt;771.32385&lt;/D&gt;&lt;/FQL&gt;&lt;FQL&gt;&lt;Q&gt;WSO-US^FE_ESTIMATE(SALES,MEAN,ANNUAL,2028,0,,,'')&lt;/Q&gt;&lt;R&gt;1&lt;/R&gt;&lt;C&gt;1&lt;/C&gt;&lt;D xsi:type="xsd:double"&gt;8249.544&lt;/D&gt;&lt;/FQL&gt;&lt;FQL&gt;&lt;Q&gt;WSO-US^FE_ESTIMATE(SALES,MEAN,ANNUAL,2027,0,,,'')&lt;/Q&gt;&lt;R&gt;1&lt;/R&gt;&lt;C&gt;1&lt;/C&gt;&lt;D xsi:type="xsd:double"&gt;7902.747&lt;/D&gt;&lt;/FQL&gt;&lt;FQL&gt;&lt;Q&gt;WSO-US^FE_ESTIMATE(SALES,MEAN,ANNUAL,2026,0,,,'')&lt;/Q&gt;&lt;R&gt;1&lt;/R&gt;&lt;C&gt;1&lt;/C&gt;&lt;D xsi:type="xsd:double"&gt;7529.9478&lt;/D&gt;&lt;/FQL&gt;&lt;/Schema&gt;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Chirag Patel</author>
    <author>Vraj Patel</author>
    <author>Stephen Volkmann</author>
    <author>SB</author>
    <author>Dionicio Espino</author>
    <author>Josef Nieto-Phillips</author>
  </authors>
  <commentList>
    <comment ref="B7" authorId="0" shapeId="0" xr:uid="{9502F265-A109-4CD7-8306-4AA6FAA7DB43}">
      <text>
        <r>
          <rPr>
            <b/>
            <sz val="9"/>
            <color indexed="81"/>
            <rFont val="Tahoma"/>
            <family val="2"/>
          </rPr>
          <t>Chirag Patel:</t>
        </r>
        <r>
          <rPr>
            <sz val="9"/>
            <color indexed="81"/>
            <rFont val="Tahoma"/>
            <family val="2"/>
          </rPr>
          <t xml:space="preserve">
Exact # from 10K and 10Q</t>
        </r>
      </text>
    </comment>
    <comment ref="AK7" authorId="1" shapeId="0" xr:uid="{CBE0F741-92CA-4C07-ABC2-30090B628BD3}">
      <text>
        <r>
          <rPr>
            <b/>
            <sz val="9"/>
            <color indexed="81"/>
            <rFont val="Tahoma"/>
            <family val="2"/>
          </rPr>
          <t>Vraj Patel:</t>
        </r>
        <r>
          <rPr>
            <sz val="9"/>
            <color indexed="81"/>
            <rFont val="Tahoma"/>
            <family val="2"/>
          </rPr>
          <t xml:space="preserve">
Q4 Relase 14%</t>
        </r>
      </text>
    </comment>
    <comment ref="ED7" authorId="1" shapeId="0" xr:uid="{37E322BA-8BDB-4000-8046-8C2C949673A7}">
      <text>
        <r>
          <rPr>
            <b/>
            <sz val="9"/>
            <color indexed="81"/>
            <rFont val="Tahoma"/>
            <family val="2"/>
          </rPr>
          <t>Vraj Patel:</t>
        </r>
        <r>
          <rPr>
            <sz val="9"/>
            <color indexed="81"/>
            <rFont val="Tahoma"/>
            <family val="2"/>
          </rPr>
          <t xml:space="preserve">
04/22: +~18% From Price and Mix, +~8 From Vol</t>
        </r>
      </text>
    </comment>
    <comment ref="EG7" authorId="0" shapeId="0" xr:uid="{46C39832-6A70-402A-9A5F-D5A53618AF0A}">
      <text>
        <r>
          <rPr>
            <b/>
            <sz val="9"/>
            <color indexed="81"/>
            <rFont val="Tahoma"/>
            <family val="2"/>
          </rPr>
          <t>Chirag Patel:</t>
        </r>
        <r>
          <rPr>
            <sz val="9"/>
            <color indexed="81"/>
            <rFont val="Tahoma"/>
            <family val="2"/>
          </rPr>
          <t xml:space="preserve">
Estimate: 9% price/mix, +1% volume</t>
        </r>
      </text>
    </comment>
    <comment ref="R8" authorId="0" shapeId="0" xr:uid="{FC798FCC-6436-4D45-9657-1B2BB6A51017}">
      <text>
        <r>
          <rPr>
            <b/>
            <sz val="9"/>
            <color indexed="81"/>
            <rFont val="Tahoma"/>
            <family val="2"/>
          </rPr>
          <t>Chirag Patel:</t>
        </r>
        <r>
          <rPr>
            <sz val="9"/>
            <color indexed="81"/>
            <rFont val="Tahoma"/>
            <family val="2"/>
          </rPr>
          <t xml:space="preserve">
4/21: Acquired TEC at the start of April 2021 -- seasonaility it 10% in 1Q and 30% in 2-4Q with 2020 sales of $291mn</t>
        </r>
      </text>
    </comment>
    <comment ref="B15" authorId="0" shapeId="0" xr:uid="{07967B59-5BF2-4250-9DDA-0C1276CD8B78}">
      <text>
        <r>
          <rPr>
            <b/>
            <sz val="9"/>
            <color indexed="81"/>
            <rFont val="Tahoma"/>
            <family val="2"/>
          </rPr>
          <t>Chirag Patel:</t>
        </r>
        <r>
          <rPr>
            <sz val="9"/>
            <color indexed="81"/>
            <rFont val="Tahoma"/>
            <family val="2"/>
          </rPr>
          <t xml:space="preserve">
Other income represents the company's 38.1% equity interest in Russell Sigler, Inc. (“RSI”) -- an AZ based HVAC distributor</t>
        </r>
      </text>
    </comment>
    <comment ref="B20" authorId="0" shapeId="0" xr:uid="{57C568E0-F039-46B7-8363-0F7125F47371}">
      <text>
        <r>
          <rPr>
            <b/>
            <sz val="9"/>
            <color indexed="81"/>
            <rFont val="Tahoma"/>
            <family val="2"/>
          </rPr>
          <t>Chirag Patel:</t>
        </r>
        <r>
          <rPr>
            <sz val="9"/>
            <color indexed="81"/>
            <rFont val="Tahoma"/>
            <family val="2"/>
          </rPr>
          <t xml:space="preserve">
Carrier JV minority interest: 40% of sale in Canada and 20% of sales in LatAm </t>
        </r>
      </text>
    </comment>
    <comment ref="O22" authorId="0" shapeId="0" xr:uid="{30B2EF1B-92A2-4292-8D58-4BC89A802BF4}">
      <text>
        <r>
          <rPr>
            <b/>
            <sz val="8"/>
            <color indexed="81"/>
            <rFont val="Tahoma"/>
            <family val="2"/>
          </rPr>
          <t>Chirag Patel:</t>
        </r>
        <r>
          <rPr>
            <sz val="8"/>
            <color indexed="81"/>
            <rFont val="Tahoma"/>
            <family val="2"/>
          </rPr>
          <t xml:space="preserve">
Note that accounting here is extremely esoteric and requires additional allocation in any quarter when cash dividends exceed net income.  In subsequent quarters when dividends are below net income this allocation disappears with no adjustments made to prior quarters.  So quarters will never add to the year for this item.</t>
        </r>
      </text>
    </comment>
    <comment ref="BU22" authorId="2" shapeId="0" xr:uid="{44EA5A4B-A509-4AC9-BD35-F77AC4D8023B}">
      <text>
        <r>
          <rPr>
            <b/>
            <sz val="9"/>
            <color indexed="81"/>
            <rFont val="Tahoma"/>
            <family val="2"/>
          </rPr>
          <t>Stephen Volkmann:</t>
        </r>
        <r>
          <rPr>
            <sz val="9"/>
            <color indexed="81"/>
            <rFont val="Tahoma"/>
            <family val="2"/>
          </rPr>
          <t xml:space="preserve">
assumes about $1.5 mn in excess stock accrural due to cash div &gt; NI.  EPS impact is aobut $0.05</t>
        </r>
      </text>
    </comment>
    <comment ref="O27" authorId="3" shapeId="0" xr:uid="{7146A7C8-CF24-4ADA-962D-02215E83ED6F}">
      <text>
        <r>
          <rPr>
            <b/>
            <sz val="9"/>
            <color indexed="81"/>
            <rFont val="Tahoma"/>
            <family val="2"/>
          </rPr>
          <t>SB:</t>
        </r>
        <r>
          <rPr>
            <sz val="9"/>
            <color indexed="81"/>
            <rFont val="Tahoma"/>
            <family val="2"/>
          </rPr>
          <t xml:space="preserve">
Guidance:
10/25 - $6.40-6.50 EPS for the full year 2018</t>
        </r>
      </text>
    </comment>
    <comment ref="T40" authorId="0" shapeId="0" xr:uid="{16D688EC-356D-470F-B22C-6FBBCDD80F9B}">
      <text>
        <r>
          <rPr>
            <b/>
            <sz val="9"/>
            <color indexed="81"/>
            <rFont val="Tahoma"/>
            <family val="2"/>
          </rPr>
          <t>Chirag Patel:</t>
        </r>
        <r>
          <rPr>
            <sz val="9"/>
            <color indexed="81"/>
            <rFont val="Tahoma"/>
            <family val="2"/>
          </rPr>
          <t xml:space="preserve">
4/23 Guide: 27% target</t>
        </r>
      </text>
    </comment>
    <comment ref="AN57" authorId="0" shapeId="0" xr:uid="{23C822F6-7DE7-415C-88AF-DA064080BEEF}">
      <text>
        <r>
          <rPr>
            <b/>
            <sz val="9"/>
            <color indexed="81"/>
            <rFont val="Tahoma"/>
            <family val="2"/>
          </rPr>
          <t>Chirag Patel:</t>
        </r>
        <r>
          <rPr>
            <sz val="9"/>
            <color indexed="81"/>
            <rFont val="Tahoma"/>
            <family val="2"/>
          </rPr>
          <t xml:space="preserve">
2/26 Note: down 17% in volume (Barry)</t>
        </r>
      </text>
    </comment>
    <comment ref="EE60" authorId="0" shapeId="0" xr:uid="{158A966A-8E41-4DEF-8C01-530D74484C5C}">
      <text>
        <r>
          <rPr>
            <b/>
            <sz val="9"/>
            <color indexed="81"/>
            <rFont val="Tahoma"/>
            <family val="2"/>
          </rPr>
          <t>Chirag Patel:</t>
        </r>
        <r>
          <rPr>
            <sz val="9"/>
            <color indexed="81"/>
            <rFont val="Tahoma"/>
            <family val="2"/>
          </rPr>
          <t xml:space="preserve">
1H22/1H21  Result: 17% price, 3% volume, 2% M&amp;A</t>
        </r>
      </text>
    </comment>
    <comment ref="DV69" authorId="0" shapeId="0" xr:uid="{6364BDA9-41E1-45B3-BA5C-CC51662EEFFA}">
      <text>
        <r>
          <rPr>
            <b/>
            <sz val="9"/>
            <color indexed="81"/>
            <rFont val="Tahoma"/>
            <family val="2"/>
          </rPr>
          <t>Chirag Patel:</t>
        </r>
        <r>
          <rPr>
            <sz val="9"/>
            <color indexed="81"/>
            <rFont val="Tahoma"/>
            <family val="2"/>
          </rPr>
          <t xml:space="preserve">
11% growth in the Q ex. international business</t>
        </r>
      </text>
    </comment>
    <comment ref="B79" authorId="0" shapeId="0" xr:uid="{927959BF-C71A-4CB3-BAB5-42F6E8028372}">
      <text>
        <r>
          <rPr>
            <b/>
            <sz val="8"/>
            <color indexed="81"/>
            <rFont val="Tahoma"/>
            <family val="2"/>
          </rPr>
          <t>Chirag Patel:</t>
        </r>
        <r>
          <rPr>
            <sz val="8"/>
            <color indexed="81"/>
            <rFont val="Tahoma"/>
            <family val="2"/>
          </rPr>
          <t xml:space="preserve">
From the 10Q</t>
        </r>
      </text>
    </comment>
    <comment ref="AY79" authorId="0" shapeId="0" xr:uid="{87F8B766-7477-40F6-8860-D93AA227ADE1}">
      <text>
        <r>
          <rPr>
            <b/>
            <sz val="8"/>
            <color indexed="81"/>
            <rFont val="Tahoma"/>
            <family val="2"/>
          </rPr>
          <t>Chirag Patel:</t>
        </r>
        <r>
          <rPr>
            <sz val="8"/>
            <color indexed="81"/>
            <rFont val="Tahoma"/>
            <family val="2"/>
          </rPr>
          <t xml:space="preserve">
From the 10Q</t>
        </r>
      </text>
    </comment>
    <comment ref="EK80" authorId="0" shapeId="0" xr:uid="{E40854CA-703B-4D46-A982-43A7D0BD9C46}">
      <text>
        <r>
          <rPr>
            <b/>
            <sz val="9"/>
            <color indexed="81"/>
            <rFont val="Tahoma"/>
            <family val="2"/>
          </rPr>
          <t>Chirag Patel:</t>
        </r>
        <r>
          <rPr>
            <sz val="9"/>
            <color indexed="81"/>
            <rFont val="Tahoma"/>
            <family val="2"/>
          </rPr>
          <t xml:space="preserve">
2/24 Note: Volume down 4%</t>
        </r>
      </text>
    </comment>
    <comment ref="BG85" authorId="0" shapeId="0" xr:uid="{80D8F59F-3588-4CDE-AC09-AF3FDDE52760}">
      <text>
        <r>
          <rPr>
            <b/>
            <sz val="9"/>
            <color indexed="81"/>
            <rFont val="Tahoma"/>
            <family val="2"/>
          </rPr>
          <t>Chirag Patel:</t>
        </r>
        <r>
          <rPr>
            <sz val="9"/>
            <color indexed="81"/>
            <rFont val="Tahoma"/>
            <family val="2"/>
          </rPr>
          <t xml:space="preserve">
</t>
        </r>
        <r>
          <rPr>
            <b/>
            <sz val="9"/>
            <color indexed="81"/>
            <rFont val="Tahoma"/>
            <family val="2"/>
          </rPr>
          <t>From 10-Q:</t>
        </r>
        <r>
          <rPr>
            <sz val="9"/>
            <color indexed="81"/>
            <rFont val="Tahoma"/>
            <family val="2"/>
          </rPr>
          <t xml:space="preserve"> On a same-store basis, revenues increased $44.4 million, or 3%, as compared to the same period in 2018, reflecting a 4% increase in sales of HVAC equipment (69% of sales), which included a 6% increase in residential HVAC equipment, a 2% increase in sales of other HVAC products (27% of sales) and 1% increase of commercial refrigeration products (4% of sales). For residential HVAC equipment, the increase in revenues was primarily due to strong demand for the replacement of residential HVAC equipment, realization of price increases and a higher mix of high-efficiency air conditioning and heating systems, which sell at higher unit prices, resulting in a 4% increase in volume and a 2% increase in the average selling price.</t>
        </r>
      </text>
    </comment>
    <comment ref="BW85" authorId="0" shapeId="0" xr:uid="{421B8E9F-7A46-4EBE-92B2-E4740D6624A8}">
      <text>
        <r>
          <rPr>
            <b/>
            <sz val="9"/>
            <color indexed="81"/>
            <rFont val="Tahoma"/>
            <family val="2"/>
          </rPr>
          <t>Chirag Patel:</t>
        </r>
        <r>
          <rPr>
            <sz val="9"/>
            <color indexed="81"/>
            <rFont val="Tahoma"/>
            <family val="2"/>
          </rPr>
          <t xml:space="preserve">
</t>
        </r>
        <r>
          <rPr>
            <b/>
            <sz val="9"/>
            <color indexed="81"/>
            <rFont val="Tahoma"/>
            <family val="2"/>
          </rPr>
          <t>From 10-Q:</t>
        </r>
        <r>
          <rPr>
            <sz val="9"/>
            <color indexed="81"/>
            <rFont val="Tahoma"/>
            <family val="2"/>
          </rPr>
          <t xml:space="preserve"> On a same-store basis, revenues increased $44.4 million, or 3%, as compared to the same period in 2018, reflecting a 4% increase in sales of HVAC equipment (69% of sales), which included a 6% increase in residential HVAC equipment, a 2% increase in sales of other HVAC products (27% of sales) and 1% increase of commercial refrigeration products (4% of sales). For residential HVAC equipment, the increase in revenues was primarily due to strong demand for the replacement of residential HVAC equipment, realization of price increases and a higher mix of high-efficiency air conditioning and heating systems, which sell at higher unit prices, resulting in a 4% increase in volume and a 2% increase in the average selling price.</t>
        </r>
      </text>
    </comment>
    <comment ref="BY85" authorId="0" shapeId="0" xr:uid="{0505C627-9FB3-4349-AEEA-98857B6FFB74}">
      <text>
        <r>
          <rPr>
            <b/>
            <sz val="9"/>
            <color indexed="81"/>
            <rFont val="Tahoma"/>
            <family val="2"/>
          </rPr>
          <t>Chirag Patel:</t>
        </r>
        <r>
          <rPr>
            <sz val="9"/>
            <color indexed="81"/>
            <rFont val="Tahoma"/>
            <family val="2"/>
          </rPr>
          <t xml:space="preserve">
</t>
        </r>
        <r>
          <rPr>
            <b/>
            <sz val="9"/>
            <color indexed="81"/>
            <rFont val="Tahoma"/>
            <family val="2"/>
          </rPr>
          <t xml:space="preserve">From 10Q: </t>
        </r>
        <r>
          <rPr>
            <sz val="9"/>
            <color indexed="81"/>
            <rFont val="Tahoma"/>
            <family val="2"/>
          </rPr>
          <t>On a same-store basis, revenues increased $17.3 million, or 2%, as compared to the same period in 2019, reflecting a 2% increase in sales of HVAC equipment (67% of sales), which included a 4% increase in residential HVAC equipment (5% increase in U.S. markets and an 11% decrease in international markets), a 2% increase in sales of other HVAC products (29% of sales) and flat sales of commercial refrigeration products (4% of sales). For HVAC equipment, the increase in revenues was primarily due to demand for the replacement of residential HVAC equipment and a higher mix of high-efficiency air conditioning and heating systems, which sell at higher unit prices, resulting in a 4% increase in volume and a 1% increase in the average selling price.</t>
        </r>
      </text>
    </comment>
    <comment ref="CM119" authorId="4" shapeId="0" xr:uid="{50A98038-F11E-4B04-A6BA-62CCB087B278}">
      <text>
        <r>
          <rPr>
            <b/>
            <sz val="9"/>
            <color indexed="81"/>
            <rFont val="Tahoma"/>
            <family val="2"/>
          </rPr>
          <t>Dionicio Espino:</t>
        </r>
        <r>
          <rPr>
            <sz val="9"/>
            <color indexed="81"/>
            <rFont val="Tahoma"/>
            <family val="2"/>
          </rPr>
          <t xml:space="preserve">
3Q22: 46.489</t>
        </r>
      </text>
    </comment>
    <comment ref="Q121" authorId="0" shapeId="0" xr:uid="{4F1FB227-6BE1-4335-AA6A-0A635D3B3C08}">
      <text>
        <r>
          <rPr>
            <b/>
            <sz val="9"/>
            <color indexed="81"/>
            <rFont val="Tahoma"/>
            <family val="2"/>
          </rPr>
          <t>Chirag Patel:</t>
        </r>
        <r>
          <rPr>
            <sz val="9"/>
            <color indexed="81"/>
            <rFont val="Tahoma"/>
            <family val="2"/>
          </rPr>
          <t xml:space="preserve">
2/20 Note: Flat with 2019, higher receivable offset by inventory draw down as technology upgrades in legecy stores results in improved inventory management</t>
        </r>
      </text>
    </comment>
    <comment ref="CL149" authorId="4" shapeId="0" xr:uid="{312AF0D6-9E08-4795-84ED-8D6DFF48D455}">
      <text>
        <r>
          <rPr>
            <b/>
            <sz val="9"/>
            <color indexed="81"/>
            <rFont val="Tahoma"/>
            <family val="2"/>
          </rPr>
          <t>Dionicio Espino:</t>
        </r>
        <r>
          <rPr>
            <sz val="9"/>
            <color indexed="81"/>
            <rFont val="Tahoma"/>
            <family val="2"/>
          </rPr>
          <t xml:space="preserve">
+Other
</t>
        </r>
      </text>
    </comment>
    <comment ref="CO149" authorId="5" shapeId="0" xr:uid="{64D93B67-354F-444D-9EF0-DB1A8900E253}">
      <text>
        <r>
          <rPr>
            <b/>
            <sz val="9"/>
            <color indexed="81"/>
            <rFont val="Tahoma"/>
            <family val="2"/>
          </rPr>
          <t>Josef Nieto-Phillips:</t>
        </r>
        <r>
          <rPr>
            <sz val="9"/>
            <color indexed="81"/>
            <rFont val="Tahoma"/>
            <family val="2"/>
          </rPr>
          <t xml:space="preserve">
+other</t>
        </r>
      </text>
    </comment>
    <comment ref="T166" authorId="0" shapeId="0" xr:uid="{4F053F90-310E-4A75-8BA8-FFAA64B98688}">
      <text>
        <r>
          <rPr>
            <b/>
            <sz val="9"/>
            <color indexed="81"/>
            <rFont val="Tahoma"/>
            <family val="2"/>
          </rPr>
          <t>Chirag Patel:</t>
        </r>
        <r>
          <rPr>
            <sz val="9"/>
            <color indexed="81"/>
            <rFont val="Tahoma"/>
            <family val="2"/>
          </rPr>
          <t xml:space="preserve">
4/23 Guide: target to be down $200mn y/y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<sst xmlns="http://schemas.openxmlformats.org/spreadsheetml/2006/main" count="675" uniqueCount="308">
  <si>
    <t>17E/16E</t>
  </si>
  <si>
    <t>Avg.</t>
  </si>
  <si>
    <t>Seq.</t>
  </si>
  <si>
    <t>Watsco, Inc.</t>
  </si>
  <si>
    <t>Scenario</t>
  </si>
  <si>
    <t>3-Yr</t>
  </si>
  <si>
    <t>Annual Earnings Model</t>
  </si>
  <si>
    <t>Analysis</t>
  </si>
  <si>
    <t>CAGR</t>
  </si>
  <si>
    <t>Quarterly Earnings Model</t>
  </si>
  <si>
    <t>2015/2014</t>
  </si>
  <si>
    <t>2016/2015</t>
  </si>
  <si>
    <t>2017/2016</t>
  </si>
  <si>
    <t>2018/2017</t>
  </si>
  <si>
    <t>2019/2018</t>
  </si>
  <si>
    <t>2020/2019</t>
  </si>
  <si>
    <t>2021/2020</t>
  </si>
  <si>
    <t>in millions, except per share items</t>
  </si>
  <si>
    <t>2011</t>
  </si>
  <si>
    <t>2012</t>
  </si>
  <si>
    <t>2013</t>
  </si>
  <si>
    <t>2014</t>
  </si>
  <si>
    <t>2015</t>
  </si>
  <si>
    <t>2016</t>
  </si>
  <si>
    <t>2017</t>
  </si>
  <si>
    <t>2018</t>
  </si>
  <si>
    <t>2019</t>
  </si>
  <si>
    <t>2020</t>
  </si>
  <si>
    <t>2021</t>
  </si>
  <si>
    <t>2022</t>
  </si>
  <si>
    <t>2023</t>
  </si>
  <si>
    <t>2024</t>
  </si>
  <si>
    <t>2025</t>
  </si>
  <si>
    <t>2026E</t>
  </si>
  <si>
    <t>2027E</t>
  </si>
  <si>
    <t>2028E</t>
  </si>
  <si>
    <t>12/11</t>
  </si>
  <si>
    <t>13/12</t>
  </si>
  <si>
    <t>14/13</t>
  </si>
  <si>
    <t>15/14</t>
  </si>
  <si>
    <t>16/15</t>
  </si>
  <si>
    <t>17/16</t>
  </si>
  <si>
    <t>18/17</t>
  </si>
  <si>
    <t>19/18</t>
  </si>
  <si>
    <t>20/19</t>
  </si>
  <si>
    <t>21/20</t>
  </si>
  <si>
    <t>22/21</t>
  </si>
  <si>
    <t>23/22</t>
  </si>
  <si>
    <t>24/23</t>
  </si>
  <si>
    <t>25/24</t>
  </si>
  <si>
    <t>26E/25</t>
  </si>
  <si>
    <t>27E/26E</t>
  </si>
  <si>
    <t>28E/27E</t>
  </si>
  <si>
    <t>1Q14</t>
  </si>
  <si>
    <t>2Q14</t>
  </si>
  <si>
    <t>3Q14</t>
  </si>
  <si>
    <t>4Q14</t>
  </si>
  <si>
    <t>1Q15</t>
  </si>
  <si>
    <t>2Q15</t>
  </si>
  <si>
    <t>3Q15</t>
  </si>
  <si>
    <t>4Q15</t>
  </si>
  <si>
    <t>1Q16</t>
  </si>
  <si>
    <t>2Q16</t>
  </si>
  <si>
    <t>3Q16</t>
  </si>
  <si>
    <t>4Q16</t>
  </si>
  <si>
    <t>1Q17</t>
  </si>
  <si>
    <t>2Q17</t>
  </si>
  <si>
    <t>3Q17</t>
  </si>
  <si>
    <t>4Q17</t>
  </si>
  <si>
    <t>1Q18</t>
  </si>
  <si>
    <t>2Q18</t>
  </si>
  <si>
    <t>3Q18</t>
  </si>
  <si>
    <t>4Q18</t>
  </si>
  <si>
    <t>1Q19</t>
  </si>
  <si>
    <t>2Q19</t>
  </si>
  <si>
    <t>3Q19</t>
  </si>
  <si>
    <t>4Q19</t>
  </si>
  <si>
    <t>1Q20</t>
  </si>
  <si>
    <t>2Q20</t>
  </si>
  <si>
    <t>3Q20</t>
  </si>
  <si>
    <t>4Q20</t>
  </si>
  <si>
    <t>1Q21</t>
  </si>
  <si>
    <t>2Q21</t>
  </si>
  <si>
    <t>3Q21</t>
  </si>
  <si>
    <t>4Q21</t>
  </si>
  <si>
    <t>1Q22</t>
  </si>
  <si>
    <t>2Q22</t>
  </si>
  <si>
    <t>3Q22</t>
  </si>
  <si>
    <t>4Q22</t>
  </si>
  <si>
    <t>1Q23</t>
  </si>
  <si>
    <t>2Q23</t>
  </si>
  <si>
    <t>3Q23</t>
  </si>
  <si>
    <t>4Q23</t>
  </si>
  <si>
    <t>1Q24</t>
  </si>
  <si>
    <t>2Q24</t>
  </si>
  <si>
    <t>3Q24</t>
  </si>
  <si>
    <t>4Q24</t>
  </si>
  <si>
    <t>1Q25</t>
  </si>
  <si>
    <t>2Q25</t>
  </si>
  <si>
    <t>3Q25</t>
  </si>
  <si>
    <t>4Q25</t>
  </si>
  <si>
    <t>1Q26E</t>
  </si>
  <si>
    <t>2Q26E</t>
  </si>
  <si>
    <t>3Q26E</t>
  </si>
  <si>
    <t>4Q26E</t>
  </si>
  <si>
    <t>1Q</t>
  </si>
  <si>
    <t>2Q</t>
  </si>
  <si>
    <t>3Q</t>
  </si>
  <si>
    <t>4Q</t>
  </si>
  <si>
    <t>1QE</t>
  </si>
  <si>
    <t>2QE</t>
  </si>
  <si>
    <t>3QE</t>
  </si>
  <si>
    <t>4QE</t>
  </si>
  <si>
    <t>Net sales</t>
  </si>
  <si>
    <t>Same-Store Sales Contribution</t>
  </si>
  <si>
    <t>Acquired Revenues</t>
  </si>
  <si>
    <t>Adjusted Cost of Goods</t>
  </si>
  <si>
    <t>Adjusted Gross Profit</t>
  </si>
  <si>
    <t>Depreciation and Amortization</t>
  </si>
  <si>
    <t>Cost of sales</t>
  </si>
  <si>
    <t>Gross profit</t>
  </si>
  <si>
    <t>Selling and administrative expenses</t>
  </si>
  <si>
    <t>Other income</t>
  </si>
  <si>
    <t>Operating income</t>
  </si>
  <si>
    <t>Interest Expense</t>
  </si>
  <si>
    <t>Income before income taxes &amp; equity earnings</t>
  </si>
  <si>
    <t>Provision for income taxes</t>
  </si>
  <si>
    <t>Equity Earnings and Minority Interest</t>
  </si>
  <si>
    <t>Net income</t>
  </si>
  <si>
    <t>Non-vested restricted common stock</t>
  </si>
  <si>
    <t>Net income (continuing operations)</t>
  </si>
  <si>
    <t>Unusual/One-Time Items</t>
  </si>
  <si>
    <t xml:space="preserve">GAAP Net income </t>
  </si>
  <si>
    <t>GAAP Net income</t>
  </si>
  <si>
    <t>Earnings per share:</t>
  </si>
  <si>
    <t>Continuing Operations</t>
  </si>
  <si>
    <t>One-Time Adjustments</t>
  </si>
  <si>
    <t>GAAP Earnings Per Share</t>
  </si>
  <si>
    <t>Weighted average shares outstanding (millions)</t>
  </si>
  <si>
    <t>Diluted (Common and Class B common shares)</t>
  </si>
  <si>
    <t>Consensus</t>
  </si>
  <si>
    <t>Revenues</t>
  </si>
  <si>
    <t>EBIT</t>
  </si>
  <si>
    <t>EPS</t>
  </si>
  <si>
    <t>EBITDA</t>
  </si>
  <si>
    <t>% of Sales</t>
  </si>
  <si>
    <t>Gross Profit</t>
  </si>
  <si>
    <t>SG&amp;A Growth (% y/y chg)</t>
  </si>
  <si>
    <t>Operating Profit (EBIT)</t>
  </si>
  <si>
    <t>Pretax Profit</t>
  </si>
  <si>
    <t>Net Profit</t>
  </si>
  <si>
    <t>Tax Rate</t>
  </si>
  <si>
    <t>Incremental Margin</t>
  </si>
  <si>
    <t xml:space="preserve">Dividends declared per common share </t>
  </si>
  <si>
    <t xml:space="preserve">Cash dividends declared per common share </t>
  </si>
  <si>
    <t>Dividend Payout</t>
  </si>
  <si>
    <t>Company EBITDA</t>
  </si>
  <si>
    <t>EBITDA Margin</t>
  </si>
  <si>
    <t>Annual</t>
  </si>
  <si>
    <t>Quarterly</t>
  </si>
  <si>
    <t>Price/Mix</t>
  </si>
  <si>
    <t>Volume</t>
  </si>
  <si>
    <t>M&amp;A</t>
  </si>
  <si>
    <t>1H/2H</t>
  </si>
  <si>
    <t>Annual Segment Detail</t>
  </si>
  <si>
    <t>Quarterly Segment Detail</t>
  </si>
  <si>
    <t>Geographic Breakdown</t>
  </si>
  <si>
    <t>United States</t>
  </si>
  <si>
    <t>Canada</t>
  </si>
  <si>
    <t>Latin America and the Caribbean</t>
  </si>
  <si>
    <t>Mexico</t>
  </si>
  <si>
    <t>Total Revenues</t>
  </si>
  <si>
    <t>Major Product Lines</t>
  </si>
  <si>
    <t>HVAC Equipment</t>
  </si>
  <si>
    <t>Other HVAC Products</t>
  </si>
  <si>
    <t>Commercial Refrigeration Products</t>
  </si>
  <si>
    <t>Base Business Sales Growth (% y/y chg)</t>
  </si>
  <si>
    <t>Same Store Sales</t>
  </si>
  <si>
    <t>Store &amp; Number of Employee</t>
  </si>
  <si>
    <t>Opening Balance</t>
  </si>
  <si>
    <t>Acquired</t>
  </si>
  <si>
    <t>Opened</t>
  </si>
  <si>
    <t>Closed</t>
  </si>
  <si>
    <t>Closing Balance</t>
  </si>
  <si>
    <t>Number of Employee</t>
  </si>
  <si>
    <t>Statement of Cash Flow</t>
  </si>
  <si>
    <t>3 mo</t>
  </si>
  <si>
    <t>6 mo</t>
  </si>
  <si>
    <t>9 mo</t>
  </si>
  <si>
    <t>Year</t>
  </si>
  <si>
    <t>Adjustments to reconcile net income to net cash provided by operating activities:</t>
  </si>
  <si>
    <t>Depreciation and amortization</t>
  </si>
  <si>
    <t>Share-based compensation</t>
  </si>
  <si>
    <t>Deferred income tax (benefit) provision</t>
  </si>
  <si>
    <t>Provision for doubtful accounts</t>
  </si>
  <si>
    <t>Non-cash contribution to 401(k) plan</t>
  </si>
  <si>
    <t>Other income from investment in unconsolidated entity</t>
  </si>
  <si>
    <t>Loss (gain) on sale of property and equipment</t>
  </si>
  <si>
    <t>Excess tax benefits from share-based compensation Other, net</t>
  </si>
  <si>
    <t>Fund from Operation</t>
  </si>
  <si>
    <t>Operating Working Capital</t>
  </si>
  <si>
    <t>Accounts receivable</t>
  </si>
  <si>
    <t>Inventories</t>
  </si>
  <si>
    <t>Accounts payable and other liabilities</t>
  </si>
  <si>
    <t>Other, net</t>
  </si>
  <si>
    <t>Net cash provided by operating activities</t>
  </si>
  <si>
    <t/>
  </si>
  <si>
    <t>Investing activities</t>
  </si>
  <si>
    <t>Capital expenditures</t>
  </si>
  <si>
    <t>Proceeds from sale of property and equipment</t>
  </si>
  <si>
    <t>Business acquisitions, net of cash acquired</t>
  </si>
  <si>
    <t>Investment in unconsolidated entity</t>
  </si>
  <si>
    <t>Net cash used in investing activities</t>
  </si>
  <si>
    <t>Financing activities</t>
  </si>
  <si>
    <t>Net proceeds under revolving credit agreement</t>
  </si>
  <si>
    <t>Net repayments under revolving credit agreement</t>
  </si>
  <si>
    <t>Proceeds from short-term borrowings</t>
  </si>
  <si>
    <t>Dividends on Common and Class B common stock</t>
  </si>
  <si>
    <t>Purchase of additional ownership from non-controlling interest</t>
  </si>
  <si>
    <t>Payment of fees related to revolving credit agreement</t>
  </si>
  <si>
    <t>Distributions to non-controlling interest</t>
  </si>
  <si>
    <t>Repurchases of common stock to satisfy employee withholding tax obligations</t>
  </si>
  <si>
    <t>Net repayments of other long-term obligations</t>
  </si>
  <si>
    <t>Return of capital contribution to noncontrolling interest</t>
  </si>
  <si>
    <t>Excess tax benefits from share-based compensation</t>
  </si>
  <si>
    <t>Net proceeds from issuances of common stock</t>
  </si>
  <si>
    <t>Proceeds from non-controlling interest for investment in unconsolidated entity</t>
  </si>
  <si>
    <t>Net proceeds from the sale of Common stock</t>
  </si>
  <si>
    <t>Net cash used in financing activities</t>
  </si>
  <si>
    <t>Effect of foreign exchange rate changes</t>
  </si>
  <si>
    <t>Net increase in cash and cash equivalents</t>
  </si>
  <si>
    <t>Cash and cash equivalents at beginning of year</t>
  </si>
  <si>
    <t>Cash and cash equivalents at end of period</t>
  </si>
  <si>
    <t>Free Cash Flow</t>
  </si>
  <si>
    <t>FCF/Shr</t>
  </si>
  <si>
    <t>FCF/NI</t>
  </si>
  <si>
    <t>Annual Balance Sheet</t>
  </si>
  <si>
    <t>Quarterly Balance Sheet</t>
  </si>
  <si>
    <t>Current assets:</t>
  </si>
  <si>
    <t>Cash and cash equivalents</t>
  </si>
  <si>
    <t>Accounts receivable, net</t>
  </si>
  <si>
    <t>Other current assets</t>
  </si>
  <si>
    <t>Total current assets</t>
  </si>
  <si>
    <t>Property and equipment, net</t>
  </si>
  <si>
    <t>Goodwill</t>
  </si>
  <si>
    <t>Intangible assets, net</t>
  </si>
  <si>
    <t>Other assets</t>
  </si>
  <si>
    <t>Total Assets</t>
  </si>
  <si>
    <t>Current liabilities:</t>
  </si>
  <si>
    <t>Current portion of other long-term obligations</t>
  </si>
  <si>
    <t>Short-term borrowings</t>
  </si>
  <si>
    <t>Accounts payable</t>
  </si>
  <si>
    <t>Accrued expenses and other current liabilities</t>
  </si>
  <si>
    <t>Total current liabilities</t>
  </si>
  <si>
    <t>Borrowings under revolving credit agreement</t>
  </si>
  <si>
    <t>Other long-term obligations, net of current portion</t>
  </si>
  <si>
    <t>Total liabilities</t>
  </si>
  <si>
    <t>Deferred income taxes and other liabilities</t>
  </si>
  <si>
    <t>Stockholders' equity:</t>
  </si>
  <si>
    <t>Common stock</t>
  </si>
  <si>
    <t>Class B common stock</t>
  </si>
  <si>
    <t>Preferred stock</t>
  </si>
  <si>
    <t>Paid-in capital</t>
  </si>
  <si>
    <t>Accumulated other comprehensive loss, net of tax</t>
  </si>
  <si>
    <t>Retained earnings</t>
  </si>
  <si>
    <t>Treasury stock, at cost</t>
  </si>
  <si>
    <t>Total Watsco, Inc. shareholders equity</t>
  </si>
  <si>
    <t>Non-controlling interest</t>
  </si>
  <si>
    <t>Total shareholders equity</t>
  </si>
  <si>
    <t>Total Liabilities &amp; Equity</t>
  </si>
  <si>
    <t>Check</t>
  </si>
  <si>
    <t>Long-term Debt</t>
  </si>
  <si>
    <t xml:space="preserve">   % of Total Capital</t>
  </si>
  <si>
    <t>Total Debt</t>
  </si>
  <si>
    <t>Cash and ST Investments</t>
  </si>
  <si>
    <t>Net Debt</t>
  </si>
  <si>
    <t>Change in WC</t>
  </si>
  <si>
    <t>Book Value</t>
  </si>
  <si>
    <t>Book Value per Shr</t>
  </si>
  <si>
    <t>Receivables Days Sales</t>
  </si>
  <si>
    <t>Inventory Turns</t>
  </si>
  <si>
    <t>(Rec + Inv)/Sales</t>
  </si>
  <si>
    <t>Payables Days COGS</t>
  </si>
  <si>
    <t>Asset Turns</t>
  </si>
  <si>
    <t>Return on Assets</t>
  </si>
  <si>
    <t>Return on Equity</t>
  </si>
  <si>
    <t>NOPAT</t>
  </si>
  <si>
    <t>Return on Invested Capital</t>
  </si>
  <si>
    <t>Property and equipment, net [Abstract]</t>
  </si>
  <si>
    <t>Inv as % LTM sales:</t>
  </si>
  <si>
    <t>Land</t>
  </si>
  <si>
    <t>Inv as % NTM sales:</t>
  </si>
  <si>
    <t>Buildings and improvements</t>
  </si>
  <si>
    <t>Machinery, vehicles and equipment</t>
  </si>
  <si>
    <t>Furniture and fixtures</t>
  </si>
  <si>
    <t>Computer hardware and software</t>
  </si>
  <si>
    <t>Capex Expenditure</t>
  </si>
  <si>
    <t>Total property and equipment</t>
  </si>
  <si>
    <t>Less accumulated depreciation</t>
  </si>
  <si>
    <t>% of Total Property and Equipment</t>
  </si>
  <si>
    <t>SG&amp;A Breakdown</t>
  </si>
  <si>
    <t>SG&amp;A</t>
  </si>
  <si>
    <t>Advertising Costs</t>
  </si>
  <si>
    <t>Shipping and Handling Costs</t>
  </si>
  <si>
    <t>COGS by OEM</t>
  </si>
  <si>
    <t>Carrier</t>
  </si>
  <si>
    <t>Rheem</t>
  </si>
  <si>
    <t>This sheet contains FactSet XML data for use with this workbook's =FDS codes.  Modifying the worksheet's contents may damage the workbook's =FDS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</si>
</sst>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5" formatCode="&quot;$&quot;#,##0_);\(&quot;$&quot;#,##0\)"/>
    <numFmt numFmtId="6" formatCode="&quot;$&quot;#,##0_);[Red]\(&quot;$&quot;#,##0\)"/>
    <numFmt numFmtId="7" formatCode="&quot;$&quot;#,##0.00_);\(&quot;$&quot;#,##0.00\)"/>
    <numFmt numFmtId="8" formatCode="&quot;$&quot;#,##0.00_);[Red]\(&quot;$&quot;#,##0.00\)"/>
    <numFmt numFmtId="164" formatCode="0_)"/>
    <numFmt numFmtId="165" formatCode="0.0%"/>
    <numFmt numFmtId="166" formatCode="0.00_)"/>
    <numFmt numFmtId="167" formatCode="0_);\(0\)"/>
    <numFmt numFmtId="168" formatCode="&quot;$&quot;#,##0.00"/>
    <numFmt numFmtId="169" formatCode="&quot;$&quot;#,##0.00;[Red]\(&quot;$&quot;#,##0.00\)"/>
    <numFmt numFmtId="170" formatCode="#,##0.0_);\(#,##0.0\)"/>
    <numFmt numFmtId="171" formatCode="0.0_)"/>
    <numFmt numFmtId="172" formatCode="#,##0.000_);\(#,##0.000\)"/>
    <numFmt numFmtId="173" formatCode="0.0"/>
    <numFmt numFmtId="174" formatCode="#,##0.0_);[Red]\(#,##0.0\)"/>
    <numFmt numFmtId="175" formatCode="_(&quot;$ &quot;#,##0.00_);_(&quot;$ &quot;\(#,##0.00\)"/>
    <numFmt numFmtId="176" formatCode="0.000_)"/>
    <numFmt numFmtId="177" formatCode="_(&quot;$ &quot;#,##0_);_(&quot;$ &quot;\(#,##0\)"/>
    <numFmt numFmtId="178" formatCode="&quot;$&quot;#,##0.0_);\(&quot;$&quot;#,##0.0\)"/>
    <numFmt numFmtId="179" formatCode="0.0%;\(0.0%\)"/>
    <numFmt numFmtId="180" formatCode="_(&quot;$ &quot;#,##0.000_);_(&quot;$ &quot;\(#,##0.000\)"/>
  </numFmts>
  <fonts count="30">
    <font>
      <sz val="11"/>
      <color theme="1"/>
      <name val="Calibri"/>
      <family val="2"/>
      <scheme val="minor"/>
    </font>
    <font>
      <sz val="10"/>
      <name val="Helv"/>
    </font>
    <font>
      <sz val="10"/>
      <color rgb="FF000000"/>
      <name val="ITC Stone Sans Com Medium"/>
    </font>
    <font>
      <u/>
      <sz val="10"/>
      <color theme="10"/>
      <name val="Helv"/>
    </font>
    <font>
      <sz val="10"/>
      <name val="ITC Stone Sans Com Medium"/>
    </font>
    <font>
      <sz val="10"/>
      <name val="MS Sans Serif"/>
      <family val="2"/>
    </font>
    <font>
      <b/>
      <sz val="10"/>
      <name val="ITC Stone Sans Com Medium"/>
    </font>
    <font>
      <i/>
      <sz val="10"/>
      <name val="ITC Stone Sans Com Medium"/>
    </font>
    <font>
      <sz val="10"/>
      <color rgb="FF0000FF"/>
      <name val="ITC Stone Sans Com Medium"/>
    </font>
    <font>
      <i/>
      <sz val="10"/>
      <color rgb="FF0000FF"/>
      <name val="ITC Stone Sans Com Medium"/>
    </font>
    <font>
      <b/>
      <sz val="10"/>
      <color rgb="FF0000FF"/>
      <name val="ITC Stone Sans Com Medium"/>
    </font>
    <font>
      <sz val="10"/>
      <color theme="1"/>
      <name val="ITC Stone Sans Com Medium"/>
    </font>
    <font>
      <sz val="10"/>
      <color indexed="12"/>
      <name val="ITC Stone Sans Com Medium"/>
    </font>
    <font>
      <sz val="10"/>
      <color rgb="FFFF0000"/>
      <name val="ITC Stone Sans Com Medium"/>
    </font>
    <font>
      <i/>
      <sz val="10"/>
      <color rgb="FFFF0000"/>
      <name val="ITC Stone Sans Com Medium"/>
    </font>
    <font>
      <sz val="10"/>
      <color rgb="FFC00000"/>
      <name val="ITC Stone Sans Com Medium"/>
    </font>
    <font>
      <i/>
      <sz val="10"/>
      <color rgb="FFC00000"/>
      <name val="ITC Stone Sans Com Medium"/>
    </font>
    <font>
      <sz val="9"/>
      <color indexed="0"/>
      <name val="ITC Stone Sans Com Medium"/>
    </font>
    <font>
      <sz val="9"/>
      <name val="ITC Stone Sans Com Medium"/>
    </font>
    <font>
      <sz val="9"/>
      <color indexed="0"/>
      <name val="Courier New"/>
      <family val="3"/>
    </font>
    <font>
      <sz val="9"/>
      <name val="Courier New"/>
      <family val="3"/>
    </font>
    <font>
      <sz val="10"/>
      <name val="Arial"/>
      <family val="2"/>
    </font>
    <font>
      <i/>
      <sz val="10"/>
      <color theme="8"/>
      <name val="ITC Stone Sans Com Medium"/>
    </font>
    <font>
      <b/>
      <sz val="10"/>
      <name val="Helv"/>
    </font>
    <font>
      <b/>
      <i/>
      <sz val="10"/>
      <name val="ITC Stone Sans Com Medium"/>
    </font>
    <font>
      <b/>
      <sz val="10"/>
      <color theme="0"/>
      <name val="ITC Stone Sans Com Medium"/>
    </font>
    <font>
      <b/>
      <sz val="9"/>
      <color indexed="81"/>
      <name val="Tahoma"/>
      <family val="2"/>
    </font>
    <font>
      <sz val="9"/>
      <color indexed="81"/>
      <name val="Tahoma"/>
      <family val="2"/>
    </font>
    <font>
      <b/>
      <sz val="8"/>
      <color indexed="81"/>
      <name val="Tahoma"/>
      <family val="2"/>
    </font>
    <font>
      <sz val="8"/>
      <color indexed="81"/>
      <name val="Tahoma"/>
      <family val="2"/>
    </font>
  </fonts>
  <fills count="3">
    <fill>
      <patternFill patternType="none"/>
    </fill>
    <fill>
      <patternFill patternType="gray125"/>
    </fill>
    <fill>
      <patternFill patternType="solid">
        <fgColor theme="6"/>
        <bgColor indexed="64"/>
      </patternFill>
    </fill>
  </fills>
  <borders count="15">
    <border>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164" fontId="1" fillId="0" borderId="0"/>
    <xf numFmtId="164" fontId="3" fillId="0" borderId="0" applyNumberFormat="0" applyFill="0" applyBorder="0" applyAlignment="0" applyProtection="0"/>
    <xf numFmtId="9" fontId="5" fillId="0" borderId="0" applyFont="0" applyFill="0" applyBorder="0" applyAlignment="0" applyProtection="0"/>
    <xf numFmtId="40" fontId="5" fillId="0" borderId="0" applyFont="0" applyFill="0" applyBorder="0" applyAlignment="0" applyProtection="0"/>
    <xf numFmtId="9" fontId="5" fillId="0" borderId="0" applyFont="0" applyFill="0" applyBorder="0" applyAlignment="0" applyProtection="0"/>
    <xf numFmtId="8" fontId="5" fillId="0" borderId="0" applyFont="0" applyFill="0" applyBorder="0" applyAlignment="0" applyProtection="0"/>
    <xf numFmtId="0" fontId="21" fillId="0" borderId="0"/>
    <xf numFmtId="8" fontId="5" fillId="0" borderId="0" applyFont="0" applyFill="0" applyBorder="0" applyAlignment="0" applyProtection="0"/>
  </cellStyleXfs>
  <cellXfs count="472">
    <xf numFmtId="0" fontId="0" fillId="0" borderId="0" xfId="0"/>
    <xf numFmtId="164" fontId="2" fillId="0" borderId="0" xfId="1" applyFont="1" applyAlignment="1">
      <alignment horizontal="justify" vertical="center"/>
    </xf>
    <xf numFmtId="164" fontId="1" fillId="0" borderId="0" xfId="1"/>
    <xf numFmtId="164" fontId="3" fillId="0" borderId="0" xfId="2" applyAlignment="1">
      <alignment vertical="center"/>
    </xf>
    <xf numFmtId="164" fontId="1" fillId="0" borderId="0" xfId="1" quotePrefix="1"/>
    <xf numFmtId="164" fontId="1" fillId="0" borderId="1" xfId="1" applyBorder="1"/>
    <xf numFmtId="164" fontId="4" fillId="0" borderId="0" xfId="1" applyFont="1" applyAlignment="1">
      <alignment wrapText="1"/>
    </xf>
    <xf numFmtId="164" fontId="4" fillId="0" borderId="0" xfId="1" applyFont="1"/>
    <xf numFmtId="165" fontId="4" fillId="0" borderId="0" xfId="3" applyNumberFormat="1" applyFont="1" applyBorder="1"/>
    <xf numFmtId="164" fontId="4" fillId="0" borderId="0" xfId="1" applyFont="1" applyAlignment="1">
      <alignment horizontal="center"/>
    </xf>
    <xf numFmtId="165" fontId="4" fillId="0" borderId="0" xfId="3" applyNumberFormat="1" applyFont="1" applyBorder="1" applyAlignment="1">
      <alignment horizontal="right"/>
    </xf>
    <xf numFmtId="9" fontId="4" fillId="0" borderId="0" xfId="1" applyNumberFormat="1" applyFont="1" applyAlignment="1">
      <alignment horizontal="center"/>
    </xf>
    <xf numFmtId="165" fontId="4" fillId="0" borderId="0" xfId="3" applyNumberFormat="1" applyFont="1" applyAlignment="1">
      <alignment horizontal="center"/>
    </xf>
    <xf numFmtId="40" fontId="4" fillId="0" borderId="0" xfId="4" applyFont="1" applyBorder="1" applyAlignment="1">
      <alignment horizontal="center"/>
    </xf>
    <xf numFmtId="38" fontId="4" fillId="0" borderId="0" xfId="4" applyNumberFormat="1" applyFont="1" applyAlignment="1">
      <alignment horizontal="center"/>
    </xf>
    <xf numFmtId="9" fontId="4" fillId="0" borderId="0" xfId="3" applyFont="1" applyAlignment="1">
      <alignment horizontal="center"/>
    </xf>
    <xf numFmtId="165" fontId="4" fillId="0" borderId="0" xfId="3" applyNumberFormat="1" applyFont="1" applyFill="1" applyAlignment="1">
      <alignment horizontal="center"/>
    </xf>
    <xf numFmtId="9" fontId="4" fillId="0" borderId="0" xfId="3" applyFont="1" applyFill="1" applyAlignment="1">
      <alignment horizontal="center"/>
    </xf>
    <xf numFmtId="166" fontId="4" fillId="0" borderId="0" xfId="1" applyNumberFormat="1" applyFont="1"/>
    <xf numFmtId="165" fontId="4" fillId="0" borderId="0" xfId="1" applyNumberFormat="1" applyFont="1" applyAlignment="1">
      <alignment horizontal="center"/>
    </xf>
    <xf numFmtId="9" fontId="4" fillId="0" borderId="0" xfId="5" applyFont="1" applyAlignment="1">
      <alignment horizontal="center"/>
    </xf>
    <xf numFmtId="164" fontId="6" fillId="2" borderId="2" xfId="1" applyFont="1" applyFill="1" applyBorder="1" applyAlignment="1">
      <alignment horizontal="left" wrapText="1"/>
    </xf>
    <xf numFmtId="164" fontId="4" fillId="2" borderId="3" xfId="1" applyFont="1" applyFill="1" applyBorder="1" applyAlignment="1">
      <alignment horizontal="center"/>
    </xf>
    <xf numFmtId="164" fontId="4" fillId="2" borderId="4" xfId="1" applyFont="1" applyFill="1" applyBorder="1" applyAlignment="1">
      <alignment horizontal="center"/>
    </xf>
    <xf numFmtId="164" fontId="4" fillId="2" borderId="2" xfId="1" applyFont="1" applyFill="1" applyBorder="1" applyAlignment="1">
      <alignment horizontal="center"/>
    </xf>
    <xf numFmtId="164" fontId="6" fillId="2" borderId="5" xfId="1" applyFont="1" applyFill="1" applyBorder="1" applyAlignment="1">
      <alignment horizontal="center"/>
    </xf>
    <xf numFmtId="164" fontId="6" fillId="2" borderId="5" xfId="1" applyFont="1" applyFill="1" applyBorder="1" applyAlignment="1">
      <alignment horizontal="left" wrapText="1"/>
    </xf>
    <xf numFmtId="164" fontId="6" fillId="2" borderId="6" xfId="1" applyFont="1" applyFill="1" applyBorder="1" applyAlignment="1">
      <alignment horizontal="left" wrapText="1"/>
    </xf>
    <xf numFmtId="164" fontId="4" fillId="2" borderId="0" xfId="1" applyFont="1" applyFill="1" applyAlignment="1">
      <alignment horizontal="center"/>
    </xf>
    <xf numFmtId="164" fontId="4" fillId="2" borderId="1" xfId="1" applyFont="1" applyFill="1" applyBorder="1" applyAlignment="1">
      <alignment horizontal="center"/>
    </xf>
    <xf numFmtId="164" fontId="4" fillId="2" borderId="6" xfId="1" applyFont="1" applyFill="1" applyBorder="1" applyAlignment="1">
      <alignment horizontal="center"/>
    </xf>
    <xf numFmtId="164" fontId="6" fillId="2" borderId="7" xfId="1" applyFont="1" applyFill="1" applyBorder="1" applyAlignment="1">
      <alignment horizontal="center"/>
    </xf>
    <xf numFmtId="164" fontId="6" fillId="2" borderId="7" xfId="1" applyFont="1" applyFill="1" applyBorder="1" applyAlignment="1">
      <alignment horizontal="left" wrapText="1"/>
    </xf>
    <xf numFmtId="9" fontId="4" fillId="2" borderId="6" xfId="1" applyNumberFormat="1" applyFont="1" applyFill="1" applyBorder="1" applyAlignment="1">
      <alignment horizontal="center"/>
    </xf>
    <xf numFmtId="9" fontId="4" fillId="2" borderId="0" xfId="1" applyNumberFormat="1" applyFont="1" applyFill="1" applyAlignment="1">
      <alignment horizontal="center"/>
    </xf>
    <xf numFmtId="9" fontId="4" fillId="2" borderId="1" xfId="1" applyNumberFormat="1" applyFont="1" applyFill="1" applyBorder="1" applyAlignment="1">
      <alignment horizontal="center"/>
    </xf>
    <xf numFmtId="164" fontId="7" fillId="2" borderId="8" xfId="1" applyFont="1" applyFill="1" applyBorder="1" applyAlignment="1">
      <alignment horizontal="left" wrapText="1"/>
    </xf>
    <xf numFmtId="167" fontId="6" fillId="2" borderId="9" xfId="1" quotePrefix="1" applyNumberFormat="1" applyFont="1" applyFill="1" applyBorder="1" applyAlignment="1">
      <alignment horizontal="center"/>
    </xf>
    <xf numFmtId="167" fontId="6" fillId="2" borderId="10" xfId="1" quotePrefix="1" applyNumberFormat="1" applyFont="1" applyFill="1" applyBorder="1" applyAlignment="1">
      <alignment horizontal="center"/>
    </xf>
    <xf numFmtId="167" fontId="6" fillId="2" borderId="8" xfId="1" quotePrefix="1" applyNumberFormat="1" applyFont="1" applyFill="1" applyBorder="1" applyAlignment="1">
      <alignment horizontal="center"/>
    </xf>
    <xf numFmtId="167" fontId="6" fillId="2" borderId="11" xfId="1" quotePrefix="1" applyNumberFormat="1" applyFont="1" applyFill="1" applyBorder="1" applyAlignment="1">
      <alignment horizontal="center"/>
    </xf>
    <xf numFmtId="164" fontId="7" fillId="2" borderId="7" xfId="1" applyFont="1" applyFill="1" applyBorder="1" applyAlignment="1">
      <alignment horizontal="left" wrapText="1"/>
    </xf>
    <xf numFmtId="167" fontId="6" fillId="2" borderId="0" xfId="1" quotePrefix="1" applyNumberFormat="1" applyFont="1" applyFill="1" applyAlignment="1">
      <alignment horizontal="center"/>
    </xf>
    <xf numFmtId="167" fontId="6" fillId="2" borderId="1" xfId="1" quotePrefix="1" applyNumberFormat="1" applyFont="1" applyFill="1" applyBorder="1" applyAlignment="1">
      <alignment horizontal="center"/>
    </xf>
    <xf numFmtId="167" fontId="6" fillId="2" borderId="6" xfId="1" quotePrefix="1" applyNumberFormat="1" applyFont="1" applyFill="1" applyBorder="1" applyAlignment="1">
      <alignment horizontal="center"/>
    </xf>
    <xf numFmtId="167" fontId="6" fillId="2" borderId="12" xfId="1" quotePrefix="1" applyNumberFormat="1" applyFont="1" applyFill="1" applyBorder="1" applyAlignment="1">
      <alignment horizontal="center"/>
    </xf>
    <xf numFmtId="167" fontId="6" fillId="2" borderId="13" xfId="1" quotePrefix="1" applyNumberFormat="1" applyFont="1" applyFill="1" applyBorder="1" applyAlignment="1">
      <alignment horizontal="center"/>
    </xf>
    <xf numFmtId="167" fontId="6" fillId="2" borderId="14" xfId="1" quotePrefix="1" applyNumberFormat="1" applyFont="1" applyFill="1" applyBorder="1" applyAlignment="1">
      <alignment horizontal="center"/>
    </xf>
    <xf numFmtId="164" fontId="4" fillId="0" borderId="6" xfId="1" applyFont="1" applyBorder="1" applyAlignment="1">
      <alignment vertical="top" wrapText="1"/>
    </xf>
    <xf numFmtId="5" fontId="4" fillId="0" borderId="0" xfId="1" applyNumberFormat="1" applyFont="1" applyAlignment="1">
      <alignment horizontal="center"/>
    </xf>
    <xf numFmtId="5" fontId="4" fillId="0" borderId="3" xfId="1" applyNumberFormat="1" applyFont="1" applyBorder="1" applyAlignment="1">
      <alignment horizontal="center"/>
    </xf>
    <xf numFmtId="5" fontId="4" fillId="0" borderId="4" xfId="1" applyNumberFormat="1" applyFont="1" applyBorder="1" applyAlignment="1">
      <alignment horizontal="center"/>
    </xf>
    <xf numFmtId="37" fontId="4" fillId="0" borderId="6" xfId="1" applyNumberFormat="1" applyFont="1" applyBorder="1" applyAlignment="1">
      <alignment horizontal="center"/>
    </xf>
    <xf numFmtId="37" fontId="4" fillId="0" borderId="0" xfId="1" applyNumberFormat="1" applyFont="1" applyAlignment="1">
      <alignment horizontal="center"/>
    </xf>
    <xf numFmtId="37" fontId="4" fillId="0" borderId="3" xfId="1" applyNumberFormat="1" applyFont="1" applyBorder="1" applyAlignment="1">
      <alignment horizontal="center"/>
    </xf>
    <xf numFmtId="37" fontId="4" fillId="0" borderId="4" xfId="1" applyNumberFormat="1" applyFont="1" applyBorder="1" applyAlignment="1">
      <alignment horizontal="center"/>
    </xf>
    <xf numFmtId="5" fontId="4" fillId="0" borderId="5" xfId="1" applyNumberFormat="1" applyFont="1" applyBorder="1" applyAlignment="1">
      <alignment horizontal="center"/>
    </xf>
    <xf numFmtId="164" fontId="8" fillId="0" borderId="0" xfId="1" applyFont="1" applyAlignment="1">
      <alignment horizontal="center"/>
    </xf>
    <xf numFmtId="165" fontId="4" fillId="0" borderId="7" xfId="3" applyNumberFormat="1" applyFont="1" applyFill="1" applyBorder="1" applyAlignment="1">
      <alignment horizontal="center"/>
    </xf>
    <xf numFmtId="164" fontId="4" fillId="0" borderId="7" xfId="1" applyFont="1" applyBorder="1" applyAlignment="1">
      <alignment vertical="top" wrapText="1"/>
    </xf>
    <xf numFmtId="164" fontId="4" fillId="0" borderId="3" xfId="1" applyFont="1" applyBorder="1"/>
    <xf numFmtId="5" fontId="4" fillId="0" borderId="2" xfId="1" applyNumberFormat="1" applyFont="1" applyBorder="1" applyAlignment="1">
      <alignment horizontal="center"/>
    </xf>
    <xf numFmtId="5" fontId="4" fillId="0" borderId="6" xfId="1" applyNumberFormat="1" applyFont="1" applyBorder="1" applyAlignment="1">
      <alignment horizontal="center"/>
    </xf>
    <xf numFmtId="5" fontId="4" fillId="0" borderId="1" xfId="1" applyNumberFormat="1" applyFont="1" applyBorder="1" applyAlignment="1">
      <alignment horizontal="center"/>
    </xf>
    <xf numFmtId="37" fontId="4" fillId="0" borderId="1" xfId="1" applyNumberFormat="1" applyFont="1" applyBorder="1" applyAlignment="1">
      <alignment horizontal="center"/>
    </xf>
    <xf numFmtId="37" fontId="4" fillId="0" borderId="2" xfId="1" applyNumberFormat="1" applyFont="1" applyBorder="1" applyAlignment="1">
      <alignment horizontal="center"/>
    </xf>
    <xf numFmtId="164" fontId="7" fillId="0" borderId="6" xfId="1" applyFont="1" applyBorder="1" applyAlignment="1">
      <alignment horizontal="left" vertical="top" wrapText="1" indent="1"/>
    </xf>
    <xf numFmtId="5" fontId="7" fillId="0" borderId="0" xfId="1" applyNumberFormat="1" applyFont="1" applyAlignment="1">
      <alignment horizontal="center"/>
    </xf>
    <xf numFmtId="37" fontId="7" fillId="0" borderId="0" xfId="1" applyNumberFormat="1" applyFont="1" applyAlignment="1">
      <alignment horizontal="center"/>
    </xf>
    <xf numFmtId="37" fontId="7" fillId="0" borderId="1" xfId="1" applyNumberFormat="1" applyFont="1" applyBorder="1" applyAlignment="1">
      <alignment horizontal="center"/>
    </xf>
    <xf numFmtId="164" fontId="7" fillId="0" borderId="0" xfId="1" applyFont="1"/>
    <xf numFmtId="37" fontId="7" fillId="0" borderId="6" xfId="1" applyNumberFormat="1" applyFont="1" applyBorder="1" applyAlignment="1">
      <alignment horizontal="center"/>
    </xf>
    <xf numFmtId="37" fontId="9" fillId="0" borderId="0" xfId="1" applyNumberFormat="1" applyFont="1" applyAlignment="1">
      <alignment horizontal="center"/>
    </xf>
    <xf numFmtId="37" fontId="9" fillId="0" borderId="1" xfId="1" applyNumberFormat="1" applyFont="1" applyBorder="1" applyAlignment="1">
      <alignment horizontal="center"/>
    </xf>
    <xf numFmtId="37" fontId="7" fillId="0" borderId="7" xfId="1" applyNumberFormat="1" applyFont="1" applyBorder="1" applyAlignment="1">
      <alignment horizontal="center"/>
    </xf>
    <xf numFmtId="164" fontId="9" fillId="0" borderId="0" xfId="1" applyFont="1" applyAlignment="1">
      <alignment horizontal="center"/>
    </xf>
    <xf numFmtId="165" fontId="7" fillId="0" borderId="7" xfId="3" applyNumberFormat="1" applyFont="1" applyFill="1" applyBorder="1" applyAlignment="1">
      <alignment horizontal="center"/>
    </xf>
    <xf numFmtId="164" fontId="7" fillId="0" borderId="7" xfId="1" applyFont="1" applyBorder="1" applyAlignment="1">
      <alignment horizontal="left" vertical="top" wrapText="1" indent="1"/>
    </xf>
    <xf numFmtId="5" fontId="7" fillId="0" borderId="1" xfId="1" applyNumberFormat="1" applyFont="1" applyBorder="1" applyAlignment="1">
      <alignment horizontal="center"/>
    </xf>
    <xf numFmtId="5" fontId="7" fillId="0" borderId="6" xfId="1" applyNumberFormat="1" applyFont="1" applyBorder="1" applyAlignment="1">
      <alignment horizontal="center"/>
    </xf>
    <xf numFmtId="37" fontId="9" fillId="0" borderId="7" xfId="1" applyNumberFormat="1" applyFont="1" applyBorder="1" applyAlignment="1">
      <alignment horizontal="center"/>
    </xf>
    <xf numFmtId="5" fontId="6" fillId="0" borderId="0" xfId="1" applyNumberFormat="1" applyFont="1" applyAlignment="1">
      <alignment horizontal="center"/>
    </xf>
    <xf numFmtId="37" fontId="4" fillId="0" borderId="9" xfId="1" applyNumberFormat="1" applyFont="1" applyBorder="1" applyAlignment="1">
      <alignment horizontal="center" vertical="top"/>
    </xf>
    <xf numFmtId="37" fontId="4" fillId="0" borderId="10" xfId="1" applyNumberFormat="1" applyFont="1" applyBorder="1" applyAlignment="1">
      <alignment horizontal="center" vertical="top"/>
    </xf>
    <xf numFmtId="164" fontId="6" fillId="0" borderId="0" xfId="1" applyFont="1"/>
    <xf numFmtId="37" fontId="4" fillId="0" borderId="11" xfId="1" applyNumberFormat="1" applyFont="1" applyBorder="1" applyAlignment="1">
      <alignment horizontal="center" vertical="top"/>
    </xf>
    <xf numFmtId="164" fontId="10" fillId="0" borderId="0" xfId="1" applyFont="1" applyAlignment="1">
      <alignment horizontal="center"/>
    </xf>
    <xf numFmtId="165" fontId="6" fillId="0" borderId="7" xfId="3" applyNumberFormat="1" applyFont="1" applyFill="1" applyBorder="1" applyAlignment="1">
      <alignment horizontal="center"/>
    </xf>
    <xf numFmtId="37" fontId="4" fillId="0" borderId="8" xfId="1" applyNumberFormat="1" applyFont="1" applyBorder="1" applyAlignment="1">
      <alignment horizontal="center" vertical="top"/>
    </xf>
    <xf numFmtId="37" fontId="6" fillId="0" borderId="6" xfId="1" applyNumberFormat="1" applyFont="1" applyBorder="1" applyAlignment="1">
      <alignment horizontal="center"/>
    </xf>
    <xf numFmtId="37" fontId="6" fillId="0" borderId="0" xfId="1" applyNumberFormat="1" applyFont="1" applyAlignment="1">
      <alignment horizontal="center"/>
    </xf>
    <xf numFmtId="37" fontId="6" fillId="0" borderId="1" xfId="1" applyNumberFormat="1" applyFont="1" applyBorder="1" applyAlignment="1">
      <alignment horizontal="center"/>
    </xf>
    <xf numFmtId="5" fontId="4" fillId="0" borderId="0" xfId="1" applyNumberFormat="1" applyFont="1" applyAlignment="1">
      <alignment horizontal="center" vertical="top"/>
    </xf>
    <xf numFmtId="5" fontId="4" fillId="0" borderId="1" xfId="1" applyNumberFormat="1" applyFont="1" applyBorder="1" applyAlignment="1">
      <alignment horizontal="center" vertical="top"/>
    </xf>
    <xf numFmtId="5" fontId="4" fillId="0" borderId="7" xfId="1" applyNumberFormat="1" applyFont="1" applyBorder="1" applyAlignment="1">
      <alignment horizontal="center" vertical="top"/>
    </xf>
    <xf numFmtId="5" fontId="4" fillId="0" borderId="6" xfId="1" applyNumberFormat="1" applyFont="1" applyBorder="1" applyAlignment="1">
      <alignment horizontal="center" vertical="top"/>
    </xf>
    <xf numFmtId="37" fontId="4" fillId="0" borderId="7" xfId="1" applyNumberFormat="1" applyFont="1" applyBorder="1" applyAlignment="1">
      <alignment horizontal="center"/>
    </xf>
    <xf numFmtId="38" fontId="4" fillId="0" borderId="0" xfId="4" applyNumberFormat="1" applyFont="1" applyFill="1" applyBorder="1" applyAlignment="1" applyProtection="1">
      <alignment horizontal="center"/>
    </xf>
    <xf numFmtId="38" fontId="4" fillId="0" borderId="1" xfId="4" applyNumberFormat="1" applyFont="1" applyFill="1" applyBorder="1" applyAlignment="1" applyProtection="1">
      <alignment horizontal="center"/>
    </xf>
    <xf numFmtId="38" fontId="4" fillId="0" borderId="6" xfId="4" applyNumberFormat="1" applyFont="1" applyFill="1" applyBorder="1" applyAlignment="1" applyProtection="1">
      <alignment horizontal="center"/>
    </xf>
    <xf numFmtId="1" fontId="4" fillId="0" borderId="0" xfId="4" applyNumberFormat="1" applyFont="1" applyFill="1" applyBorder="1" applyAlignment="1" applyProtection="1">
      <alignment horizontal="center"/>
    </xf>
    <xf numFmtId="37" fontId="4" fillId="0" borderId="0" xfId="4" applyNumberFormat="1" applyFont="1" applyFill="1" applyBorder="1" applyAlignment="1" applyProtection="1">
      <alignment horizontal="center"/>
    </xf>
    <xf numFmtId="38" fontId="8" fillId="0" borderId="0" xfId="4" applyNumberFormat="1" applyFont="1" applyFill="1" applyBorder="1" applyAlignment="1" applyProtection="1">
      <alignment horizontal="center"/>
    </xf>
    <xf numFmtId="37" fontId="4" fillId="0" borderId="9" xfId="1" applyNumberFormat="1" applyFont="1" applyBorder="1" applyAlignment="1">
      <alignment horizontal="center"/>
    </xf>
    <xf numFmtId="37" fontId="4" fillId="0" borderId="10" xfId="1" applyNumberFormat="1" applyFont="1" applyBorder="1" applyAlignment="1">
      <alignment horizontal="center"/>
    </xf>
    <xf numFmtId="37" fontId="4" fillId="0" borderId="11" xfId="1" applyNumberFormat="1" applyFont="1" applyBorder="1" applyAlignment="1">
      <alignment horizontal="center"/>
    </xf>
    <xf numFmtId="5" fontId="4" fillId="0" borderId="3" xfId="1" applyNumberFormat="1" applyFont="1" applyBorder="1" applyAlignment="1">
      <alignment horizontal="center" vertical="top"/>
    </xf>
    <xf numFmtId="164" fontId="4" fillId="0" borderId="7" xfId="1" applyFont="1" applyBorder="1" applyAlignment="1">
      <alignment horizontal="center"/>
    </xf>
    <xf numFmtId="5" fontId="4" fillId="0" borderId="4" xfId="1" applyNumberFormat="1" applyFont="1" applyBorder="1" applyAlignment="1">
      <alignment horizontal="center" vertical="top"/>
    </xf>
    <xf numFmtId="5" fontId="4" fillId="0" borderId="2" xfId="1" applyNumberFormat="1" applyFont="1" applyBorder="1" applyAlignment="1">
      <alignment horizontal="center" vertical="top"/>
    </xf>
    <xf numFmtId="37" fontId="11" fillId="0" borderId="0" xfId="1" applyNumberFormat="1" applyFont="1" applyAlignment="1">
      <alignment horizontal="center"/>
    </xf>
    <xf numFmtId="37" fontId="11" fillId="0" borderId="1" xfId="1" applyNumberFormat="1" applyFont="1" applyBorder="1" applyAlignment="1">
      <alignment horizontal="center"/>
    </xf>
    <xf numFmtId="37" fontId="11" fillId="0" borderId="7" xfId="1" applyNumberFormat="1" applyFont="1" applyBorder="1" applyAlignment="1">
      <alignment horizontal="center"/>
    </xf>
    <xf numFmtId="37" fontId="11" fillId="0" borderId="6" xfId="1" applyNumberFormat="1" applyFont="1" applyBorder="1" applyAlignment="1">
      <alignment horizontal="center"/>
    </xf>
    <xf numFmtId="164" fontId="4" fillId="0" borderId="6" xfId="1" applyFont="1" applyBorder="1" applyAlignment="1">
      <alignment horizontal="left" wrapText="1"/>
    </xf>
    <xf numFmtId="37" fontId="12" fillId="0" borderId="9" xfId="1" applyNumberFormat="1" applyFont="1" applyBorder="1" applyAlignment="1">
      <alignment horizontal="center"/>
    </xf>
    <xf numFmtId="37" fontId="12" fillId="0" borderId="10" xfId="1" applyNumberFormat="1" applyFont="1" applyBorder="1" applyAlignment="1">
      <alignment horizontal="center"/>
    </xf>
    <xf numFmtId="37" fontId="12" fillId="0" borderId="11" xfId="1" applyNumberFormat="1" applyFont="1" applyBorder="1" applyAlignment="1">
      <alignment horizontal="center"/>
    </xf>
    <xf numFmtId="37" fontId="8" fillId="0" borderId="0" xfId="1" applyNumberFormat="1" applyFont="1" applyAlignment="1">
      <alignment horizontal="center"/>
    </xf>
    <xf numFmtId="164" fontId="4" fillId="0" borderId="6" xfId="1" applyFont="1" applyBorder="1" applyAlignment="1">
      <alignment horizontal="center"/>
    </xf>
    <xf numFmtId="164" fontId="4" fillId="0" borderId="1" xfId="1" applyFont="1" applyBorder="1" applyAlignment="1">
      <alignment horizontal="center"/>
    </xf>
    <xf numFmtId="37" fontId="12" fillId="0" borderId="0" xfId="1" applyNumberFormat="1" applyFont="1" applyAlignment="1">
      <alignment horizontal="center"/>
    </xf>
    <xf numFmtId="6" fontId="4" fillId="0" borderId="0" xfId="6" applyNumberFormat="1" applyFont="1" applyFill="1" applyBorder="1" applyAlignment="1" applyProtection="1">
      <alignment horizontal="center"/>
    </xf>
    <xf numFmtId="164" fontId="8" fillId="0" borderId="1" xfId="1" applyFont="1" applyBorder="1" applyAlignment="1">
      <alignment horizontal="center"/>
    </xf>
    <xf numFmtId="164" fontId="8" fillId="0" borderId="7" xfId="1" applyFont="1" applyBorder="1" applyAlignment="1">
      <alignment horizontal="center"/>
    </xf>
    <xf numFmtId="5" fontId="4" fillId="0" borderId="5" xfId="1" applyNumberFormat="1" applyFont="1" applyBorder="1" applyAlignment="1">
      <alignment horizontal="center" vertical="top"/>
    </xf>
    <xf numFmtId="164" fontId="4" fillId="0" borderId="6" xfId="1" applyFont="1" applyBorder="1" applyAlignment="1">
      <alignment horizontal="left" vertical="top" wrapText="1"/>
    </xf>
    <xf numFmtId="1" fontId="4" fillId="0" borderId="0" xfId="1" applyNumberFormat="1" applyFont="1" applyAlignment="1">
      <alignment horizontal="center" vertical="top"/>
    </xf>
    <xf numFmtId="38" fontId="12" fillId="0" borderId="0" xfId="4" applyNumberFormat="1" applyFont="1" applyFill="1" applyBorder="1" applyAlignment="1" applyProtection="1">
      <alignment horizontal="center"/>
    </xf>
    <xf numFmtId="38" fontId="12" fillId="0" borderId="1" xfId="4" applyNumberFormat="1" applyFont="1" applyFill="1" applyBorder="1" applyAlignment="1" applyProtection="1">
      <alignment horizontal="center"/>
    </xf>
    <xf numFmtId="38" fontId="12" fillId="0" borderId="7" xfId="4" applyNumberFormat="1" applyFont="1" applyFill="1" applyBorder="1" applyAlignment="1" applyProtection="1">
      <alignment horizontal="center"/>
    </xf>
    <xf numFmtId="164" fontId="6" fillId="0" borderId="6" xfId="1" applyFont="1" applyBorder="1" applyAlignment="1">
      <alignment vertical="top" wrapText="1"/>
    </xf>
    <xf numFmtId="39" fontId="13" fillId="0" borderId="0" xfId="1" applyNumberFormat="1" applyFont="1" applyAlignment="1">
      <alignment horizontal="center"/>
    </xf>
    <xf numFmtId="168" fontId="14" fillId="0" borderId="0" xfId="1" applyNumberFormat="1" applyFont="1" applyAlignment="1">
      <alignment horizontal="center"/>
    </xf>
    <xf numFmtId="168" fontId="14" fillId="0" borderId="1" xfId="1" applyNumberFormat="1" applyFont="1" applyBorder="1" applyAlignment="1">
      <alignment horizontal="center"/>
    </xf>
    <xf numFmtId="39" fontId="13" fillId="0" borderId="7" xfId="1" applyNumberFormat="1" applyFont="1" applyBorder="1" applyAlignment="1">
      <alignment horizontal="center"/>
    </xf>
    <xf numFmtId="39" fontId="15" fillId="0" borderId="6" xfId="1" applyNumberFormat="1" applyFont="1" applyBorder="1" applyAlignment="1">
      <alignment horizontal="center"/>
    </xf>
    <xf numFmtId="39" fontId="15" fillId="0" borderId="0" xfId="1" applyNumberFormat="1" applyFont="1" applyAlignment="1">
      <alignment horizontal="center"/>
    </xf>
    <xf numFmtId="39" fontId="15" fillId="0" borderId="1" xfId="1" applyNumberFormat="1" applyFont="1" applyBorder="1" applyAlignment="1">
      <alignment horizontal="center"/>
    </xf>
    <xf numFmtId="39" fontId="4" fillId="0" borderId="6" xfId="1" applyNumberFormat="1" applyFont="1" applyBorder="1" applyAlignment="1">
      <alignment horizontal="center"/>
    </xf>
    <xf numFmtId="39" fontId="14" fillId="0" borderId="6" xfId="1" applyNumberFormat="1" applyFont="1" applyBorder="1" applyAlignment="1">
      <alignment horizontal="center"/>
    </xf>
    <xf numFmtId="39" fontId="16" fillId="0" borderId="0" xfId="1" applyNumberFormat="1" applyFont="1" applyAlignment="1">
      <alignment horizontal="center"/>
    </xf>
    <xf numFmtId="39" fontId="16" fillId="0" borderId="1" xfId="1" applyNumberFormat="1" applyFont="1" applyBorder="1" applyAlignment="1">
      <alignment horizontal="center"/>
    </xf>
    <xf numFmtId="39" fontId="16" fillId="0" borderId="6" xfId="1" applyNumberFormat="1" applyFont="1" applyBorder="1" applyAlignment="1">
      <alignment horizontal="center"/>
    </xf>
    <xf numFmtId="39" fontId="14" fillId="0" borderId="0" xfId="1" applyNumberFormat="1" applyFont="1" applyAlignment="1">
      <alignment horizontal="center"/>
    </xf>
    <xf numFmtId="168" fontId="14" fillId="0" borderId="6" xfId="1" applyNumberFormat="1" applyFont="1" applyBorder="1" applyAlignment="1">
      <alignment horizontal="center"/>
    </xf>
    <xf numFmtId="7" fontId="6" fillId="0" borderId="0" xfId="1" applyNumberFormat="1" applyFont="1" applyAlignment="1">
      <alignment horizontal="center" vertical="top"/>
    </xf>
    <xf numFmtId="7" fontId="6" fillId="0" borderId="1" xfId="1" applyNumberFormat="1" applyFont="1" applyBorder="1" applyAlignment="1">
      <alignment horizontal="center" vertical="top"/>
    </xf>
    <xf numFmtId="7" fontId="6" fillId="0" borderId="7" xfId="1" applyNumberFormat="1" applyFont="1" applyBorder="1" applyAlignment="1">
      <alignment horizontal="center" vertical="top"/>
    </xf>
    <xf numFmtId="164" fontId="6" fillId="0" borderId="0" xfId="1" applyFont="1" applyAlignment="1">
      <alignment horizontal="center"/>
    </xf>
    <xf numFmtId="164" fontId="6" fillId="0" borderId="7" xfId="1" applyFont="1" applyBorder="1" applyAlignment="1">
      <alignment horizontal="center"/>
    </xf>
    <xf numFmtId="7" fontId="6" fillId="0" borderId="6" xfId="1" applyNumberFormat="1" applyFont="1" applyBorder="1" applyAlignment="1">
      <alignment horizontal="center" vertical="top"/>
    </xf>
    <xf numFmtId="39" fontId="4" fillId="0" borderId="0" xfId="1" applyNumberFormat="1" applyFont="1" applyAlignment="1">
      <alignment horizontal="center" vertical="top"/>
    </xf>
    <xf numFmtId="39" fontId="4" fillId="0" borderId="1" xfId="1" applyNumberFormat="1" applyFont="1" applyBorder="1" applyAlignment="1">
      <alignment horizontal="center" vertical="top"/>
    </xf>
    <xf numFmtId="39" fontId="4" fillId="0" borderId="7" xfId="1" applyNumberFormat="1" applyFont="1" applyBorder="1" applyAlignment="1">
      <alignment horizontal="center" vertical="top"/>
    </xf>
    <xf numFmtId="39" fontId="4" fillId="0" borderId="6" xfId="1" applyNumberFormat="1" applyFont="1" applyBorder="1" applyAlignment="1">
      <alignment horizontal="center" vertical="top"/>
    </xf>
    <xf numFmtId="7" fontId="4" fillId="0" borderId="0" xfId="1" applyNumberFormat="1" applyFont="1" applyAlignment="1">
      <alignment horizontal="center" vertical="top"/>
    </xf>
    <xf numFmtId="7" fontId="4" fillId="0" borderId="1" xfId="1" applyNumberFormat="1" applyFont="1" applyBorder="1" applyAlignment="1">
      <alignment horizontal="center" vertical="top"/>
    </xf>
    <xf numFmtId="7" fontId="4" fillId="0" borderId="7" xfId="1" applyNumberFormat="1" applyFont="1" applyBorder="1" applyAlignment="1">
      <alignment horizontal="center" vertical="top"/>
    </xf>
    <xf numFmtId="7" fontId="4" fillId="0" borderId="6" xfId="1" applyNumberFormat="1" applyFont="1" applyBorder="1" applyAlignment="1">
      <alignment horizontal="center" vertical="top"/>
    </xf>
    <xf numFmtId="169" fontId="17" fillId="0" borderId="0" xfId="1" applyNumberFormat="1" applyFont="1" applyAlignment="1">
      <alignment horizontal="center"/>
    </xf>
    <xf numFmtId="169" fontId="18" fillId="0" borderId="0" xfId="1" applyNumberFormat="1" applyFont="1" applyAlignment="1">
      <alignment horizontal="center"/>
    </xf>
    <xf numFmtId="169" fontId="17" fillId="0" borderId="1" xfId="1" applyNumberFormat="1" applyFont="1" applyBorder="1" applyAlignment="1">
      <alignment horizontal="center"/>
    </xf>
    <xf numFmtId="164" fontId="4" fillId="0" borderId="6" xfId="1" applyFont="1" applyBorder="1"/>
    <xf numFmtId="169" fontId="19" fillId="0" borderId="7" xfId="1" applyNumberFormat="1" applyFont="1" applyBorder="1" applyAlignment="1">
      <alignment horizontal="center"/>
    </xf>
    <xf numFmtId="169" fontId="19" fillId="0" borderId="0" xfId="1" applyNumberFormat="1" applyFont="1" applyAlignment="1">
      <alignment horizontal="center"/>
    </xf>
    <xf numFmtId="169" fontId="19" fillId="0" borderId="1" xfId="1" applyNumberFormat="1" applyFont="1" applyBorder="1" applyAlignment="1">
      <alignment horizontal="center"/>
    </xf>
    <xf numFmtId="169" fontId="19" fillId="0" borderId="6" xfId="1" applyNumberFormat="1" applyFont="1" applyBorder="1" applyAlignment="1">
      <alignment horizontal="center"/>
    </xf>
    <xf numFmtId="169" fontId="20" fillId="0" borderId="6" xfId="1" applyNumberFormat="1" applyFont="1" applyBorder="1" applyAlignment="1">
      <alignment horizontal="center"/>
    </xf>
    <xf numFmtId="9" fontId="19" fillId="0" borderId="0" xfId="1" applyNumberFormat="1" applyFont="1" applyAlignment="1">
      <alignment horizontal="center"/>
    </xf>
    <xf numFmtId="9" fontId="19" fillId="0" borderId="1" xfId="1" applyNumberFormat="1" applyFont="1" applyBorder="1" applyAlignment="1">
      <alignment horizontal="center"/>
    </xf>
    <xf numFmtId="9" fontId="19" fillId="0" borderId="6" xfId="1" applyNumberFormat="1" applyFont="1" applyBorder="1" applyAlignment="1">
      <alignment horizontal="center"/>
    </xf>
    <xf numFmtId="9" fontId="20" fillId="0" borderId="0" xfId="1" applyNumberFormat="1" applyFont="1" applyAlignment="1">
      <alignment horizontal="center"/>
    </xf>
    <xf numFmtId="2" fontId="4" fillId="0" borderId="0" xfId="1" applyNumberFormat="1" applyFont="1" applyAlignment="1">
      <alignment horizontal="center"/>
    </xf>
    <xf numFmtId="170" fontId="4" fillId="0" borderId="0" xfId="1" applyNumberFormat="1" applyFont="1" applyAlignment="1">
      <alignment horizontal="center"/>
    </xf>
    <xf numFmtId="170" fontId="4" fillId="0" borderId="0" xfId="7" applyNumberFormat="1" applyFont="1" applyAlignment="1">
      <alignment horizontal="center"/>
    </xf>
    <xf numFmtId="170" fontId="8" fillId="0" borderId="0" xfId="1" applyNumberFormat="1" applyFont="1" applyAlignment="1">
      <alignment horizontal="center"/>
    </xf>
    <xf numFmtId="170" fontId="8" fillId="0" borderId="1" xfId="1" applyNumberFormat="1" applyFont="1" applyBorder="1" applyAlignment="1">
      <alignment horizontal="center"/>
    </xf>
    <xf numFmtId="2" fontId="4" fillId="0" borderId="0" xfId="1" applyNumberFormat="1" applyFont="1"/>
    <xf numFmtId="2" fontId="4" fillId="0" borderId="6" xfId="1" applyNumberFormat="1" applyFont="1" applyBorder="1"/>
    <xf numFmtId="2" fontId="4" fillId="0" borderId="6" xfId="1" applyNumberFormat="1" applyFont="1" applyBorder="1" applyAlignment="1">
      <alignment horizontal="center"/>
    </xf>
    <xf numFmtId="2" fontId="4" fillId="0" borderId="1" xfId="1" applyNumberFormat="1" applyFont="1" applyBorder="1" applyAlignment="1">
      <alignment horizontal="center"/>
    </xf>
    <xf numFmtId="171" fontId="4" fillId="0" borderId="7" xfId="1" applyNumberFormat="1" applyFont="1" applyBorder="1" applyAlignment="1">
      <alignment horizontal="center"/>
    </xf>
    <xf numFmtId="2" fontId="4" fillId="0" borderId="7" xfId="1" applyNumberFormat="1" applyFont="1" applyBorder="1" applyAlignment="1">
      <alignment horizontal="center"/>
    </xf>
    <xf numFmtId="170" fontId="4" fillId="0" borderId="1" xfId="1" applyNumberFormat="1" applyFont="1" applyBorder="1" applyAlignment="1">
      <alignment horizontal="center"/>
    </xf>
    <xf numFmtId="170" fontId="4" fillId="0" borderId="6" xfId="1" applyNumberFormat="1" applyFont="1" applyBorder="1" applyAlignment="1">
      <alignment horizontal="center"/>
    </xf>
    <xf numFmtId="170" fontId="4" fillId="0" borderId="7" xfId="1" applyNumberFormat="1" applyFont="1" applyBorder="1" applyAlignment="1">
      <alignment horizontal="center"/>
    </xf>
    <xf numFmtId="9" fontId="4" fillId="0" borderId="6" xfId="3" applyFont="1" applyFill="1" applyBorder="1" applyAlignment="1" applyProtection="1">
      <alignment horizontal="center"/>
    </xf>
    <xf numFmtId="9" fontId="4" fillId="0" borderId="0" xfId="3" applyFont="1" applyFill="1" applyBorder="1" applyAlignment="1" applyProtection="1">
      <alignment horizontal="center"/>
    </xf>
    <xf numFmtId="9" fontId="4" fillId="0" borderId="1" xfId="3" applyFont="1" applyFill="1" applyBorder="1" applyAlignment="1" applyProtection="1">
      <alignment horizontal="center"/>
    </xf>
    <xf numFmtId="9" fontId="4" fillId="0" borderId="6" xfId="5" applyFont="1" applyFill="1" applyBorder="1" applyAlignment="1" applyProtection="1">
      <alignment horizontal="center"/>
    </xf>
    <xf numFmtId="9" fontId="4" fillId="0" borderId="0" xfId="5" applyFont="1" applyFill="1" applyBorder="1" applyAlignment="1" applyProtection="1">
      <alignment horizontal="center"/>
    </xf>
    <xf numFmtId="7" fontId="22" fillId="0" borderId="6" xfId="1" applyNumberFormat="1" applyFont="1" applyBorder="1" applyAlignment="1">
      <alignment wrapText="1"/>
    </xf>
    <xf numFmtId="7" fontId="22" fillId="0" borderId="0" xfId="1" applyNumberFormat="1" applyFont="1"/>
    <xf numFmtId="7" fontId="22" fillId="0" borderId="0" xfId="1" applyNumberFormat="1" applyFont="1" applyAlignment="1">
      <alignment horizontal="center"/>
    </xf>
    <xf numFmtId="9" fontId="22" fillId="0" borderId="0" xfId="1" applyNumberFormat="1" applyFont="1" applyAlignment="1">
      <alignment horizontal="center"/>
    </xf>
    <xf numFmtId="7" fontId="7" fillId="0" borderId="0" xfId="1" applyNumberFormat="1" applyFont="1" applyAlignment="1">
      <alignment horizontal="center"/>
    </xf>
    <xf numFmtId="7" fontId="22" fillId="0" borderId="1" xfId="1" applyNumberFormat="1" applyFont="1" applyBorder="1" applyAlignment="1">
      <alignment horizontal="center"/>
    </xf>
    <xf numFmtId="164" fontId="22" fillId="0" borderId="0" xfId="1" applyFont="1"/>
    <xf numFmtId="164" fontId="22" fillId="0" borderId="6" xfId="1" applyFont="1" applyBorder="1"/>
    <xf numFmtId="164" fontId="22" fillId="0" borderId="0" xfId="1" applyFont="1" applyAlignment="1">
      <alignment horizontal="center"/>
    </xf>
    <xf numFmtId="164" fontId="22" fillId="0" borderId="6" xfId="1" applyFont="1" applyBorder="1" applyAlignment="1">
      <alignment horizontal="center"/>
    </xf>
    <xf numFmtId="164" fontId="22" fillId="0" borderId="1" xfId="1" applyFont="1" applyBorder="1" applyAlignment="1">
      <alignment horizontal="center"/>
    </xf>
    <xf numFmtId="7" fontId="22" fillId="0" borderId="7" xfId="1" applyNumberFormat="1" applyFont="1" applyBorder="1" applyAlignment="1">
      <alignment horizontal="center"/>
    </xf>
    <xf numFmtId="164" fontId="22" fillId="0" borderId="7" xfId="1" applyFont="1" applyBorder="1" applyAlignment="1">
      <alignment horizontal="center"/>
    </xf>
    <xf numFmtId="7" fontId="22" fillId="0" borderId="6" xfId="1" applyNumberFormat="1" applyFont="1" applyBorder="1" applyAlignment="1">
      <alignment horizontal="center"/>
    </xf>
    <xf numFmtId="164" fontId="22" fillId="0" borderId="1" xfId="1" applyFont="1" applyBorder="1"/>
    <xf numFmtId="7" fontId="22" fillId="0" borderId="6" xfId="1" applyNumberFormat="1" applyFont="1" applyBorder="1" applyAlignment="1">
      <alignment horizontal="left" wrapText="1" indent="1"/>
    </xf>
    <xf numFmtId="38" fontId="22" fillId="0" borderId="0" xfId="4" applyNumberFormat="1" applyFont="1" applyFill="1" applyBorder="1" applyProtection="1"/>
    <xf numFmtId="38" fontId="22" fillId="0" borderId="0" xfId="4" applyNumberFormat="1" applyFont="1" applyFill="1" applyBorder="1" applyAlignment="1" applyProtection="1">
      <alignment horizontal="center"/>
    </xf>
    <xf numFmtId="38" fontId="7" fillId="0" borderId="0" xfId="4" applyNumberFormat="1" applyFont="1" applyFill="1" applyBorder="1" applyAlignment="1" applyProtection="1">
      <alignment horizontal="center"/>
    </xf>
    <xf numFmtId="38" fontId="22" fillId="0" borderId="1" xfId="4" applyNumberFormat="1" applyFont="1" applyFill="1" applyBorder="1" applyAlignment="1" applyProtection="1">
      <alignment horizontal="center"/>
    </xf>
    <xf numFmtId="37" fontId="22" fillId="0" borderId="0" xfId="1" applyNumberFormat="1" applyFont="1" applyAlignment="1">
      <alignment horizontal="center"/>
    </xf>
    <xf numFmtId="37" fontId="22" fillId="0" borderId="6" xfId="1" applyNumberFormat="1" applyFont="1" applyBorder="1" applyAlignment="1">
      <alignment horizontal="center"/>
    </xf>
    <xf numFmtId="37" fontId="22" fillId="0" borderId="1" xfId="1" applyNumberFormat="1" applyFont="1" applyBorder="1" applyAlignment="1">
      <alignment horizontal="center"/>
    </xf>
    <xf numFmtId="38" fontId="22" fillId="0" borderId="7" xfId="4" applyNumberFormat="1" applyFont="1" applyFill="1" applyBorder="1" applyAlignment="1" applyProtection="1">
      <alignment horizontal="center"/>
    </xf>
    <xf numFmtId="38" fontId="22" fillId="0" borderId="6" xfId="4" applyNumberFormat="1" applyFont="1" applyFill="1" applyBorder="1" applyAlignment="1" applyProtection="1">
      <alignment horizontal="center"/>
    </xf>
    <xf numFmtId="9" fontId="22" fillId="0" borderId="6" xfId="3" applyFont="1" applyFill="1" applyBorder="1" applyAlignment="1">
      <alignment horizontal="center"/>
    </xf>
    <xf numFmtId="9" fontId="22" fillId="0" borderId="0" xfId="3" applyFont="1" applyFill="1" applyBorder="1" applyAlignment="1">
      <alignment horizontal="center"/>
    </xf>
    <xf numFmtId="9" fontId="22" fillId="0" borderId="1" xfId="3" applyFont="1" applyFill="1" applyBorder="1" applyAlignment="1">
      <alignment horizontal="center"/>
    </xf>
    <xf numFmtId="165" fontId="22" fillId="0" borderId="0" xfId="3" applyNumberFormat="1" applyFont="1" applyFill="1" applyBorder="1" applyAlignment="1">
      <alignment horizontal="center"/>
    </xf>
    <xf numFmtId="165" fontId="22" fillId="0" borderId="1" xfId="3" applyNumberFormat="1" applyFont="1" applyFill="1" applyBorder="1" applyAlignment="1">
      <alignment horizontal="center"/>
    </xf>
    <xf numFmtId="8" fontId="22" fillId="0" borderId="0" xfId="6" applyFont="1" applyFill="1" applyBorder="1" applyAlignment="1" applyProtection="1">
      <alignment horizontal="center"/>
    </xf>
    <xf numFmtId="8" fontId="7" fillId="0" borderId="0" xfId="6" applyFont="1" applyFill="1" applyBorder="1" applyAlignment="1" applyProtection="1">
      <alignment horizontal="center"/>
    </xf>
    <xf numFmtId="8" fontId="22" fillId="0" borderId="1" xfId="6" applyFont="1" applyFill="1" applyBorder="1" applyAlignment="1" applyProtection="1">
      <alignment horizontal="center"/>
    </xf>
    <xf numFmtId="172" fontId="22" fillId="0" borderId="0" xfId="1" applyNumberFormat="1" applyFont="1" applyAlignment="1">
      <alignment horizontal="center"/>
    </xf>
    <xf numFmtId="8" fontId="22" fillId="0" borderId="7" xfId="6" applyFont="1" applyFill="1" applyBorder="1" applyAlignment="1" applyProtection="1">
      <alignment horizontal="center"/>
    </xf>
    <xf numFmtId="8" fontId="22" fillId="0" borderId="6" xfId="6" applyFont="1" applyFill="1" applyBorder="1" applyAlignment="1" applyProtection="1">
      <alignment horizontal="center"/>
    </xf>
    <xf numFmtId="8" fontId="22" fillId="0" borderId="6" xfId="8" applyFont="1" applyFill="1" applyBorder="1" applyAlignment="1" applyProtection="1">
      <alignment horizontal="center"/>
    </xf>
    <xf numFmtId="8" fontId="22" fillId="0" borderId="0" xfId="8" applyFont="1" applyFill="1" applyBorder="1" applyAlignment="1" applyProtection="1">
      <alignment horizontal="center"/>
    </xf>
    <xf numFmtId="164" fontId="6" fillId="0" borderId="6" xfId="1" applyFont="1" applyBorder="1" applyAlignment="1">
      <alignment horizontal="left" wrapText="1"/>
    </xf>
    <xf numFmtId="9" fontId="4" fillId="0" borderId="0" xfId="3" applyFont="1" applyFill="1" applyBorder="1" applyAlignment="1">
      <alignment horizontal="center"/>
    </xf>
    <xf numFmtId="165" fontId="4" fillId="0" borderId="6" xfId="3" applyNumberFormat="1" applyFont="1" applyFill="1" applyBorder="1" applyAlignment="1">
      <alignment horizontal="center"/>
    </xf>
    <xf numFmtId="165" fontId="4" fillId="0" borderId="0" xfId="3" applyNumberFormat="1" applyFont="1" applyFill="1" applyBorder="1" applyAlignment="1">
      <alignment horizontal="center"/>
    </xf>
    <xf numFmtId="165" fontId="4" fillId="0" borderId="1" xfId="3" applyNumberFormat="1" applyFont="1" applyFill="1" applyBorder="1" applyAlignment="1">
      <alignment horizontal="center"/>
    </xf>
    <xf numFmtId="165" fontId="4" fillId="0" borderId="6" xfId="5" applyNumberFormat="1" applyFont="1" applyFill="1" applyBorder="1" applyAlignment="1">
      <alignment horizontal="center"/>
    </xf>
    <xf numFmtId="165" fontId="4" fillId="0" borderId="0" xfId="5" applyNumberFormat="1" applyFont="1" applyFill="1" applyBorder="1" applyAlignment="1">
      <alignment horizontal="center"/>
    </xf>
    <xf numFmtId="164" fontId="4" fillId="0" borderId="1" xfId="1" applyFont="1" applyBorder="1"/>
    <xf numFmtId="165" fontId="12" fillId="0" borderId="0" xfId="1" applyNumberFormat="1" applyFont="1" applyAlignment="1">
      <alignment horizontal="center"/>
    </xf>
    <xf numFmtId="165" fontId="12" fillId="0" borderId="1" xfId="1" applyNumberFormat="1" applyFont="1" applyBorder="1" applyAlignment="1">
      <alignment horizontal="center"/>
    </xf>
    <xf numFmtId="165" fontId="12" fillId="0" borderId="7" xfId="1" applyNumberFormat="1" applyFont="1" applyBorder="1" applyAlignment="1">
      <alignment horizontal="center"/>
    </xf>
    <xf numFmtId="165" fontId="4" fillId="0" borderId="1" xfId="1" applyNumberFormat="1" applyFont="1" applyBorder="1" applyAlignment="1">
      <alignment horizontal="center"/>
    </xf>
    <xf numFmtId="165" fontId="4" fillId="0" borderId="6" xfId="1" applyNumberFormat="1" applyFont="1" applyBorder="1" applyAlignment="1">
      <alignment horizontal="center"/>
    </xf>
    <xf numFmtId="165" fontId="8" fillId="0" borderId="0" xfId="1" applyNumberFormat="1" applyFont="1" applyAlignment="1">
      <alignment horizontal="center"/>
    </xf>
    <xf numFmtId="173" fontId="4" fillId="0" borderId="6" xfId="1" applyNumberFormat="1" applyFont="1" applyBorder="1"/>
    <xf numFmtId="174" fontId="4" fillId="0" borderId="0" xfId="4" applyNumberFormat="1" applyFont="1" applyFill="1" applyBorder="1" applyAlignment="1" applyProtection="1">
      <alignment horizontal="center"/>
    </xf>
    <xf numFmtId="174" fontId="12" fillId="0" borderId="0" xfId="4" applyNumberFormat="1" applyFont="1" applyFill="1" applyBorder="1" applyAlignment="1" applyProtection="1">
      <alignment horizontal="center"/>
    </xf>
    <xf numFmtId="174" fontId="12" fillId="0" borderId="1" xfId="4" applyNumberFormat="1" applyFont="1" applyFill="1" applyBorder="1" applyAlignment="1" applyProtection="1">
      <alignment horizontal="center"/>
    </xf>
    <xf numFmtId="174" fontId="12" fillId="0" borderId="7" xfId="4" applyNumberFormat="1" applyFont="1" applyFill="1" applyBorder="1" applyAlignment="1" applyProtection="1">
      <alignment horizontal="center"/>
    </xf>
    <xf numFmtId="164" fontId="4" fillId="0" borderId="6" xfId="1" applyFont="1" applyBorder="1" applyAlignment="1">
      <alignment horizontal="left" wrapText="1" indent="1"/>
    </xf>
    <xf numFmtId="164" fontId="4" fillId="0" borderId="8" xfId="1" applyFont="1" applyBorder="1" applyAlignment="1">
      <alignment horizontal="left" wrapText="1"/>
    </xf>
    <xf numFmtId="170" fontId="4" fillId="0" borderId="9" xfId="1" applyNumberFormat="1" applyFont="1" applyBorder="1" applyAlignment="1">
      <alignment horizontal="center"/>
    </xf>
    <xf numFmtId="174" fontId="4" fillId="0" borderId="9" xfId="4" applyNumberFormat="1" applyFont="1" applyFill="1" applyBorder="1" applyAlignment="1" applyProtection="1">
      <alignment horizontal="center"/>
    </xf>
    <xf numFmtId="174" fontId="12" fillId="0" borderId="9" xfId="4" applyNumberFormat="1" applyFont="1" applyFill="1" applyBorder="1" applyAlignment="1" applyProtection="1">
      <alignment horizontal="center"/>
    </xf>
    <xf numFmtId="174" fontId="12" fillId="0" borderId="10" xfId="4" applyNumberFormat="1" applyFont="1" applyFill="1" applyBorder="1" applyAlignment="1" applyProtection="1">
      <alignment horizontal="center"/>
    </xf>
    <xf numFmtId="37" fontId="4" fillId="0" borderId="8" xfId="1" applyNumberFormat="1" applyFont="1" applyBorder="1" applyAlignment="1">
      <alignment horizontal="center"/>
    </xf>
    <xf numFmtId="174" fontId="12" fillId="0" borderId="11" xfId="4" applyNumberFormat="1" applyFont="1" applyFill="1" applyBorder="1" applyAlignment="1" applyProtection="1">
      <alignment horizontal="center"/>
    </xf>
    <xf numFmtId="164" fontId="4" fillId="0" borderId="11" xfId="1" applyFont="1" applyBorder="1" applyAlignment="1">
      <alignment horizontal="center"/>
    </xf>
    <xf numFmtId="164" fontId="4" fillId="0" borderId="9" xfId="1" applyFont="1" applyBorder="1"/>
    <xf numFmtId="170" fontId="4" fillId="0" borderId="10" xfId="1" applyNumberFormat="1" applyFont="1" applyBorder="1" applyAlignment="1">
      <alignment horizontal="center"/>
    </xf>
    <xf numFmtId="170" fontId="4" fillId="0" borderId="8" xfId="1" applyNumberFormat="1" applyFont="1" applyBorder="1" applyAlignment="1">
      <alignment horizontal="center"/>
    </xf>
    <xf numFmtId="170" fontId="8" fillId="0" borderId="9" xfId="1" applyNumberFormat="1" applyFont="1" applyBorder="1" applyAlignment="1">
      <alignment horizontal="center"/>
    </xf>
    <xf numFmtId="164" fontId="4" fillId="0" borderId="8" xfId="1" applyFont="1" applyBorder="1"/>
    <xf numFmtId="164" fontId="4" fillId="0" borderId="10" xfId="1" applyFont="1" applyBorder="1"/>
    <xf numFmtId="164" fontId="4" fillId="0" borderId="0" xfId="1" applyFont="1" applyAlignment="1">
      <alignment horizontal="left" wrapText="1"/>
    </xf>
    <xf numFmtId="40" fontId="4" fillId="0" borderId="0" xfId="4" applyFont="1" applyFill="1" applyBorder="1" applyAlignment="1" applyProtection="1">
      <alignment horizontal="center"/>
    </xf>
    <xf numFmtId="164" fontId="4" fillId="0" borderId="0" xfId="1" applyFont="1" applyAlignment="1">
      <alignment vertical="top" wrapText="1"/>
    </xf>
    <xf numFmtId="7" fontId="4" fillId="0" borderId="0" xfId="1" applyNumberFormat="1" applyFont="1" applyAlignment="1">
      <alignment horizontal="center"/>
    </xf>
    <xf numFmtId="7" fontId="8" fillId="0" borderId="0" xfId="1" applyNumberFormat="1" applyFont="1" applyAlignment="1">
      <alignment horizontal="center" vertical="top"/>
    </xf>
    <xf numFmtId="39" fontId="4" fillId="0" borderId="0" xfId="1" applyNumberFormat="1" applyFont="1" applyAlignment="1">
      <alignment horizontal="center"/>
    </xf>
    <xf numFmtId="175" fontId="4" fillId="0" borderId="0" xfId="1" applyNumberFormat="1" applyFont="1" applyAlignment="1">
      <alignment horizontal="center" vertical="top"/>
    </xf>
    <xf numFmtId="164" fontId="7" fillId="0" borderId="0" xfId="1" applyFont="1" applyAlignment="1">
      <alignment vertical="top" wrapText="1"/>
    </xf>
    <xf numFmtId="9" fontId="7" fillId="0" borderId="0" xfId="3" applyFont="1" applyFill="1" applyBorder="1" applyAlignment="1">
      <alignment horizontal="center" vertical="top"/>
    </xf>
    <xf numFmtId="164" fontId="7" fillId="0" borderId="0" xfId="1" applyFont="1" applyAlignment="1">
      <alignment horizontal="center"/>
    </xf>
    <xf numFmtId="9" fontId="7" fillId="0" borderId="0" xfId="5" applyFont="1" applyFill="1" applyBorder="1" applyAlignment="1">
      <alignment horizontal="center" vertical="top"/>
    </xf>
    <xf numFmtId="165" fontId="4" fillId="0" borderId="0" xfId="3" applyNumberFormat="1" applyFont="1" applyFill="1" applyBorder="1" applyAlignment="1" applyProtection="1">
      <alignment horizontal="center"/>
    </xf>
    <xf numFmtId="164" fontId="4" fillId="0" borderId="2" xfId="1" applyFont="1" applyBorder="1" applyAlignment="1">
      <alignment horizontal="left" wrapText="1"/>
    </xf>
    <xf numFmtId="170" fontId="4" fillId="0" borderId="3" xfId="1" applyNumberFormat="1" applyFont="1" applyBorder="1" applyAlignment="1">
      <alignment horizontal="center"/>
    </xf>
    <xf numFmtId="170" fontId="4" fillId="0" borderId="5" xfId="1" applyNumberFormat="1" applyFont="1" applyBorder="1" applyAlignment="1">
      <alignment horizontal="center"/>
    </xf>
    <xf numFmtId="170" fontId="4" fillId="0" borderId="4" xfId="1" applyNumberFormat="1" applyFont="1" applyBorder="1" applyAlignment="1">
      <alignment horizontal="center"/>
    </xf>
    <xf numFmtId="170" fontId="4" fillId="0" borderId="2" xfId="1" applyNumberFormat="1" applyFont="1" applyBorder="1" applyAlignment="1">
      <alignment horizontal="center"/>
    </xf>
    <xf numFmtId="164" fontId="4" fillId="0" borderId="2" xfId="1" applyFont="1" applyBorder="1" applyAlignment="1">
      <alignment horizontal="center"/>
    </xf>
    <xf numFmtId="164" fontId="4" fillId="0" borderId="3" xfId="1" applyFont="1" applyBorder="1" applyAlignment="1">
      <alignment horizontal="center"/>
    </xf>
    <xf numFmtId="164" fontId="4" fillId="0" borderId="4" xfId="1" applyFont="1" applyBorder="1" applyAlignment="1">
      <alignment horizontal="center"/>
    </xf>
    <xf numFmtId="164" fontId="7" fillId="0" borderId="8" xfId="1" applyFont="1" applyBorder="1" applyAlignment="1">
      <alignment horizontal="left" wrapText="1"/>
    </xf>
    <xf numFmtId="165" fontId="4" fillId="0" borderId="9" xfId="3" applyNumberFormat="1" applyFont="1" applyFill="1" applyBorder="1" applyAlignment="1" applyProtection="1">
      <alignment horizontal="center"/>
    </xf>
    <xf numFmtId="164" fontId="4" fillId="0" borderId="9" xfId="1" applyFont="1" applyBorder="1" applyAlignment="1">
      <alignment horizontal="center"/>
    </xf>
    <xf numFmtId="164" fontId="4" fillId="0" borderId="8" xfId="1" applyFont="1" applyBorder="1" applyAlignment="1">
      <alignment horizontal="center"/>
    </xf>
    <xf numFmtId="165" fontId="4" fillId="0" borderId="11" xfId="3" applyNumberFormat="1" applyFont="1" applyFill="1" applyBorder="1" applyAlignment="1" applyProtection="1">
      <alignment horizontal="center"/>
    </xf>
    <xf numFmtId="165" fontId="4" fillId="0" borderId="10" xfId="3" applyNumberFormat="1" applyFont="1" applyFill="1" applyBorder="1" applyAlignment="1" applyProtection="1">
      <alignment horizontal="center"/>
    </xf>
    <xf numFmtId="165" fontId="4" fillId="0" borderId="8" xfId="3" applyNumberFormat="1" applyFont="1" applyFill="1" applyBorder="1" applyAlignment="1" applyProtection="1">
      <alignment horizontal="center"/>
    </xf>
    <xf numFmtId="165" fontId="4" fillId="0" borderId="8" xfId="5" applyNumberFormat="1" applyFont="1" applyFill="1" applyBorder="1" applyAlignment="1" applyProtection="1">
      <alignment horizontal="center"/>
    </xf>
    <xf numFmtId="165" fontId="4" fillId="0" borderId="9" xfId="5" applyNumberFormat="1" applyFont="1" applyFill="1" applyBorder="1" applyAlignment="1" applyProtection="1">
      <alignment horizontal="center"/>
    </xf>
    <xf numFmtId="164" fontId="4" fillId="0" borderId="10" xfId="1" applyFont="1" applyBorder="1" applyAlignment="1">
      <alignment horizontal="center"/>
    </xf>
    <xf numFmtId="164" fontId="7" fillId="0" borderId="0" xfId="1" applyFont="1" applyAlignment="1">
      <alignment horizontal="left" wrapText="1"/>
    </xf>
    <xf numFmtId="165" fontId="4" fillId="0" borderId="0" xfId="5" applyNumberFormat="1" applyFont="1" applyFill="1" applyBorder="1" applyAlignment="1" applyProtection="1">
      <alignment horizontal="center"/>
    </xf>
    <xf numFmtId="164" fontId="6" fillId="0" borderId="0" xfId="1" applyFont="1" applyAlignment="1">
      <alignment wrapText="1"/>
    </xf>
    <xf numFmtId="164" fontId="23" fillId="0" borderId="0" xfId="1" applyFont="1"/>
    <xf numFmtId="164" fontId="6" fillId="0" borderId="0" xfId="1" applyFont="1" applyAlignment="1">
      <alignment horizontal="left" wrapText="1" indent="1"/>
    </xf>
    <xf numFmtId="37" fontId="24" fillId="0" borderId="0" xfId="1" applyNumberFormat="1" applyFont="1" applyAlignment="1">
      <alignment horizontal="center"/>
    </xf>
    <xf numFmtId="164" fontId="4" fillId="0" borderId="0" xfId="1" applyFont="1" applyAlignment="1">
      <alignment horizontal="left" wrapText="1" indent="1"/>
    </xf>
    <xf numFmtId="176" fontId="4" fillId="0" borderId="0" xfId="1" applyNumberFormat="1" applyFont="1"/>
    <xf numFmtId="164" fontId="7" fillId="2" borderId="11" xfId="1" applyFont="1" applyFill="1" applyBorder="1" applyAlignment="1">
      <alignment horizontal="left" wrapText="1"/>
    </xf>
    <xf numFmtId="164" fontId="6" fillId="0" borderId="6" xfId="1" applyFont="1" applyBorder="1" applyAlignment="1">
      <alignment wrapText="1"/>
    </xf>
    <xf numFmtId="164" fontId="6" fillId="0" borderId="7" xfId="1" applyFont="1" applyBorder="1" applyAlignment="1">
      <alignment wrapText="1"/>
    </xf>
    <xf numFmtId="9" fontId="4" fillId="0" borderId="0" xfId="3" applyFont="1" applyFill="1"/>
    <xf numFmtId="37" fontId="8" fillId="0" borderId="1" xfId="1" applyNumberFormat="1" applyFont="1" applyBorder="1" applyAlignment="1">
      <alignment horizontal="center"/>
    </xf>
    <xf numFmtId="164" fontId="4" fillId="0" borderId="7" xfId="1" applyFont="1" applyBorder="1" applyAlignment="1">
      <alignment horizontal="left" wrapText="1"/>
    </xf>
    <xf numFmtId="177" fontId="4" fillId="0" borderId="6" xfId="1" applyNumberFormat="1" applyFont="1" applyBorder="1" applyAlignment="1">
      <alignment horizontal="center" vertical="top"/>
    </xf>
    <xf numFmtId="177" fontId="4" fillId="0" borderId="0" xfId="1" applyNumberFormat="1" applyFont="1" applyAlignment="1">
      <alignment horizontal="center" vertical="top"/>
    </xf>
    <xf numFmtId="164" fontId="24" fillId="0" borderId="0" xfId="1" applyFont="1"/>
    <xf numFmtId="5" fontId="6" fillId="0" borderId="1" xfId="1" applyNumberFormat="1" applyFont="1" applyBorder="1" applyAlignment="1">
      <alignment horizontal="center"/>
    </xf>
    <xf numFmtId="164" fontId="24" fillId="0" borderId="0" xfId="1" applyFont="1" applyAlignment="1">
      <alignment horizontal="center"/>
    </xf>
    <xf numFmtId="164" fontId="6" fillId="0" borderId="7" xfId="1" applyFont="1" applyBorder="1" applyAlignment="1">
      <alignment horizontal="left" wrapText="1"/>
    </xf>
    <xf numFmtId="5" fontId="6" fillId="0" borderId="6" xfId="1" applyNumberFormat="1" applyFont="1" applyBorder="1" applyAlignment="1">
      <alignment horizontal="center"/>
    </xf>
    <xf numFmtId="178" fontId="25" fillId="0" borderId="0" xfId="1" applyNumberFormat="1" applyFont="1" applyAlignment="1">
      <alignment horizontal="center"/>
    </xf>
    <xf numFmtId="178" fontId="10" fillId="0" borderId="0" xfId="1" applyNumberFormat="1" applyFont="1" applyAlignment="1">
      <alignment horizontal="center"/>
    </xf>
    <xf numFmtId="178" fontId="25" fillId="0" borderId="1" xfId="1" applyNumberFormat="1" applyFont="1" applyBorder="1" applyAlignment="1">
      <alignment horizontal="center"/>
    </xf>
    <xf numFmtId="164" fontId="24" fillId="0" borderId="6" xfId="1" applyFont="1" applyBorder="1"/>
    <xf numFmtId="164" fontId="24" fillId="0" borderId="1" xfId="1" applyFont="1" applyBorder="1"/>
    <xf numFmtId="9" fontId="4" fillId="0" borderId="0" xfId="3" applyFont="1" applyBorder="1" applyAlignment="1" applyProtection="1">
      <alignment horizontal="center"/>
    </xf>
    <xf numFmtId="9" fontId="4" fillId="0" borderId="1" xfId="3" applyFont="1" applyBorder="1" applyAlignment="1" applyProtection="1">
      <alignment horizontal="center"/>
    </xf>
    <xf numFmtId="9" fontId="4" fillId="0" borderId="6" xfId="3" applyFont="1" applyBorder="1" applyAlignment="1" applyProtection="1">
      <alignment horizontal="center"/>
    </xf>
    <xf numFmtId="9" fontId="4" fillId="0" borderId="0" xfId="5" applyFont="1" applyBorder="1" applyAlignment="1" applyProtection="1">
      <alignment horizontal="center"/>
    </xf>
    <xf numFmtId="9" fontId="6" fillId="0" borderId="0" xfId="3" applyFont="1" applyFill="1" applyBorder="1" applyAlignment="1" applyProtection="1">
      <alignment horizontal="center"/>
    </xf>
    <xf numFmtId="9" fontId="6" fillId="0" borderId="1" xfId="3" applyFont="1" applyFill="1" applyBorder="1" applyAlignment="1" applyProtection="1">
      <alignment horizontal="center"/>
    </xf>
    <xf numFmtId="9" fontId="6" fillId="0" borderId="6" xfId="3" applyFont="1" applyFill="1" applyBorder="1" applyAlignment="1" applyProtection="1">
      <alignment horizontal="center"/>
    </xf>
    <xf numFmtId="9" fontId="6" fillId="0" borderId="0" xfId="5" applyFont="1" applyFill="1" applyBorder="1" applyAlignment="1" applyProtection="1">
      <alignment horizontal="center"/>
    </xf>
    <xf numFmtId="10" fontId="4" fillId="0" borderId="6" xfId="1" applyNumberFormat="1" applyFont="1" applyBorder="1" applyAlignment="1">
      <alignment horizontal="center"/>
    </xf>
    <xf numFmtId="7" fontId="6" fillId="0" borderId="0" xfId="1" applyNumberFormat="1" applyFont="1" applyAlignment="1">
      <alignment horizontal="center"/>
    </xf>
    <xf numFmtId="9" fontId="24" fillId="0" borderId="0" xfId="3" applyFont="1" applyFill="1" applyAlignment="1">
      <alignment horizontal="center"/>
    </xf>
    <xf numFmtId="5" fontId="25" fillId="0" borderId="0" xfId="1" applyNumberFormat="1" applyFont="1" applyAlignment="1">
      <alignment horizontal="center"/>
    </xf>
    <xf numFmtId="5" fontId="25" fillId="0" borderId="1" xfId="1" applyNumberFormat="1" applyFont="1" applyBorder="1" applyAlignment="1">
      <alignment horizontal="center"/>
    </xf>
    <xf numFmtId="9" fontId="24" fillId="0" borderId="0" xfId="3" applyFont="1" applyFill="1" applyBorder="1"/>
    <xf numFmtId="173" fontId="24" fillId="0" borderId="6" xfId="1" applyNumberFormat="1" applyFont="1" applyBorder="1"/>
    <xf numFmtId="9" fontId="24" fillId="0" borderId="6" xfId="3" applyFont="1" applyFill="1" applyBorder="1"/>
    <xf numFmtId="37" fontId="8" fillId="0" borderId="6" xfId="1" applyNumberFormat="1" applyFont="1" applyBorder="1" applyAlignment="1">
      <alignment horizontal="center"/>
    </xf>
    <xf numFmtId="179" fontId="7" fillId="0" borderId="0" xfId="1" applyNumberFormat="1" applyFont="1"/>
    <xf numFmtId="179" fontId="4" fillId="0" borderId="6" xfId="1" applyNumberFormat="1" applyFont="1" applyBorder="1" applyAlignment="1">
      <alignment horizontal="left" wrapText="1"/>
    </xf>
    <xf numFmtId="179" fontId="4" fillId="0" borderId="0" xfId="1" applyNumberFormat="1" applyFont="1" applyAlignment="1">
      <alignment horizontal="center"/>
    </xf>
    <xf numFmtId="179" fontId="4" fillId="0" borderId="1" xfId="1" applyNumberFormat="1" applyFont="1" applyBorder="1" applyAlignment="1">
      <alignment horizontal="center"/>
    </xf>
    <xf numFmtId="179" fontId="4" fillId="0" borderId="6" xfId="1" applyNumberFormat="1" applyFont="1" applyBorder="1" applyAlignment="1">
      <alignment horizontal="center"/>
    </xf>
    <xf numFmtId="179" fontId="7" fillId="0" borderId="0" xfId="1" applyNumberFormat="1" applyFont="1" applyAlignment="1">
      <alignment horizontal="center"/>
    </xf>
    <xf numFmtId="179" fontId="4" fillId="0" borderId="7" xfId="1" applyNumberFormat="1" applyFont="1" applyBorder="1" applyAlignment="1">
      <alignment horizontal="left" wrapText="1"/>
    </xf>
    <xf numFmtId="179" fontId="4" fillId="0" borderId="9" xfId="1" applyNumberFormat="1" applyFont="1" applyBorder="1" applyAlignment="1">
      <alignment horizontal="center"/>
    </xf>
    <xf numFmtId="179" fontId="4" fillId="0" borderId="10" xfId="1" applyNumberFormat="1" applyFont="1" applyBorder="1" applyAlignment="1">
      <alignment horizontal="center"/>
    </xf>
    <xf numFmtId="179" fontId="7" fillId="0" borderId="6" xfId="1" applyNumberFormat="1" applyFont="1" applyBorder="1"/>
    <xf numFmtId="179" fontId="7" fillId="0" borderId="1" xfId="1" applyNumberFormat="1" applyFont="1" applyBorder="1"/>
    <xf numFmtId="9" fontId="6" fillId="0" borderId="0" xfId="3" applyFont="1" applyFill="1"/>
    <xf numFmtId="37" fontId="6" fillId="0" borderId="3" xfId="1" applyNumberFormat="1" applyFont="1" applyBorder="1" applyAlignment="1">
      <alignment horizontal="center"/>
    </xf>
    <xf numFmtId="37" fontId="6" fillId="0" borderId="4" xfId="1" applyNumberFormat="1" applyFont="1" applyBorder="1" applyAlignment="1">
      <alignment horizontal="center"/>
    </xf>
    <xf numFmtId="37" fontId="6" fillId="0" borderId="2" xfId="1" applyNumberFormat="1" applyFont="1" applyBorder="1" applyAlignment="1">
      <alignment horizontal="center"/>
    </xf>
    <xf numFmtId="170" fontId="6" fillId="0" borderId="6" xfId="1" applyNumberFormat="1" applyFont="1" applyBorder="1" applyAlignment="1">
      <alignment horizontal="center"/>
    </xf>
    <xf numFmtId="170" fontId="6" fillId="0" borderId="0" xfId="1" applyNumberFormat="1" applyFont="1" applyAlignment="1">
      <alignment horizontal="center"/>
    </xf>
    <xf numFmtId="170" fontId="6" fillId="0" borderId="1" xfId="1" applyNumberFormat="1" applyFont="1" applyBorder="1" applyAlignment="1">
      <alignment horizontal="center"/>
    </xf>
    <xf numFmtId="164" fontId="4" fillId="0" borderId="6" xfId="1" applyFont="1" applyBorder="1" applyAlignment="1">
      <alignment wrapText="1"/>
    </xf>
    <xf numFmtId="164" fontId="4" fillId="0" borderId="7" xfId="1" applyFont="1" applyBorder="1" applyAlignment="1">
      <alignment wrapText="1"/>
    </xf>
    <xf numFmtId="5" fontId="8" fillId="0" borderId="0" xfId="1" applyNumberFormat="1" applyFont="1" applyAlignment="1">
      <alignment horizontal="center"/>
    </xf>
    <xf numFmtId="164" fontId="7" fillId="0" borderId="6" xfId="1" applyFont="1" applyBorder="1"/>
    <xf numFmtId="164" fontId="7" fillId="0" borderId="1" xfId="1" applyFont="1" applyBorder="1"/>
    <xf numFmtId="164" fontId="7" fillId="0" borderId="9" xfId="1" applyFont="1" applyBorder="1"/>
    <xf numFmtId="5" fontId="4" fillId="0" borderId="9" xfId="1" applyNumberFormat="1" applyFont="1" applyBorder="1" applyAlignment="1">
      <alignment horizontal="center"/>
    </xf>
    <xf numFmtId="9" fontId="4" fillId="0" borderId="9" xfId="3" applyFont="1" applyFill="1" applyBorder="1" applyAlignment="1" applyProtection="1">
      <alignment horizontal="center"/>
    </xf>
    <xf numFmtId="9" fontId="4" fillId="0" borderId="10" xfId="3" applyFont="1" applyFill="1" applyBorder="1" applyAlignment="1" applyProtection="1">
      <alignment horizontal="center"/>
    </xf>
    <xf numFmtId="164" fontId="4" fillId="0" borderId="11" xfId="1" applyFont="1" applyBorder="1" applyAlignment="1">
      <alignment horizontal="left" wrapText="1"/>
    </xf>
    <xf numFmtId="9" fontId="4" fillId="0" borderId="8" xfId="3" applyFont="1" applyFill="1" applyBorder="1" applyAlignment="1" applyProtection="1">
      <alignment horizontal="center"/>
    </xf>
    <xf numFmtId="9" fontId="4" fillId="0" borderId="8" xfId="5" applyFont="1" applyFill="1" applyBorder="1" applyAlignment="1" applyProtection="1">
      <alignment horizontal="center"/>
    </xf>
    <xf numFmtId="9" fontId="4" fillId="0" borderId="9" xfId="5" applyFont="1" applyFill="1" applyBorder="1" applyAlignment="1" applyProtection="1">
      <alignment horizontal="center"/>
    </xf>
    <xf numFmtId="164" fontId="7" fillId="0" borderId="8" xfId="1" applyFont="1" applyBorder="1"/>
    <xf numFmtId="164" fontId="7" fillId="0" borderId="10" xfId="1" applyFont="1" applyBorder="1"/>
    <xf numFmtId="164" fontId="7" fillId="0" borderId="0" xfId="1" applyFont="1" applyAlignment="1">
      <alignment wrapText="1"/>
    </xf>
    <xf numFmtId="9" fontId="4" fillId="0" borderId="0" xfId="3" applyFont="1" applyFill="1" applyBorder="1"/>
    <xf numFmtId="164" fontId="6" fillId="0" borderId="0" xfId="1" applyFont="1" applyAlignment="1">
      <alignment horizontal="left" wrapText="1"/>
    </xf>
    <xf numFmtId="164" fontId="7" fillId="2" borderId="6" xfId="1" applyFont="1" applyFill="1" applyBorder="1" applyAlignment="1">
      <alignment horizontal="left" wrapText="1"/>
    </xf>
    <xf numFmtId="164" fontId="6" fillId="0" borderId="7" xfId="1" applyFont="1" applyBorder="1" applyAlignment="1">
      <alignment vertical="top" wrapText="1"/>
    </xf>
    <xf numFmtId="1" fontId="4" fillId="0" borderId="6" xfId="1" applyNumberFormat="1" applyFont="1" applyBorder="1" applyAlignment="1">
      <alignment horizontal="center" vertical="top"/>
    </xf>
    <xf numFmtId="1" fontId="4" fillId="0" borderId="1" xfId="1" applyNumberFormat="1" applyFont="1" applyBorder="1" applyAlignment="1">
      <alignment horizontal="center" vertical="top"/>
    </xf>
    <xf numFmtId="37" fontId="12" fillId="0" borderId="1" xfId="1" applyNumberFormat="1" applyFont="1" applyBorder="1" applyAlignment="1">
      <alignment horizontal="center"/>
    </xf>
    <xf numFmtId="164" fontId="6" fillId="0" borderId="1" xfId="1" applyFont="1" applyBorder="1" applyAlignment="1">
      <alignment horizontal="center"/>
    </xf>
    <xf numFmtId="164" fontId="1" fillId="0" borderId="0" xfId="1" applyAlignment="1">
      <alignment horizontal="center"/>
    </xf>
    <xf numFmtId="177" fontId="4" fillId="0" borderId="3" xfId="1" applyNumberFormat="1" applyFont="1" applyBorder="1" applyAlignment="1">
      <alignment horizontal="center" vertical="top"/>
    </xf>
    <xf numFmtId="177" fontId="4" fillId="0" borderId="4" xfId="1" applyNumberFormat="1" applyFont="1" applyBorder="1" applyAlignment="1">
      <alignment horizontal="center" vertical="top"/>
    </xf>
    <xf numFmtId="177" fontId="4" fillId="0" borderId="2" xfId="1" applyNumberFormat="1" applyFont="1" applyBorder="1" applyAlignment="1">
      <alignment horizontal="center" vertical="top"/>
    </xf>
    <xf numFmtId="177" fontId="4" fillId="0" borderId="1" xfId="1" applyNumberFormat="1" applyFont="1" applyBorder="1" applyAlignment="1">
      <alignment horizontal="center" vertical="top"/>
    </xf>
    <xf numFmtId="180" fontId="4" fillId="0" borderId="0" xfId="1" applyNumberFormat="1" applyFont="1" applyAlignment="1">
      <alignment horizontal="center" vertical="top"/>
    </xf>
    <xf numFmtId="177" fontId="6" fillId="0" borderId="0" xfId="1" applyNumberFormat="1" applyFont="1" applyAlignment="1">
      <alignment horizontal="center"/>
    </xf>
    <xf numFmtId="164" fontId="6" fillId="0" borderId="8" xfId="1" applyFont="1" applyBorder="1" applyAlignment="1">
      <alignment wrapText="1"/>
    </xf>
    <xf numFmtId="164" fontId="6" fillId="0" borderId="9" xfId="1" applyFont="1" applyBorder="1"/>
    <xf numFmtId="5" fontId="6" fillId="0" borderId="9" xfId="1" applyNumberFormat="1" applyFont="1" applyBorder="1" applyAlignment="1">
      <alignment horizontal="center"/>
    </xf>
    <xf numFmtId="5" fontId="6" fillId="0" borderId="9" xfId="1" applyNumberFormat="1" applyFont="1" applyBorder="1" applyAlignment="1">
      <alignment horizontal="center" vertical="top"/>
    </xf>
    <xf numFmtId="5" fontId="6" fillId="0" borderId="10" xfId="1" applyNumberFormat="1" applyFont="1" applyBorder="1" applyAlignment="1">
      <alignment horizontal="center" vertical="top"/>
    </xf>
    <xf numFmtId="164" fontId="6" fillId="0" borderId="11" xfId="1" applyFont="1" applyBorder="1" applyAlignment="1">
      <alignment wrapText="1"/>
    </xf>
    <xf numFmtId="5" fontId="6" fillId="0" borderId="10" xfId="1" applyNumberFormat="1" applyFont="1" applyBorder="1" applyAlignment="1">
      <alignment horizontal="center"/>
    </xf>
    <xf numFmtId="5" fontId="6" fillId="0" borderId="8" xfId="1" applyNumberFormat="1" applyFont="1" applyBorder="1" applyAlignment="1">
      <alignment horizontal="center"/>
    </xf>
    <xf numFmtId="176" fontId="4" fillId="0" borderId="0" xfId="1" applyNumberFormat="1" applyFont="1" applyAlignment="1">
      <alignment horizontal="center"/>
    </xf>
    <xf numFmtId="168" fontId="4" fillId="0" borderId="0" xfId="3" applyNumberFormat="1" applyFont="1" applyAlignment="1">
      <alignment horizontal="center"/>
    </xf>
    <xf numFmtId="8" fontId="4" fillId="0" borderId="0" xfId="6" applyFont="1" applyAlignment="1">
      <alignment horizontal="center"/>
    </xf>
    <xf numFmtId="8" fontId="4" fillId="0" borderId="0" xfId="6" applyFont="1" applyBorder="1" applyAlignment="1">
      <alignment horizontal="center"/>
    </xf>
    <xf numFmtId="9" fontId="4" fillId="0" borderId="0" xfId="6" applyNumberFormat="1" applyFont="1" applyAlignment="1">
      <alignment horizontal="center"/>
    </xf>
    <xf numFmtId="9" fontId="4" fillId="0" borderId="0" xfId="6" applyNumberFormat="1" applyFont="1" applyBorder="1" applyAlignment="1">
      <alignment horizontal="center"/>
    </xf>
    <xf numFmtId="9" fontId="4" fillId="2" borderId="3" xfId="3" applyFont="1" applyFill="1" applyBorder="1" applyAlignment="1">
      <alignment horizontal="center"/>
    </xf>
    <xf numFmtId="5" fontId="6" fillId="0" borderId="6" xfId="1" applyNumberFormat="1" applyFont="1" applyBorder="1" applyAlignment="1">
      <alignment horizontal="left" wrapText="1"/>
    </xf>
    <xf numFmtId="5" fontId="6" fillId="0" borderId="0" xfId="1" applyNumberFormat="1" applyFont="1"/>
    <xf numFmtId="5" fontId="6" fillId="0" borderId="3" xfId="1" applyNumberFormat="1" applyFont="1" applyBorder="1" applyAlignment="1">
      <alignment horizontal="center" vertical="top"/>
    </xf>
    <xf numFmtId="5" fontId="6" fillId="0" borderId="4" xfId="1" applyNumberFormat="1" applyFont="1" applyBorder="1" applyAlignment="1">
      <alignment horizontal="center" vertical="top"/>
    </xf>
    <xf numFmtId="5" fontId="6" fillId="0" borderId="3" xfId="1" applyNumberFormat="1" applyFont="1" applyBorder="1" applyAlignment="1">
      <alignment horizontal="center"/>
    </xf>
    <xf numFmtId="5" fontId="6" fillId="0" borderId="2" xfId="1" applyNumberFormat="1" applyFont="1" applyBorder="1" applyAlignment="1">
      <alignment horizontal="center"/>
    </xf>
    <xf numFmtId="5" fontId="6" fillId="0" borderId="4" xfId="1" applyNumberFormat="1" applyFont="1" applyBorder="1" applyAlignment="1">
      <alignment horizontal="center"/>
    </xf>
    <xf numFmtId="9" fontId="6" fillId="0" borderId="3" xfId="3" applyFont="1" applyBorder="1" applyAlignment="1" applyProtection="1">
      <alignment horizontal="center"/>
    </xf>
    <xf numFmtId="9" fontId="6" fillId="0" borderId="0" xfId="3" applyFont="1" applyBorder="1" applyAlignment="1" applyProtection="1">
      <alignment horizontal="center"/>
    </xf>
    <xf numFmtId="9" fontId="6" fillId="0" borderId="1" xfId="3" applyFont="1" applyBorder="1" applyAlignment="1" applyProtection="1">
      <alignment horizontal="center"/>
    </xf>
    <xf numFmtId="166" fontId="7" fillId="0" borderId="0" xfId="1" applyNumberFormat="1" applyFont="1" applyAlignment="1">
      <alignment horizontal="center"/>
    </xf>
    <xf numFmtId="166" fontId="7" fillId="0" borderId="1" xfId="1" applyNumberFormat="1" applyFont="1" applyBorder="1" applyAlignment="1">
      <alignment horizontal="center"/>
    </xf>
    <xf numFmtId="166" fontId="7" fillId="0" borderId="6" xfId="1" applyNumberFormat="1" applyFont="1" applyBorder="1" applyAlignment="1">
      <alignment horizontal="center"/>
    </xf>
    <xf numFmtId="9" fontId="4" fillId="0" borderId="0" xfId="3" applyFont="1" applyFill="1" applyBorder="1" applyAlignment="1">
      <alignment horizontal="center" vertical="top"/>
    </xf>
    <xf numFmtId="9" fontId="4" fillId="0" borderId="1" xfId="3" applyFont="1" applyFill="1" applyBorder="1" applyAlignment="1">
      <alignment horizontal="center" vertical="top"/>
    </xf>
    <xf numFmtId="176" fontId="7" fillId="0" borderId="6" xfId="1" applyNumberFormat="1" applyFont="1" applyBorder="1" applyAlignment="1">
      <alignment horizontal="center"/>
    </xf>
    <xf numFmtId="176" fontId="7" fillId="0" borderId="0" xfId="1" applyNumberFormat="1" applyFont="1" applyAlignment="1">
      <alignment horizontal="center"/>
    </xf>
    <xf numFmtId="5" fontId="4" fillId="0" borderId="10" xfId="1" applyNumberFormat="1" applyFont="1" applyBorder="1" applyAlignment="1">
      <alignment horizontal="center"/>
    </xf>
    <xf numFmtId="6" fontId="4" fillId="0" borderId="3" xfId="6" applyNumberFormat="1" applyFont="1" applyBorder="1" applyAlignment="1" applyProtection="1">
      <alignment horizontal="center"/>
    </xf>
    <xf numFmtId="6" fontId="4" fillId="0" borderId="4" xfId="6" applyNumberFormat="1" applyFont="1" applyBorder="1" applyAlignment="1" applyProtection="1">
      <alignment horizontal="center"/>
    </xf>
    <xf numFmtId="177" fontId="4" fillId="0" borderId="9" xfId="1" applyNumberFormat="1" applyFont="1" applyBorder="1" applyAlignment="1">
      <alignment horizontal="center" vertical="top"/>
    </xf>
    <xf numFmtId="177" fontId="4" fillId="0" borderId="8" xfId="1" applyNumberFormat="1" applyFont="1" applyBorder="1" applyAlignment="1">
      <alignment horizontal="center" vertical="top"/>
    </xf>
    <xf numFmtId="164" fontId="17" fillId="0" borderId="6" xfId="1" applyFont="1" applyBorder="1" applyAlignment="1">
      <alignment horizontal="right" wrapText="1"/>
    </xf>
    <xf numFmtId="164" fontId="6" fillId="0" borderId="8" xfId="1" applyFont="1" applyBorder="1" applyAlignment="1">
      <alignment horizontal="left" wrapText="1"/>
    </xf>
    <xf numFmtId="177" fontId="6" fillId="0" borderId="9" xfId="1" applyNumberFormat="1" applyFont="1" applyBorder="1" applyAlignment="1">
      <alignment horizontal="center" vertical="top"/>
    </xf>
    <xf numFmtId="177" fontId="6" fillId="0" borderId="8" xfId="1" applyNumberFormat="1" applyFont="1" applyBorder="1" applyAlignment="1">
      <alignment horizontal="center" vertical="top"/>
    </xf>
    <xf numFmtId="178" fontId="6" fillId="0" borderId="0" xfId="1" applyNumberFormat="1" applyFont="1" applyAlignment="1">
      <alignment horizontal="center"/>
    </xf>
    <xf numFmtId="164" fontId="4" fillId="0" borderId="2" xfId="1" applyFont="1" applyBorder="1" applyAlignment="1">
      <alignment wrapText="1"/>
    </xf>
    <xf numFmtId="37" fontId="4" fillId="0" borderId="0" xfId="1" applyNumberFormat="1" applyFont="1"/>
    <xf numFmtId="9" fontId="4" fillId="0" borderId="0" xfId="1" applyNumberFormat="1" applyFont="1"/>
    <xf numFmtId="37" fontId="4" fillId="0" borderId="0" xfId="4" applyNumberFormat="1" applyFont="1" applyFill="1" applyBorder="1" applyProtection="1"/>
    <xf numFmtId="5" fontId="4" fillId="0" borderId="0" xfId="3" applyNumberFormat="1" applyFont="1" applyFill="1" applyBorder="1" applyAlignment="1" applyProtection="1">
      <alignment horizontal="center"/>
    </xf>
    <xf numFmtId="5" fontId="4" fillId="0" borderId="1" xfId="3" applyNumberFormat="1" applyFont="1" applyFill="1" applyBorder="1" applyAlignment="1" applyProtection="1">
      <alignment horizontal="center"/>
    </xf>
    <xf numFmtId="174" fontId="4" fillId="0" borderId="0" xfId="4" applyNumberFormat="1" applyFont="1" applyFill="1" applyBorder="1" applyProtection="1"/>
    <xf numFmtId="5" fontId="4" fillId="0" borderId="6" xfId="3" applyNumberFormat="1" applyFont="1" applyFill="1" applyBorder="1" applyAlignment="1" applyProtection="1">
      <alignment horizontal="center"/>
    </xf>
    <xf numFmtId="5" fontId="4" fillId="0" borderId="0" xfId="5" applyNumberFormat="1" applyFont="1" applyFill="1" applyBorder="1" applyAlignment="1" applyProtection="1">
      <alignment horizontal="center"/>
    </xf>
    <xf numFmtId="38" fontId="12" fillId="0" borderId="0" xfId="4" applyNumberFormat="1" applyFont="1" applyFill="1" applyBorder="1" applyProtection="1"/>
    <xf numFmtId="8" fontId="4" fillId="0" borderId="0" xfId="6" applyFont="1" applyFill="1" applyBorder="1" applyAlignment="1">
      <alignment horizontal="center"/>
    </xf>
    <xf numFmtId="8" fontId="4" fillId="0" borderId="1" xfId="6" applyFont="1" applyFill="1" applyBorder="1" applyAlignment="1">
      <alignment horizontal="center"/>
    </xf>
    <xf numFmtId="8" fontId="4" fillId="0" borderId="6" xfId="6" applyFont="1" applyFill="1" applyBorder="1" applyAlignment="1">
      <alignment horizontal="center"/>
    </xf>
    <xf numFmtId="174" fontId="12" fillId="0" borderId="0" xfId="4" applyNumberFormat="1" applyFont="1" applyFill="1" applyBorder="1" applyProtection="1"/>
    <xf numFmtId="174" fontId="8" fillId="0" borderId="0" xfId="4" applyNumberFormat="1" applyFont="1" applyFill="1" applyBorder="1" applyAlignment="1" applyProtection="1">
      <alignment horizontal="center"/>
    </xf>
    <xf numFmtId="174" fontId="8" fillId="0" borderId="1" xfId="4" applyNumberFormat="1" applyFont="1" applyFill="1" applyBorder="1" applyAlignment="1" applyProtection="1">
      <alignment horizontal="center"/>
    </xf>
    <xf numFmtId="9" fontId="4" fillId="0" borderId="0" xfId="3" applyFont="1" applyFill="1" applyBorder="1" applyProtection="1"/>
    <xf numFmtId="174" fontId="4" fillId="0" borderId="1" xfId="4" applyNumberFormat="1" applyFont="1" applyFill="1" applyBorder="1" applyAlignment="1" applyProtection="1">
      <alignment horizontal="center"/>
    </xf>
    <xf numFmtId="174" fontId="4" fillId="0" borderId="6" xfId="4" applyNumberFormat="1" applyFont="1" applyFill="1" applyBorder="1" applyAlignment="1" applyProtection="1">
      <alignment horizontal="center"/>
    </xf>
    <xf numFmtId="38" fontId="8" fillId="0" borderId="1" xfId="4" applyNumberFormat="1" applyFont="1" applyFill="1" applyBorder="1" applyAlignment="1" applyProtection="1">
      <alignment horizontal="center"/>
    </xf>
    <xf numFmtId="5" fontId="4" fillId="0" borderId="0" xfId="1" applyNumberFormat="1" applyFont="1"/>
    <xf numFmtId="9" fontId="6" fillId="0" borderId="0" xfId="3" applyFont="1" applyFill="1" applyBorder="1" applyProtection="1"/>
    <xf numFmtId="165" fontId="6" fillId="0" borderId="9" xfId="3" applyNumberFormat="1" applyFont="1" applyFill="1" applyBorder="1" applyAlignment="1" applyProtection="1">
      <alignment horizontal="center"/>
    </xf>
    <xf numFmtId="165" fontId="6" fillId="0" borderId="10" xfId="3" applyNumberFormat="1" applyFont="1" applyFill="1" applyBorder="1" applyAlignment="1" applyProtection="1">
      <alignment horizontal="center"/>
    </xf>
    <xf numFmtId="9" fontId="6" fillId="0" borderId="9" xfId="3" applyFont="1" applyFill="1" applyBorder="1" applyAlignment="1" applyProtection="1">
      <alignment horizontal="center"/>
    </xf>
    <xf numFmtId="9" fontId="6" fillId="0" borderId="10" xfId="3" applyFont="1" applyFill="1" applyBorder="1" applyAlignment="1" applyProtection="1">
      <alignment horizontal="center"/>
    </xf>
    <xf numFmtId="165" fontId="6" fillId="0" borderId="8" xfId="3" applyNumberFormat="1" applyFont="1" applyFill="1" applyBorder="1" applyAlignment="1" applyProtection="1">
      <alignment horizontal="center"/>
    </xf>
    <xf numFmtId="165" fontId="6" fillId="0" borderId="9" xfId="5" applyNumberFormat="1" applyFont="1" applyFill="1" applyBorder="1" applyAlignment="1" applyProtection="1">
      <alignment horizontal="center"/>
    </xf>
    <xf numFmtId="165" fontId="6" fillId="0" borderId="0" xfId="3" applyNumberFormat="1" applyFont="1" applyFill="1" applyBorder="1" applyAlignment="1" applyProtection="1">
      <alignment horizontal="center"/>
    </xf>
    <xf numFmtId="164" fontId="6" fillId="0" borderId="2" xfId="1" applyFont="1" applyBorder="1" applyAlignment="1">
      <alignment vertical="top" wrapText="1"/>
    </xf>
    <xf numFmtId="164" fontId="2" fillId="0" borderId="6" xfId="1" applyFont="1" applyBorder="1" applyAlignment="1">
      <alignment wrapText="1"/>
    </xf>
    <xf numFmtId="5" fontId="6" fillId="0" borderId="0" xfId="1" applyNumberFormat="1" applyFont="1" applyAlignment="1">
      <alignment horizontal="left" wrapText="1"/>
    </xf>
    <xf numFmtId="164" fontId="4" fillId="0" borderId="8" xfId="1" applyFont="1" applyBorder="1" applyAlignment="1">
      <alignment wrapText="1"/>
    </xf>
    <xf numFmtId="9" fontId="4" fillId="0" borderId="9" xfId="3" applyFont="1" applyBorder="1" applyAlignment="1">
      <alignment horizontal="center"/>
    </xf>
    <xf numFmtId="9" fontId="8" fillId="0" borderId="9" xfId="3" applyFont="1" applyFill="1" applyBorder="1" applyAlignment="1">
      <alignment horizontal="center"/>
    </xf>
    <xf numFmtId="9" fontId="8" fillId="0" borderId="10" xfId="3" applyFont="1" applyFill="1" applyBorder="1" applyAlignment="1">
      <alignment horizontal="center"/>
    </xf>
    <xf numFmtId="9" fontId="4" fillId="0" borderId="0" xfId="3" applyFont="1" applyBorder="1" applyAlignment="1">
      <alignment horizontal="center"/>
    </xf>
    <xf numFmtId="164" fontId="6" fillId="2" borderId="6" xfId="1" quotePrefix="1" applyFont="1" applyFill="1" applyBorder="1" applyAlignment="1">
      <alignment horizontal="center"/>
    </xf>
    <xf numFmtId="164" fontId="6" fillId="2" borderId="0" xfId="1" applyFont="1" applyFill="1" applyAlignment="1">
      <alignment horizontal="center"/>
    </xf>
    <xf numFmtId="164" fontId="6" fillId="2" borderId="1" xfId="1" applyFont="1" applyFill="1" applyBorder="1" applyAlignment="1">
      <alignment horizontal="center"/>
    </xf>
    <xf numFmtId="164" fontId="6" fillId="2" borderId="0" xfId="1" quotePrefix="1" applyFont="1" applyFill="1" applyAlignment="1">
      <alignment horizontal="center"/>
    </xf>
    <xf numFmtId="164" fontId="6" fillId="2" borderId="8" xfId="1" quotePrefix="1" applyFont="1" applyFill="1" applyBorder="1" applyAlignment="1">
      <alignment horizontal="center"/>
    </xf>
    <xf numFmtId="164" fontId="6" fillId="2" borderId="9" xfId="1" applyFont="1" applyFill="1" applyBorder="1" applyAlignment="1">
      <alignment horizontal="center"/>
    </xf>
    <xf numFmtId="164" fontId="6" fillId="2" borderId="10" xfId="1" applyFont="1" applyFill="1" applyBorder="1" applyAlignment="1">
      <alignment horizontal="center"/>
    </xf>
  </cellXfs>
  <cellStyles count="9">
    <cellStyle name="Comma 2" xfId="4" xr:uid="{E35D7FC4-2E43-45ED-A6DB-D34F414B8864}"/>
    <cellStyle name="Currency 2" xfId="6" xr:uid="{2545DAE5-42C2-4A0E-837C-A8BFB6C3E763}"/>
    <cellStyle name="Currency 2 3" xfId="8" xr:uid="{CD00C9F6-D55B-46C5-91E1-FDB5AAAB7E5A}"/>
    <cellStyle name="Hyperlink 2" xfId="2" xr:uid="{0BAC7703-DCE0-4772-9209-D90807563BA5}"/>
    <cellStyle name="Normal" xfId="0" builtinId="0"/>
    <cellStyle name="Normal 2" xfId="1" xr:uid="{502C8D63-7F5B-4E40-9E3C-AB890BE554C3}"/>
    <cellStyle name="Normal 2 2" xfId="7" xr:uid="{5019CF1E-EADD-4B4F-AAA8-9164FCFA5039}"/>
    <cellStyle name="Percent 2" xfId="3" xr:uid="{A9B49051-2679-43F2-B448-A2A10819037C}"/>
    <cellStyle name="Percent 2 3" xfId="5" xr:uid="{196D1472-C276-43AE-8AC3-881A54F97C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39" Type="http://schemas.openxmlformats.org/officeDocument/2006/relationships/externalLink" Target="externalLinks/externalLink36.xml"/><Relationship Id="rId21" Type="http://schemas.openxmlformats.org/officeDocument/2006/relationships/externalLink" Target="externalLinks/externalLink18.xml"/><Relationship Id="rId34" Type="http://schemas.openxmlformats.org/officeDocument/2006/relationships/externalLink" Target="externalLinks/externalLink31.xml"/><Relationship Id="rId42" Type="http://schemas.openxmlformats.org/officeDocument/2006/relationships/theme" Target="theme/theme1.xml"/><Relationship Id="rId47" Type="http://schemas.openxmlformats.org/officeDocument/2006/relationships/customXml" Target="../customXml/item1.xml"/><Relationship Id="rId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13.xml"/><Relationship Id="rId29" Type="http://schemas.openxmlformats.org/officeDocument/2006/relationships/externalLink" Target="externalLinks/externalLink26.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40" Type="http://schemas.openxmlformats.org/officeDocument/2006/relationships/externalLink" Target="externalLinks/externalLink37.xml"/><Relationship Id="rId45" Type="http://schemas.openxmlformats.org/officeDocument/2006/relationships/sheetMetadata" Target="metadata.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31" Type="http://schemas.openxmlformats.org/officeDocument/2006/relationships/externalLink" Target="externalLinks/externalLink28.xml"/><Relationship Id="rId44"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43" Type="http://schemas.openxmlformats.org/officeDocument/2006/relationships/styles" Target="styles.xml"/><Relationship Id="rId8" Type="http://schemas.openxmlformats.org/officeDocument/2006/relationships/externalLink" Target="externalLinks/externalLink5.xml"/><Relationship Id="rId3" Type="http://schemas.openxmlformats.org/officeDocument/2006/relationships/worksheet" Target="worksheets/sheet3.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46" Type="http://schemas.openxmlformats.org/officeDocument/2006/relationships/calcChain" Target="calcChain.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s>
</file>

<file path=xl/drawings/drawing1.xml><?xml version="1.0" encoding="utf-8"?>
<xdr:wsDr xmlns:xdr="http://schemas.openxmlformats.org/drawingml/2006/spreadsheetDrawing" xmlns:a="http://schemas.openxmlformats.org/drawingml/2006/main">
  <xdr:twoCellAnchor>
    <xdr:from>
      <xdr:col>1</xdr:col>
      <xdr:colOff>238125</xdr:colOff>
      <xdr:row>3</xdr:row>
      <xdr:rowOff>9525</xdr:rowOff>
    </xdr:from>
    <xdr:to>
      <xdr:col>2</xdr:col>
      <xdr:colOff>123826</xdr:colOff>
      <xdr:row>42</xdr:row>
      <xdr:rowOff>38100</xdr:rowOff>
    </xdr:to>
    <xdr:sp macro="" textlink="">
      <xdr:nvSpPr>
        <xdr:cNvPr id="2" name="TextBox 1">
          <a:extLst>
            <a:ext uri="{FF2B5EF4-FFF2-40B4-BE49-F238E27FC236}">
              <a16:creationId xmlns:a16="http://schemas.microsoft.com/office/drawing/2014/main" id="{0989D12F-5711-4577-B400-B474E9F0C0D2}"/>
            </a:ext>
          </a:extLst>
        </xdr:cNvPr>
        <xdr:cNvSpPr txBox="1"/>
      </xdr:nvSpPr>
      <xdr:spPr>
        <a:xfrm>
          <a:off x="847725" y="523875"/>
          <a:ext cx="8848726" cy="6343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u="sng">
              <a:solidFill>
                <a:schemeClr val="dk1"/>
              </a:solidFill>
              <a:effectLst/>
              <a:latin typeface="+mn-lt"/>
              <a:ea typeface="+mn-ea"/>
              <a:cs typeface="+mn-cs"/>
            </a:rPr>
            <a:t>Jefferies Disclaimer</a:t>
          </a:r>
          <a:endParaRPr lang="en-US" sz="1100">
            <a:solidFill>
              <a:schemeClr val="dk1"/>
            </a:solidFill>
            <a:effectLst/>
            <a:latin typeface="+mn-lt"/>
            <a:ea typeface="+mn-ea"/>
            <a:cs typeface="+mn-cs"/>
          </a:endParaRPr>
        </a:p>
        <a:p>
          <a:r>
            <a:rPr lang="en-US" sz="1100" b="0" i="0">
              <a:solidFill>
                <a:schemeClr val="dk1"/>
              </a:solidFill>
              <a:effectLst/>
              <a:latin typeface="+mn-lt"/>
              <a:ea typeface="+mn-ea"/>
              <a:cs typeface="+mn-cs"/>
            </a:rPr>
            <a:t>This material was prepared by personnel who are associated with Jefferies (Jefferies International Limited, Jefferies Hong Kong Limited, Jefferies Singapore Limited, Jefferies (Japan) Limited, Tokyo Branch, Jefferies India Private Limited, Jefferies (Australia) Pty Ltd); or by personnel who are associated with both Jefferies LLC and Jefferies Research Services LLC (“JRS”). Jefferies LLC is a US registered broker-dealer and is affiliated with JRS, which is a US registered investment adviser. JRS does not create tailored or personalized research and all research provided by JRS is impersonal. If you are paying separately for this research, it is being provided to you by JRS. Otherwise, it is being provided by Jefferies LLC. Jefferies LLC, JRS, and their affiliates are collectively referred to below as “Jefferies”. The information upon which this material is based was obtained from sources believed to be reliable, but has not been independently verified, therefore, we do not guarantee its accuracy. Additional and supporting information is available upon request. This is not an offer or solicitation of an offer to buy or sell any security or investment. Any opinion or estimates constitute our best judgment as of this date, and are subject to change without notice. Members of Jefferies and their respective directors, officers and employees may buy or sell securities mentioned herein as agent or principal for their own account. Upon request members of Jefferies may provide specialized research products or services to certain customers focusing on the prospects for individual covered stocks as compared to other covered stocks over varying time horizons or under differing market conditions. While the views expressed in these situations may not always be directionally consistent with the long-term views expressed in the analyst's published research, the analyst has a reasonable basis and any inconsistencies can be reasonably explained. In Australia, this report may contain general advice. Where this report refers to a particular financial product, you should obtain a copy of the relevant product disclosure statement or offer document before making any decision in relation to the product. This report may contain forward looking statements that may be affected by inaccurate assumptions or by known or unknown risks, uncertainties and other important factors. As a result, the actual results, events, performance or achievements of the financial product may be materially different from those expressed or implied in such statements. Past performance is not indicative of future performance.</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This report/model may contain information obtained from third parties, including ratings from credit ratings agencies such as Standard &amp; Poor’s. Reproduction and distribution of third party content in any form is prohibited except with the prior written permission of the applicable third party. Third party content providers do not guarantee the accuracy, completeness, timeliness or availability of any information, including ratings, and are not responsible for any errors or omissions (negligent or otherwise), regardless of the cause, or for the results obtained from the use of such content. Third party content providers do not provide any express or implied warranties, including, but not limited to, any warranties of merchantability or fitness for a particular purpose or use. Third party content providers are not liable for any direct, indirect, incidental, exemplary, compensatory, punitive, special or consequential damages, costs, expenses, legal fees, or losses (including lost income or profits and opportunity costs) in connection with any use of their content, including ratings. Credit ratings are statements of opinions and are not statements of fact or recommendations to purchase, hold or sell</a:t>
          </a:r>
        </a:p>
        <a:p>
          <a:r>
            <a:rPr lang="en-US" sz="1100" b="0" i="0">
              <a:solidFill>
                <a:schemeClr val="dk1"/>
              </a:solidFill>
              <a:effectLst/>
              <a:latin typeface="+mn-lt"/>
              <a:ea typeface="+mn-ea"/>
              <a:cs typeface="+mn-cs"/>
            </a:rPr>
            <a:t>securities. Such credit ratings do not address the suitability of securities or the suitability of securities for investment purposes, and should not be relied on as investment advice.</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This report/model or any portion hereof may not be reprinted, sold or redistributed without the written consent of Jefferies or its affiliates. Neither Jefferies or its affiliates nor any officer nor employee of Jefferies or its affiliates accepts any liability whatsoever for any direct, indirect or consequential damages or losses of any kind arising from any use of this report/model or its contents.</a:t>
          </a:r>
        </a:p>
        <a:p>
          <a:r>
            <a:rPr lang="en-US" sz="1100" b="0" i="0">
              <a:solidFill>
                <a:schemeClr val="dk1"/>
              </a:solidFill>
              <a:effectLst/>
              <a:latin typeface="+mn-lt"/>
              <a:ea typeface="+mn-ea"/>
              <a:cs typeface="+mn-cs"/>
            </a:rPr>
            <a:t>For Important Disclosure information, please visit our website at https://javatar.bluematrix.com/sellside/Disclosures.action or call 1.888.JEFFERIES.</a:t>
          </a:r>
        </a:p>
        <a:p>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APGOOD/WK/TRUCK/NUMX.xls" TargetMode="External"/><Relationship Id="rId1" Type="http://schemas.openxmlformats.org/officeDocument/2006/relationships/externalLinkPath" Target="/CAPGOOD/WK/TRUCK/NUMX.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fhwa.dot.gov/ohim/hs00/xls/disch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www.fhwa.dot.gov/ohim/hs00/xls/sf21ch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YEQDCL2_RESDATA_SERVER\RESDATA\AUTO\Burch\Auto%20Monthly\MTHY9908.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1/PHILGR~1/LOCALS~1/Temp/temp/Multi%20Ind.%20Charts.xls" TargetMode="External"/><Relationship Id="rId1" Type="http://schemas.openxmlformats.org/officeDocument/2006/relationships/externalLinkPath" Target="/DOCUME~1/PHILGR~1/LOCALS~1/Temp/temp/Multi%20Ind.%20Chart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DOCUME~1/PHILGR~1/LOCALS~1/Temp/CHEMICAL/DMACDOUG/CRANE/CRANEMOD.xls" TargetMode="External"/><Relationship Id="rId1" Type="http://schemas.openxmlformats.org/officeDocument/2006/relationships/externalLinkPath" Target="/DOCUME~1/PHILGR~1/LOCALS~1/Temp/CHEMICAL/DMACDOUG/CRANE/CRANEMOD.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temp/Multi%20Ind.%20Charts%20Active%202002.xls" TargetMode="External"/><Relationship Id="rId1" Type="http://schemas.openxmlformats.org/officeDocument/2006/relationships/externalLinkPath" Target="/temp/Multi%20Ind.%20Charts%20Active%2020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Q:\SHARED\RESEARCH\CAPGOOD\WK\INDU\PCB%20Data.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Documents%20and%20Settings/cwbro035/Local%20Settings/Temporary%20Internet%20Files/OLKCB/MTW.xls" TargetMode="External"/><Relationship Id="rId1" Type="http://schemas.openxmlformats.org/officeDocument/2006/relationships/externalLinkPath" Target="/Documents%20and%20Settings/cwbro035/Local%20Settings/Temporary%20Internet%20Files/OLKCB/MTW.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Documents%20and%20Settings/cpatel/Application%20Data/Microsoft/Excel/BUCY.XLS" TargetMode="External"/><Relationship Id="rId1" Type="http://schemas.openxmlformats.org/officeDocument/2006/relationships/externalLinkPath" Target="/Documents%20and%20Settings/cpatel/Application%20Data/Microsoft/Excel/BUCY.XLS"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DOCUME~1/PHILGR~1/LOCALS~1/Temp/Etn.xls" TargetMode="External"/><Relationship Id="rId1" Type="http://schemas.openxmlformats.org/officeDocument/2006/relationships/externalLinkPath" Target="/DOCUME~1/PHILGR~1/LOCALS~1/Temp/Etn.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EXCEL/RLR/INVTORY/PROD/CRNKMAY.XLS" TargetMode="External"/><Relationship Id="rId1" Type="http://schemas.openxmlformats.org/officeDocument/2006/relationships/externalLinkPath" Target="/EXCEL/RLR/INVTORY/PROD/CRNKMAY.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SHARED\Zeppelin\Electricity%20Output\EEI.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WOL_HUN/WOLFEED/1EXCEL/RAILS/Models/UNP/UNP.xls" TargetMode="External"/><Relationship Id="rId1" Type="http://schemas.openxmlformats.org/officeDocument/2006/relationships/externalLinkPath" Target="/WOL_HUN/WOLFEED/1EXCEL/RAILS/Models/UNP/UNP.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DI%20models/ITW.xls" TargetMode="External"/><Relationship Id="rId1" Type="http://schemas.openxmlformats.org/officeDocument/2006/relationships/externalLinkPath" Target="/DI%20models/ITW.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Documents%20and%20Settings/cpatel/Application%20Data/Microsoft/Excel/ag.xls" TargetMode="External"/><Relationship Id="rId1" Type="http://schemas.openxmlformats.org/officeDocument/2006/relationships/externalLinkPath" Target="/Documents%20and%20Settings/cpatel/Application%20Data/Microsoft/Excel/ag.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OTHERLOC/MTHAGO00.XLS" TargetMode="External"/><Relationship Id="rId1" Type="http://schemas.openxmlformats.org/officeDocument/2006/relationships/externalLinkPath" Target="/OTHERLOC/MTHAGO00.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EXCEL/MOCLOSIN/2001/FY01ACTUALSP.xls" TargetMode="External"/><Relationship Id="rId1" Type="http://schemas.openxmlformats.org/officeDocument/2006/relationships/externalLinkPath" Target="/EXCEL/MOCLOSIN/2001/FY01ACTUALSP.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WOL_HUN/WOLFEED/1EXCEL/RAILS/Models/BNI/BNIem.xls" TargetMode="External"/><Relationship Id="rId1" Type="http://schemas.openxmlformats.org/officeDocument/2006/relationships/externalLinkPath" Target="/WOL_HUN/WOLFEED/1EXCEL/RAILS/Models/BNI/BNIem.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CAPITAL/2001/Fcst%20%237/ICCfcst7AppSetUp.xls" TargetMode="External"/><Relationship Id="rId1" Type="http://schemas.openxmlformats.org/officeDocument/2006/relationships/externalLinkPath" Target="/CAPITAL/2001/Fcst%20%237/ICCfcst7AppSetUp.xls"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CAPITAL/2001/Fcst%20%237/INDYfcst7temp.xls" TargetMode="External"/><Relationship Id="rId1" Type="http://schemas.openxmlformats.org/officeDocument/2006/relationships/externalLinkPath" Target="/CAPITAL/2001/Fcst%20%237/INDYfcst7temp.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Classshare\Valuation%20Training\Templates\acq%20comps%20key%20HSY%20v1.xls"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ACC/EXCEL/COST/07%20plan/07%20plan%20volumen%20adjustment.xls" TargetMode="External"/><Relationship Id="rId1" Type="http://schemas.openxmlformats.org/officeDocument/2006/relationships/externalLinkPath" Target="/ACC/EXCEL/COST/07%20plan/07%20plan%20volumen%20adjustment.xls"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WINNT/Profiles/dsanjose/Personal/cat.xls" TargetMode="External"/><Relationship Id="rId1" Type="http://schemas.openxmlformats.org/officeDocument/2006/relationships/externalLinkPath" Target="/WINNT/Profiles/dsanjose/Personal/cat.xls"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Telecom/San%20Jose/CapGoods-Machinery/CAT/cat%20pre02annual.xls" TargetMode="External"/><Relationship Id="rId1" Type="http://schemas.openxmlformats.org/officeDocument/2006/relationships/externalLinkPath" Target="/Telecom/San%20Jose/CapGoods-Machinery/CAT/cat%20pre02annual.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SV%20WORK/CAPGOOD/WK/OTHER/HISTRY.XLS" TargetMode="External"/><Relationship Id="rId1" Type="http://schemas.openxmlformats.org/officeDocument/2006/relationships/externalLinkPath" Target="/SV%20WORK/CAPGOOD/WK/OTHER/HISTRY.XLS"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CAPGOOD/WK/INDU/Documents%20and%20Settings/u757154/Local%20Settings/Temp/EV_History_master.xls" TargetMode="External"/><Relationship Id="rId1" Type="http://schemas.openxmlformats.org/officeDocument/2006/relationships/externalLinkPath" Target="/CAPGOOD/WK/INDU/Documents%20and%20Settings/u757154/Local%20Settings/Temp/EV_History_master.xls"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CAPGOOD/WK/FARM&amp;CON/AgEqip%20regression.xls" TargetMode="External"/><Relationship Id="rId1" Type="http://schemas.openxmlformats.org/officeDocument/2006/relationships/externalLinkPath" Target="/CAPGOOD/WK/FARM&amp;CON/AgEqip%20regression.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MultipleSecuritie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NY/Volkmann/Companies/ITW/ITW.xlsx" TargetMode="External"/><Relationship Id="rId1" Type="http://schemas.openxmlformats.org/officeDocument/2006/relationships/externalLinkPath" Target="/NY/Volkmann/Companies/ITW/ITW.xlsx"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STEEL_MA/INVENTOR/NGDCRANK/JAN96/CRNKJAN.XLS" TargetMode="External"/><Relationship Id="rId1" Type="http://schemas.openxmlformats.org/officeDocument/2006/relationships/externalLinkPath" Target="/STEEL_MA/INVENTOR/NGDCRANK/JAN96/CRNKJAN.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DOCUME~1/u757154/LOCALS~1/Temp/c.data.u757154.notes_cdi/NUMX2.xls" TargetMode="External"/><Relationship Id="rId1" Type="http://schemas.openxmlformats.org/officeDocument/2006/relationships/externalLinkPath" Target="/DOCUME~1/u757154/LOCALS~1/Temp/c.data.u757154.notes_cdi/NUMX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NYEQDCL2_RESDATA_SERVER\RESDATA\AUTO\Burch\Auto%20Monthly\SALEStoCaputo.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CAPGOOD/WK/INDU/cat.xls" TargetMode="External"/><Relationship Id="rId1" Type="http://schemas.openxmlformats.org/officeDocument/2006/relationships/externalLinkPath" Target="/CAPGOOD/WK/INDU/cat.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Documents%20and%20Settings/Gary/Local%20Settings/Temporary%20Internet%20Files/Content.IE5/CPIJOPYB/TKR.xls" TargetMode="External"/><Relationship Id="rId1" Type="http://schemas.openxmlformats.org/officeDocument/2006/relationships/externalLinkPath" Target="/Documents%20and%20Settings/Gary/Local%20Settings/Temporary%20Internet%20Files/Content.IE5/CPIJOPYB/TKR.xls"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EXCEL/OPPLAN/01PLAN/FY01planACTUALSP.xls" TargetMode="External"/><Relationship Id="rId1" Type="http://schemas.openxmlformats.org/officeDocument/2006/relationships/externalLinkPath" Target="/EXCEL/OPPLAN/01PLAN/FY01planACTUALSP.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WINDOWS/Temporary%20Internet%20Files/OLK2CB/UTiem.xls" TargetMode="External"/><Relationship Id="rId1" Type="http://schemas.openxmlformats.org/officeDocument/2006/relationships/externalLinkPath" Target="/WINDOWS/Temporary%20Internet%20Files/OLK2CB/UTiem.xls"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Startup" Target="Documents%20and%20Settings/pscavo/Local%20Settings/Temporary%20Internet%20Files/OLK33/OIT%20Screen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eavy-truck data"/>
      <sheetName val="FC Charts"/>
      <sheetName val="FC Tables"/>
      <sheetName val="MH"/>
      <sheetName val="Heavy Graphs"/>
      <sheetName val="forecasts"/>
      <sheetName val="EPS"/>
      <sheetName val="units in backlog"/>
      <sheetName val="2007 Pre-Buy"/>
      <sheetName val="Truck Downgrade"/>
      <sheetName val="2002 Prebuy"/>
      <sheetName val="NUMX.XLS"/>
      <sheetName val="FC"/>
      <sheetName val="Evaluation"/>
      <sheetName val="Tables"/>
      <sheetName val="2007 Pre-Buy "/>
      <sheetName val="2007 Pre-Buy  (2)"/>
      <sheetName val="2007 Pre-Buy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0">
          <cell r="BZ30" t="str">
            <v>CLASS 8 TRUCK GRAPHS</v>
          </cell>
        </row>
        <row r="177">
          <cell r="B177">
            <v>33998</v>
          </cell>
          <cell r="C177">
            <v>70397</v>
          </cell>
          <cell r="E177">
            <v>11903</v>
          </cell>
          <cell r="G177">
            <v>14896</v>
          </cell>
          <cell r="I177">
            <v>17514</v>
          </cell>
          <cell r="K177">
            <v>1822</v>
          </cell>
          <cell r="M177">
            <v>15692</v>
          </cell>
          <cell r="O177">
            <v>10195</v>
          </cell>
          <cell r="Q177">
            <v>43.83325159391859</v>
          </cell>
          <cell r="T177">
            <v>135.36275493146107</v>
          </cell>
          <cell r="U177">
            <v>30.101650453601493</v>
          </cell>
          <cell r="V177">
            <v>10.990239177408533</v>
          </cell>
          <cell r="W177">
            <v>50.826730967964174</v>
          </cell>
          <cell r="X177">
            <v>71.563088512241052</v>
          </cell>
          <cell r="Y177">
            <v>48.739336492890992</v>
          </cell>
          <cell r="Z177">
            <v>42.747129655558666</v>
          </cell>
          <cell r="AA177">
            <v>-22.246955546341162</v>
          </cell>
          <cell r="AB177">
            <v>10.403106086559324</v>
          </cell>
          <cell r="AC177">
            <v>2.5881784735144961</v>
          </cell>
          <cell r="AD177">
            <v>70343</v>
          </cell>
          <cell r="AE177">
            <v>11970.333333333334</v>
          </cell>
          <cell r="AF177">
            <v>14932</v>
          </cell>
          <cell r="AG177">
            <v>18200.666666666668</v>
          </cell>
          <cell r="AH177">
            <v>1590.6666666666667</v>
          </cell>
          <cell r="AI177">
            <v>16610</v>
          </cell>
          <cell r="AJ177">
            <v>11413.333333333334</v>
          </cell>
          <cell r="AK177">
            <v>39.82544627780544</v>
          </cell>
          <cell r="AL177">
            <v>8.7579650990137026</v>
          </cell>
          <cell r="AM177">
            <v>0.31091521324981897</v>
          </cell>
          <cell r="AO177">
            <v>148339.97741480716</v>
          </cell>
          <cell r="AQ177">
            <v>192978.22087576913</v>
          </cell>
          <cell r="AR177">
            <v>21822.592598637235</v>
          </cell>
          <cell r="AS177">
            <v>170391.14835564708</v>
          </cell>
          <cell r="AT177">
            <v>144562.54221911076</v>
          </cell>
          <cell r="AV177">
            <v>14660.75</v>
          </cell>
          <cell r="AW177" t="str">
            <v>1/93</v>
          </cell>
        </row>
        <row r="178">
          <cell r="B178">
            <v>34028</v>
          </cell>
          <cell r="C178">
            <v>73641</v>
          </cell>
          <cell r="E178">
            <v>13120</v>
          </cell>
          <cell r="G178">
            <v>16613</v>
          </cell>
          <cell r="I178">
            <v>16927</v>
          </cell>
          <cell r="K178">
            <v>1307</v>
          </cell>
          <cell r="M178">
            <v>15620</v>
          </cell>
          <cell r="O178">
            <v>11130</v>
          </cell>
          <cell r="Q178">
            <v>44.77897574123989</v>
          </cell>
          <cell r="T178">
            <v>121.46337062432333</v>
          </cell>
          <cell r="U178">
            <v>54.225931585752903</v>
          </cell>
          <cell r="V178">
            <v>21.086005830903787</v>
          </cell>
          <cell r="W178">
            <v>34.501390544298772</v>
          </cell>
          <cell r="X178">
            <v>71.297509829619926</v>
          </cell>
          <cell r="Y178">
            <v>32.126543732025034</v>
          </cell>
          <cell r="Z178">
            <v>41.946180334141062</v>
          </cell>
          <cell r="AA178">
            <v>-14.69583362802187</v>
          </cell>
          <cell r="AB178">
            <v>7.7213918591599224</v>
          </cell>
          <cell r="AC178">
            <v>1.7748265232682878</v>
          </cell>
          <cell r="AD178">
            <v>73377.666666666672</v>
          </cell>
          <cell r="AE178">
            <v>13671</v>
          </cell>
          <cell r="AF178">
            <v>16531.333333333332</v>
          </cell>
          <cell r="AG178">
            <v>18316.333333333332</v>
          </cell>
          <cell r="AH178">
            <v>1881</v>
          </cell>
          <cell r="AI178">
            <v>16435.333333333332</v>
          </cell>
          <cell r="AJ178">
            <v>11911.333333333334</v>
          </cell>
          <cell r="AK178">
            <v>42.088592399942137</v>
          </cell>
          <cell r="AL178">
            <v>10.12770957465071</v>
          </cell>
          <cell r="AM178">
            <v>0.30998755317257309</v>
          </cell>
          <cell r="AO178">
            <v>163200.17722495261</v>
          </cell>
          <cell r="AQ178">
            <v>198251.61166655738</v>
          </cell>
          <cell r="AR178">
            <v>17006.700221631203</v>
          </cell>
          <cell r="AS178">
            <v>179634.4581029148</v>
          </cell>
          <cell r="AT178">
            <v>155803.83043245226</v>
          </cell>
          <cell r="AV178">
            <v>14977.25</v>
          </cell>
        </row>
        <row r="179">
          <cell r="B179">
            <v>34057</v>
          </cell>
          <cell r="C179">
            <v>76095</v>
          </cell>
          <cell r="E179">
            <v>15990</v>
          </cell>
          <cell r="G179">
            <v>18085</v>
          </cell>
          <cell r="I179">
            <v>20508</v>
          </cell>
          <cell r="K179">
            <v>2514</v>
          </cell>
          <cell r="M179">
            <v>17994</v>
          </cell>
          <cell r="O179">
            <v>14409</v>
          </cell>
          <cell r="Q179">
            <v>37.653549864667916</v>
          </cell>
          <cell r="T179">
            <v>117.58835639940526</v>
          </cell>
          <cell r="U179">
            <v>55.544747081712067</v>
          </cell>
          <cell r="V179">
            <v>25.069156293222683</v>
          </cell>
          <cell r="W179">
            <v>55.634818243909834</v>
          </cell>
          <cell r="X179">
            <v>239.72972972972974</v>
          </cell>
          <cell r="Y179">
            <v>44.681193213797535</v>
          </cell>
          <cell r="Z179">
            <v>58.95201323772752</v>
          </cell>
          <cell r="AA179">
            <v>-21.316406287871214</v>
          </cell>
          <cell r="AB179">
            <v>12.258630778232884</v>
          </cell>
          <cell r="AC179">
            <v>3.303765030553913</v>
          </cell>
          <cell r="AD179">
            <v>74955.333333333328</v>
          </cell>
          <cell r="AE179">
            <v>14895</v>
          </cell>
          <cell r="AF179">
            <v>17617.666666666668</v>
          </cell>
          <cell r="AG179">
            <v>18202</v>
          </cell>
          <cell r="AH179">
            <v>1949.6666666666667</v>
          </cell>
          <cell r="AI179">
            <v>16252.333333333334</v>
          </cell>
          <cell r="AJ179">
            <v>13613</v>
          </cell>
          <cell r="AK179">
            <v>39.343521607198028</v>
          </cell>
          <cell r="AL179">
            <v>10.596877850380912</v>
          </cell>
          <cell r="AM179">
            <v>0.2863667414853126</v>
          </cell>
          <cell r="AO179">
            <v>176048.27486664799</v>
          </cell>
          <cell r="AQ179">
            <v>221711.50547064882</v>
          </cell>
          <cell r="AR179">
            <v>27630.65685723913</v>
          </cell>
          <cell r="AS179">
            <v>193967.05742707875</v>
          </cell>
          <cell r="AT179">
            <v>166303.41186800066</v>
          </cell>
          <cell r="AV179">
            <v>15440.333333333334</v>
          </cell>
        </row>
        <row r="180">
          <cell r="B180">
            <v>34088</v>
          </cell>
          <cell r="C180">
            <v>75130</v>
          </cell>
          <cell r="E180">
            <v>15575</v>
          </cell>
          <cell r="G180">
            <v>18155</v>
          </cell>
          <cell r="I180">
            <v>17171</v>
          </cell>
          <cell r="K180">
            <v>2028</v>
          </cell>
          <cell r="M180">
            <v>15143</v>
          </cell>
          <cell r="O180">
            <v>15300</v>
          </cell>
          <cell r="Q180">
            <v>35.598039215686278</v>
          </cell>
          <cell r="T180">
            <v>90.221794612112618</v>
          </cell>
          <cell r="U180">
            <v>47.644326476443254</v>
          </cell>
          <cell r="V180">
            <v>29.752715837621491</v>
          </cell>
          <cell r="W180">
            <v>7.8783690393918526</v>
          </cell>
          <cell r="X180">
            <v>184.03361344537817</v>
          </cell>
          <cell r="Y180">
            <v>-0.39465894889166853</v>
          </cell>
          <cell r="Z180">
            <v>34.980149977944428</v>
          </cell>
          <cell r="AA180">
            <v>-3.8727428745464088</v>
          </cell>
          <cell r="AB180">
            <v>11.810610913749928</v>
          </cell>
          <cell r="AC180">
            <v>2.6993211766271794</v>
          </cell>
          <cell r="AD180">
            <v>75508</v>
          </cell>
          <cell r="AE180">
            <v>15301</v>
          </cell>
          <cell r="AF180">
            <v>18073</v>
          </cell>
          <cell r="AG180">
            <v>18653</v>
          </cell>
          <cell r="AH180">
            <v>2680</v>
          </cell>
          <cell r="AI180">
            <v>15973</v>
          </cell>
          <cell r="AJ180">
            <v>14645.666666666666</v>
          </cell>
          <cell r="AK180">
            <v>37.053547217582221</v>
          </cell>
          <cell r="AL180">
            <v>14.401636362681359</v>
          </cell>
          <cell r="AM180">
            <v>0.26054716981132087</v>
          </cell>
          <cell r="AO180">
            <v>180507.18060200664</v>
          </cell>
          <cell r="AQ180">
            <v>214971.32545623303</v>
          </cell>
          <cell r="AR180">
            <v>23162.455373122713</v>
          </cell>
          <cell r="AS180">
            <v>193050.02716090184</v>
          </cell>
          <cell r="AT180">
            <v>170702.40684393549</v>
          </cell>
          <cell r="AV180">
            <v>15435.333333333334</v>
          </cell>
        </row>
        <row r="181">
          <cell r="B181">
            <v>34118</v>
          </cell>
          <cell r="C181">
            <v>75299</v>
          </cell>
          <cell r="E181">
            <v>14338</v>
          </cell>
          <cell r="G181">
            <v>17979</v>
          </cell>
          <cell r="I181">
            <v>18280</v>
          </cell>
          <cell r="K181">
            <v>3498</v>
          </cell>
          <cell r="M181">
            <v>14782</v>
          </cell>
          <cell r="O181">
            <v>14228</v>
          </cell>
          <cell r="Q181">
            <v>37.909052572392469</v>
          </cell>
          <cell r="T181">
            <v>82.968848714584254</v>
          </cell>
          <cell r="U181">
            <v>38.93410852713177</v>
          </cell>
          <cell r="V181">
            <v>31.319845153750634</v>
          </cell>
          <cell r="W181">
            <v>34.224245539320066</v>
          </cell>
          <cell r="X181">
            <v>202.59515570934258</v>
          </cell>
          <cell r="Y181">
            <v>18.607076947765378</v>
          </cell>
          <cell r="Z181">
            <v>39.723067858195037</v>
          </cell>
          <cell r="AA181">
            <v>-6.0141985380487206</v>
          </cell>
          <cell r="AB181">
            <v>19.135667396061269</v>
          </cell>
          <cell r="AC181">
            <v>4.6454800196549755</v>
          </cell>
          <cell r="AD181">
            <v>74659.666666666672</v>
          </cell>
          <cell r="AE181">
            <v>15575</v>
          </cell>
          <cell r="AF181">
            <v>18007</v>
          </cell>
          <cell r="AG181">
            <v>17466.333333333332</v>
          </cell>
          <cell r="AH181">
            <v>2553</v>
          </cell>
          <cell r="AI181">
            <v>14913.333333333334</v>
          </cell>
          <cell r="AJ181">
            <v>15091</v>
          </cell>
          <cell r="AK181">
            <v>35.86279581249709</v>
          </cell>
          <cell r="AL181">
            <v>14.510611375868935</v>
          </cell>
          <cell r="AM181">
            <v>0.22862109847716994</v>
          </cell>
          <cell r="AO181">
            <v>160202.47066757068</v>
          </cell>
          <cell r="AQ181">
            <v>225196.07549649294</v>
          </cell>
          <cell r="AR181">
            <v>42286.430754025445</v>
          </cell>
          <cell r="AS181">
            <v>182771.97974349049</v>
          </cell>
          <cell r="AT181">
            <v>164936.85508154851</v>
          </cell>
          <cell r="AV181">
            <v>15628.583333333334</v>
          </cell>
        </row>
        <row r="182">
          <cell r="B182">
            <v>34149</v>
          </cell>
          <cell r="C182">
            <v>73550</v>
          </cell>
          <cell r="E182">
            <v>16812</v>
          </cell>
          <cell r="G182">
            <v>17887</v>
          </cell>
          <cell r="I182">
            <v>16948</v>
          </cell>
          <cell r="K182">
            <v>2133</v>
          </cell>
          <cell r="M182">
            <v>14815</v>
          </cell>
          <cell r="O182">
            <v>15745</v>
          </cell>
          <cell r="Q182">
            <v>34.081295649412517</v>
          </cell>
          <cell r="T182">
            <v>75.776115479291633</v>
          </cell>
          <cell r="U182">
            <v>46.445993031358881</v>
          </cell>
          <cell r="V182">
            <v>30.600175233644865</v>
          </cell>
          <cell r="W182">
            <v>32.045188936501745</v>
          </cell>
          <cell r="X182">
            <v>73.555736371033362</v>
          </cell>
          <cell r="Y182">
            <v>27.649491642254009</v>
          </cell>
          <cell r="Z182">
            <v>43.803087039912313</v>
          </cell>
          <cell r="AA182">
            <v>-9.1812436561970241</v>
          </cell>
          <cell r="AB182">
            <v>12.58555581779561</v>
          </cell>
          <cell r="AC182">
            <v>2.9000679809653298</v>
          </cell>
          <cell r="AD182">
            <v>76502.666666666672</v>
          </cell>
          <cell r="AE182">
            <v>14293.666666666666</v>
          </cell>
          <cell r="AF182">
            <v>17489</v>
          </cell>
          <cell r="AG182">
            <v>18520</v>
          </cell>
          <cell r="AH182">
            <v>2438</v>
          </cell>
          <cell r="AI182">
            <v>16082</v>
          </cell>
          <cell r="AJ182">
            <v>14732.666666666666</v>
          </cell>
          <cell r="AK182">
            <v>35.667081510373194</v>
          </cell>
          <cell r="AL182">
            <v>13.332938395700344</v>
          </cell>
          <cell r="AM182">
            <v>0.19539700261695048</v>
          </cell>
          <cell r="AO182">
            <v>184700.03724732145</v>
          </cell>
          <cell r="AQ182">
            <v>227471.97923989379</v>
          </cell>
          <cell r="AR182">
            <v>28923.217913481301</v>
          </cell>
          <cell r="AS182">
            <v>198491.75718491222</v>
          </cell>
          <cell r="AT182">
            <v>175978.532444668</v>
          </cell>
          <cell r="AV182">
            <v>15896</v>
          </cell>
        </row>
        <row r="183">
          <cell r="B183">
            <v>34179</v>
          </cell>
          <cell r="C183">
            <v>80659</v>
          </cell>
          <cell r="E183">
            <v>11731</v>
          </cell>
          <cell r="G183">
            <v>16601</v>
          </cell>
          <cell r="I183">
            <v>20332</v>
          </cell>
          <cell r="K183">
            <v>1683</v>
          </cell>
          <cell r="M183">
            <v>18649</v>
          </cell>
          <cell r="O183">
            <v>14225</v>
          </cell>
          <cell r="Q183">
            <v>35.010896309314589</v>
          </cell>
          <cell r="T183">
            <v>65.400073821925119</v>
          </cell>
          <cell r="U183">
            <v>17.852119750853923</v>
          </cell>
          <cell r="V183">
            <v>28.311949296645533</v>
          </cell>
          <cell r="W183">
            <v>14.48842840250013</v>
          </cell>
          <cell r="X183">
            <v>74.585062240663902</v>
          </cell>
          <cell r="Y183">
            <v>11.03899970229234</v>
          </cell>
          <cell r="Z183">
            <v>30.122575923893159</v>
          </cell>
          <cell r="AA183">
            <v>-1.3914777004619183</v>
          </cell>
          <cell r="AB183">
            <v>8.2775919732441476</v>
          </cell>
          <cell r="AC183">
            <v>2.0865619459700717</v>
          </cell>
          <cell r="AD183">
            <v>78145</v>
          </cell>
          <cell r="AE183">
            <v>14901.333333333334</v>
          </cell>
          <cell r="AF183">
            <v>17314</v>
          </cell>
          <cell r="AG183">
            <v>18444.666666666668</v>
          </cell>
          <cell r="AH183">
            <v>1917</v>
          </cell>
          <cell r="AI183">
            <v>16627.333333333332</v>
          </cell>
          <cell r="AJ183">
            <v>14963.333333333334</v>
          </cell>
          <cell r="AK183">
            <v>34.729122073820569</v>
          </cell>
          <cell r="AL183">
            <v>10.526998083885969</v>
          </cell>
          <cell r="AM183">
            <v>0.23517094117924642</v>
          </cell>
          <cell r="AO183">
            <v>167790.50358745025</v>
          </cell>
          <cell r="AQ183">
            <v>264843.0307080925</v>
          </cell>
          <cell r="AR183">
            <v>24680.104555899692</v>
          </cell>
          <cell r="AS183">
            <v>237937.94774397573</v>
          </cell>
          <cell r="AT183">
            <v>171784.39582479896</v>
          </cell>
          <cell r="AV183">
            <v>16050.5</v>
          </cell>
        </row>
        <row r="184">
          <cell r="B184">
            <v>34210</v>
          </cell>
          <cell r="C184">
            <v>80226</v>
          </cell>
          <cell r="E184">
            <v>16161</v>
          </cell>
          <cell r="G184">
            <v>17454</v>
          </cell>
          <cell r="I184">
            <v>18054</v>
          </cell>
          <cell r="K184">
            <v>1935</v>
          </cell>
          <cell r="M184">
            <v>16418</v>
          </cell>
          <cell r="O184">
            <v>14920</v>
          </cell>
          <cell r="Q184">
            <v>35.095174262734588</v>
          </cell>
          <cell r="T184">
            <v>52.25172224014576</v>
          </cell>
          <cell r="U184">
            <v>45.110891622519532</v>
          </cell>
          <cell r="V184">
            <v>34.644758157833834</v>
          </cell>
          <cell r="W184">
            <v>10.07194244604317</v>
          </cell>
          <cell r="X184">
            <v>45.817633760361723</v>
          </cell>
          <cell r="Y184">
            <v>8.9087893864013168</v>
          </cell>
          <cell r="Z184">
            <v>36.930983847283414</v>
          </cell>
          <cell r="AA184">
            <v>-1.6696189753513613</v>
          </cell>
          <cell r="AB184">
            <v>10.717846460618146</v>
          </cell>
          <cell r="AC184">
            <v>2.4119362800089745</v>
          </cell>
          <cell r="AD184">
            <v>80730.666666666672</v>
          </cell>
          <cell r="AE184">
            <v>14775.666666666666</v>
          </cell>
          <cell r="AF184">
            <v>17289.666666666668</v>
          </cell>
          <cell r="AG184">
            <v>19613.333333333332</v>
          </cell>
          <cell r="AH184">
            <v>2241.6666666666665</v>
          </cell>
          <cell r="AI184">
            <v>17471.333333333332</v>
          </cell>
          <cell r="AJ184">
            <v>14963.333333333334</v>
          </cell>
          <cell r="AK184">
            <v>34.682758148764989</v>
          </cell>
          <cell r="AL184">
            <v>11.395207094394239</v>
          </cell>
          <cell r="AM184">
            <v>0.18940019005456965</v>
          </cell>
          <cell r="AO184">
            <v>191293.79770925315</v>
          </cell>
          <cell r="AQ184">
            <v>238357.77894670135</v>
          </cell>
          <cell r="AR184">
            <v>21112.104999070802</v>
          </cell>
          <cell r="AS184">
            <v>225287.87135538002</v>
          </cell>
          <cell r="AT184">
            <v>183376.31554179566</v>
          </cell>
          <cell r="AV184">
            <v>16162.416666666666</v>
          </cell>
        </row>
        <row r="185">
          <cell r="B185">
            <v>34241</v>
          </cell>
          <cell r="C185">
            <v>81307</v>
          </cell>
          <cell r="E185">
            <v>16435</v>
          </cell>
          <cell r="G185">
            <v>17814</v>
          </cell>
          <cell r="I185">
            <v>20454</v>
          </cell>
          <cell r="K185">
            <v>3107</v>
          </cell>
          <cell r="M185">
            <v>17347</v>
          </cell>
          <cell r="O185">
            <v>15745</v>
          </cell>
          <cell r="Q185">
            <v>33.942203874245791</v>
          </cell>
          <cell r="T185">
            <v>50.898259158902782</v>
          </cell>
          <cell r="U185">
            <v>31.785742923582717</v>
          </cell>
          <cell r="V185">
            <v>37.326549491211836</v>
          </cell>
          <cell r="W185">
            <v>25.208129285014703</v>
          </cell>
          <cell r="X185">
            <v>78.665899942495685</v>
          </cell>
          <cell r="Y185">
            <v>18.839487565938207</v>
          </cell>
          <cell r="Z185">
            <v>35.74446072937323</v>
          </cell>
          <cell r="AA185">
            <v>1.1654904762506302</v>
          </cell>
          <cell r="AB185">
            <v>15.190182849320427</v>
          </cell>
          <cell r="AC185">
            <v>3.8213191976090619</v>
          </cell>
          <cell r="AD185">
            <v>82222</v>
          </cell>
          <cell r="AE185">
            <v>16216.666666666666</v>
          </cell>
          <cell r="AF185">
            <v>17983.666666666668</v>
          </cell>
          <cell r="AG185">
            <v>20036</v>
          </cell>
          <cell r="AH185">
            <v>2362.6666666666665</v>
          </cell>
          <cell r="AI185">
            <v>17773</v>
          </cell>
          <cell r="AJ185">
            <v>15479</v>
          </cell>
          <cell r="AK185">
            <v>34.858135260302106</v>
          </cell>
          <cell r="AL185">
            <v>11.793417177386933</v>
          </cell>
          <cell r="AM185">
            <v>0.16714262830250171</v>
          </cell>
          <cell r="AO185">
            <v>195211.49667418792</v>
          </cell>
          <cell r="AQ185">
            <v>251089.7207901474</v>
          </cell>
          <cell r="AR185">
            <v>30811.89679402723</v>
          </cell>
          <cell r="AS185">
            <v>222812.58560464549</v>
          </cell>
          <cell r="AT185">
            <v>188703.66148340766</v>
          </cell>
          <cell r="AV185">
            <v>16391.583333333332</v>
          </cell>
        </row>
        <row r="186">
          <cell r="B186">
            <v>34271</v>
          </cell>
          <cell r="C186">
            <v>85133</v>
          </cell>
          <cell r="E186">
            <v>16054</v>
          </cell>
          <cell r="G186">
            <v>18683</v>
          </cell>
          <cell r="I186">
            <v>21600</v>
          </cell>
          <cell r="K186">
            <v>2046</v>
          </cell>
          <cell r="M186">
            <v>19554</v>
          </cell>
          <cell r="O186">
            <v>15772</v>
          </cell>
          <cell r="Q186">
            <v>35.537027643925946</v>
          </cell>
          <cell r="T186">
            <v>47.365414575038955</v>
          </cell>
          <cell r="U186">
            <v>19.761283103319659</v>
          </cell>
          <cell r="V186">
            <v>39.207212577304219</v>
          </cell>
          <cell r="W186">
            <v>11.564485305511084</v>
          </cell>
          <cell r="X186">
            <v>20.56570418385386</v>
          </cell>
          <cell r="Y186">
            <v>10.699728260869556</v>
          </cell>
          <cell r="Z186">
            <v>18.506273949958675</v>
          </cell>
          <cell r="AA186">
            <v>17.468221670767292</v>
          </cell>
          <cell r="AB186">
            <v>9.4722222222222214</v>
          </cell>
          <cell r="AC186">
            <v>2.4032983684352716</v>
          </cell>
          <cell r="AD186">
            <v>84431.666666666672</v>
          </cell>
          <cell r="AE186">
            <v>16001.333333333334</v>
          </cell>
          <cell r="AF186">
            <v>18461</v>
          </cell>
          <cell r="AG186">
            <v>20479</v>
          </cell>
          <cell r="AH186">
            <v>2417</v>
          </cell>
          <cell r="AI186">
            <v>18062</v>
          </cell>
          <cell r="AJ186">
            <v>15550</v>
          </cell>
          <cell r="AK186">
            <v>35.639754412310687</v>
          </cell>
          <cell r="AL186">
            <v>11.828774312571346</v>
          </cell>
          <cell r="AM186">
            <v>0.1713411331383381</v>
          </cell>
          <cell r="AO186">
            <v>177526.44688711478</v>
          </cell>
          <cell r="AQ186">
            <v>233522.47789345615</v>
          </cell>
          <cell r="AR186">
            <v>24234.080981298041</v>
          </cell>
          <cell r="AS186">
            <v>208058.26720623259</v>
          </cell>
          <cell r="AT186">
            <v>173254.76012750698</v>
          </cell>
          <cell r="AV186">
            <v>16549.083333333332</v>
          </cell>
        </row>
        <row r="187">
          <cell r="B187">
            <v>34302</v>
          </cell>
          <cell r="C187">
            <v>86855</v>
          </cell>
          <cell r="E187">
            <v>15515</v>
          </cell>
          <cell r="G187">
            <v>18886</v>
          </cell>
          <cell r="I187">
            <v>19383</v>
          </cell>
          <cell r="K187">
            <v>2098</v>
          </cell>
          <cell r="M187">
            <v>17285</v>
          </cell>
          <cell r="O187">
            <v>15133</v>
          </cell>
          <cell r="Q187">
            <v>37.440031718760324</v>
          </cell>
          <cell r="T187">
            <v>44.152891190333918</v>
          </cell>
          <cell r="U187">
            <v>27.088794233289647</v>
          </cell>
          <cell r="V187">
            <v>27.556396055653121</v>
          </cell>
          <cell r="W187">
            <v>27.561697926949648</v>
          </cell>
          <cell r="X187">
            <v>84.358523725834786</v>
          </cell>
          <cell r="Y187">
            <v>22.963648004552883</v>
          </cell>
          <cell r="Z187">
            <v>40.198258291643498</v>
          </cell>
          <cell r="AA187">
            <v>-9.0171321598678684</v>
          </cell>
          <cell r="AB187">
            <v>10.823917866171387</v>
          </cell>
          <cell r="AC187">
            <v>2.4155201197397962</v>
          </cell>
          <cell r="AD187">
            <v>89193</v>
          </cell>
          <cell r="AE187">
            <v>15072.666666666666</v>
          </cell>
          <cell r="AF187">
            <v>17779.666666666668</v>
          </cell>
          <cell r="AG187">
            <v>22331</v>
          </cell>
          <cell r="AH187">
            <v>2047.3333333333333</v>
          </cell>
          <cell r="AI187">
            <v>20283.666666666668</v>
          </cell>
          <cell r="AJ187">
            <v>16039</v>
          </cell>
          <cell r="AK187">
            <v>33.487898864175307</v>
          </cell>
          <cell r="AL187">
            <v>9.3259336626825284</v>
          </cell>
          <cell r="AM187">
            <v>0.15607561720130669</v>
          </cell>
          <cell r="AO187">
            <v>190762.85339772751</v>
          </cell>
          <cell r="AQ187">
            <v>238611.75829024479</v>
          </cell>
          <cell r="AR187">
            <v>24689.610856100542</v>
          </cell>
          <cell r="AS187">
            <v>214645.78905526156</v>
          </cell>
          <cell r="AT187">
            <v>197221.82155660316</v>
          </cell>
          <cell r="AV187">
            <v>16818.083333333332</v>
          </cell>
        </row>
        <row r="188">
          <cell r="B188">
            <v>34332</v>
          </cell>
          <cell r="C188">
            <v>95591</v>
          </cell>
          <cell r="E188">
            <v>13649</v>
          </cell>
          <cell r="G188">
            <v>15770</v>
          </cell>
          <cell r="I188">
            <v>26010</v>
          </cell>
          <cell r="K188">
            <v>1998</v>
          </cell>
          <cell r="M188">
            <v>24012</v>
          </cell>
          <cell r="O188">
            <v>17212</v>
          </cell>
          <cell r="Q188">
            <v>27.486637229839644</v>
          </cell>
          <cell r="T188">
            <v>42.692301951008346</v>
          </cell>
          <cell r="U188">
            <v>25.358192505510658</v>
          </cell>
          <cell r="V188">
            <v>18.687438850003769</v>
          </cell>
          <cell r="W188">
            <v>29.01145776499181</v>
          </cell>
          <cell r="X188">
            <v>21.606816798539263</v>
          </cell>
          <cell r="Y188">
            <v>29.668430716060044</v>
          </cell>
          <cell r="Z188">
            <v>33.271389856755704</v>
          </cell>
          <cell r="AA188">
            <v>-10.943047132942219</v>
          </cell>
          <cell r="AB188">
            <v>7.6816608996539788</v>
          </cell>
          <cell r="AC188">
            <v>2.090154930903537</v>
          </cell>
          <cell r="AD188">
            <v>94803</v>
          </cell>
          <cell r="AE188">
            <v>14259.666666666666</v>
          </cell>
          <cell r="AF188">
            <v>17567.333333333332</v>
          </cell>
          <cell r="AG188">
            <v>22472</v>
          </cell>
          <cell r="AH188">
            <v>1998.3333333333333</v>
          </cell>
          <cell r="AI188">
            <v>20473.666666666668</v>
          </cell>
          <cell r="AJ188">
            <v>14971.333333333334</v>
          </cell>
          <cell r="AK188">
            <v>35.999769327046785</v>
          </cell>
          <cell r="AL188">
            <v>9.0427940662000648</v>
          </cell>
          <cell r="AM188">
            <v>0.20012648070106454</v>
          </cell>
          <cell r="AO188">
            <v>191212.81873163427</v>
          </cell>
          <cell r="AQ188">
            <v>295214.99977298669</v>
          </cell>
          <cell r="AR188">
            <v>26796.797167332952</v>
          </cell>
          <cell r="AS188">
            <v>265007.6024452027</v>
          </cell>
          <cell r="AT188">
            <v>189848.48051211951</v>
          </cell>
          <cell r="AV188">
            <v>17371.461538461539</v>
          </cell>
        </row>
        <row r="189">
          <cell r="B189">
            <v>34363</v>
          </cell>
          <cell r="C189">
            <v>101963</v>
          </cell>
          <cell r="E189">
            <v>13615</v>
          </cell>
          <cell r="G189">
            <v>18046</v>
          </cell>
          <cell r="I189">
            <v>22023</v>
          </cell>
          <cell r="K189">
            <v>1899</v>
          </cell>
          <cell r="M189">
            <v>20124</v>
          </cell>
          <cell r="O189">
            <v>12569</v>
          </cell>
          <cell r="Q189">
            <v>43.07263903254038</v>
          </cell>
          <cell r="T189">
            <v>44.839978976376841</v>
          </cell>
          <cell r="U189">
            <v>14.382928673443661</v>
          </cell>
          <cell r="V189">
            <v>21.146616541353392</v>
          </cell>
          <cell r="W189">
            <v>25.745118191161364</v>
          </cell>
          <cell r="X189">
            <v>4.2261251372118558</v>
          </cell>
          <cell r="Y189">
            <v>28.24369105276574</v>
          </cell>
          <cell r="Z189">
            <v>23.285924472780771</v>
          </cell>
          <cell r="AA189">
            <v>-1.7352410184503286</v>
          </cell>
          <cell r="AB189">
            <v>8.6228034327748269</v>
          </cell>
          <cell r="AC189">
            <v>1.8624402969704696</v>
          </cell>
          <cell r="AD189">
            <v>104071</v>
          </cell>
          <cell r="AE189">
            <v>14776.666666666666</v>
          </cell>
          <cell r="AF189">
            <v>18867.333333333332</v>
          </cell>
          <cell r="AG189">
            <v>25451.666666666668</v>
          </cell>
          <cell r="AH189">
            <v>1782</v>
          </cell>
          <cell r="AI189">
            <v>23669.666666666668</v>
          </cell>
          <cell r="AJ189">
            <v>14648</v>
          </cell>
          <cell r="AK189">
            <v>39.608158104546781</v>
          </cell>
          <cell r="AL189">
            <v>7.1402094817109045</v>
          </cell>
          <cell r="AM189">
            <v>0.19139540487590234</v>
          </cell>
          <cell r="AO189">
            <v>169675.61056058132</v>
          </cell>
          <cell r="AQ189">
            <v>242660.6919234363</v>
          </cell>
          <cell r="AR189">
            <v>22744.842670039576</v>
          </cell>
          <cell r="AS189">
            <v>218515.89787847578</v>
          </cell>
          <cell r="AT189">
            <v>178225.26661618473</v>
          </cell>
          <cell r="AV189">
            <v>17495</v>
          </cell>
        </row>
        <row r="190">
          <cell r="B190">
            <v>34393</v>
          </cell>
          <cell r="C190">
            <v>114659</v>
          </cell>
          <cell r="E190">
            <v>17066</v>
          </cell>
          <cell r="G190">
            <v>22786</v>
          </cell>
          <cell r="I190">
            <v>28322</v>
          </cell>
          <cell r="K190">
            <v>1449</v>
          </cell>
          <cell r="M190">
            <v>26873</v>
          </cell>
          <cell r="O190">
            <v>14163</v>
          </cell>
          <cell r="Q190">
            <v>48.265198051260327</v>
          </cell>
          <cell r="T190">
            <v>55.699949756249922</v>
          </cell>
          <cell r="U190">
            <v>30.076219512195124</v>
          </cell>
          <cell r="V190">
            <v>37.157647625353633</v>
          </cell>
          <cell r="W190">
            <v>67.318485260235121</v>
          </cell>
          <cell r="X190">
            <v>10.864575363427686</v>
          </cell>
          <cell r="Y190">
            <v>72.042253521126767</v>
          </cell>
          <cell r="Z190">
            <v>27.250673854447438</v>
          </cell>
          <cell r="AA190">
            <v>7.7853998496212773</v>
          </cell>
          <cell r="AB190">
            <v>5.1161641127039053</v>
          </cell>
          <cell r="AC190">
            <v>1.2637472854289675</v>
          </cell>
          <cell r="AD190">
            <v>113495</v>
          </cell>
          <cell r="AE190">
            <v>16639</v>
          </cell>
          <cell r="AF190">
            <v>21013</v>
          </cell>
          <cell r="AG190">
            <v>28037</v>
          </cell>
          <cell r="AH190">
            <v>1966.3333333333333</v>
          </cell>
          <cell r="AI190">
            <v>26070.666666666668</v>
          </cell>
          <cell r="AJ190">
            <v>14797</v>
          </cell>
          <cell r="AK190">
            <v>43.021402968511552</v>
          </cell>
          <cell r="AL190">
            <v>7.097968154757595</v>
          </cell>
          <cell r="AM190">
            <v>0.21704979572684002</v>
          </cell>
          <cell r="AO190">
            <v>212284.6207714208</v>
          </cell>
          <cell r="AQ190">
            <v>331711.59364448738</v>
          </cell>
          <cell r="AR190">
            <v>18854.405984042551</v>
          </cell>
          <cell r="AS190">
            <v>309047.16982071893</v>
          </cell>
          <cell r="AT190">
            <v>198261.42411633613</v>
          </cell>
          <cell r="AV190">
            <v>18355.076923076922</v>
          </cell>
        </row>
        <row r="191">
          <cell r="B191">
            <v>34422</v>
          </cell>
          <cell r="C191">
            <v>123863</v>
          </cell>
          <cell r="E191">
            <v>19236</v>
          </cell>
          <cell r="G191">
            <v>22207</v>
          </cell>
          <cell r="I191">
            <v>33766</v>
          </cell>
          <cell r="K191">
            <v>2551</v>
          </cell>
          <cell r="M191">
            <v>31215</v>
          </cell>
          <cell r="O191">
            <v>17659</v>
          </cell>
          <cell r="Q191">
            <v>37.726371821733956</v>
          </cell>
          <cell r="T191">
            <v>62.77416387410473</v>
          </cell>
          <cell r="U191">
            <v>20.300187617260779</v>
          </cell>
          <cell r="V191">
            <v>22.792369366878628</v>
          </cell>
          <cell r="W191">
            <v>64.647942266432608</v>
          </cell>
          <cell r="X191">
            <v>1.4717581543357117</v>
          </cell>
          <cell r="Y191">
            <v>73.474491497165715</v>
          </cell>
          <cell r="Z191">
            <v>22.55534735234923</v>
          </cell>
          <cell r="AA191">
            <v>0.19339997776510742</v>
          </cell>
          <cell r="AB191">
            <v>7.5549369187940529</v>
          </cell>
          <cell r="AC191">
            <v>2.0595335168694442</v>
          </cell>
          <cell r="AD191">
            <v>122876.66666666667</v>
          </cell>
          <cell r="AE191">
            <v>17930</v>
          </cell>
          <cell r="AF191">
            <v>22025.666666666668</v>
          </cell>
          <cell r="AG191">
            <v>30038.333333333332</v>
          </cell>
          <cell r="AH191">
            <v>2481.3333333333335</v>
          </cell>
          <cell r="AI191">
            <v>27557</v>
          </cell>
          <cell r="AJ191">
            <v>16751.333333333332</v>
          </cell>
          <cell r="AK191">
            <v>40.102658707664766</v>
          </cell>
          <cell r="AL191">
            <v>8.3197505811038557</v>
          </cell>
          <cell r="AM191">
            <v>0.25736854340503612</v>
          </cell>
          <cell r="AO191">
            <v>211786.40496152849</v>
          </cell>
          <cell r="AQ191">
            <v>365043.43152535241</v>
          </cell>
          <cell r="AR191">
            <v>28037.313302632068</v>
          </cell>
          <cell r="AS191">
            <v>336483.36654364027</v>
          </cell>
          <cell r="AT191">
            <v>203813.7240736362</v>
          </cell>
          <cell r="AV191">
            <v>19554.692307692309</v>
          </cell>
        </row>
        <row r="192">
          <cell r="B192">
            <v>34453</v>
          </cell>
          <cell r="C192">
            <v>130108</v>
          </cell>
          <cell r="E192">
            <v>17488</v>
          </cell>
          <cell r="G192">
            <v>21084</v>
          </cell>
          <cell r="I192">
            <v>28027</v>
          </cell>
          <cell r="K192">
            <v>3444</v>
          </cell>
          <cell r="M192">
            <v>24583</v>
          </cell>
          <cell r="O192">
            <v>18432</v>
          </cell>
          <cell r="Q192">
            <v>34.31640625</v>
          </cell>
          <cell r="T192">
            <v>73.177159590043914</v>
          </cell>
          <cell r="U192">
            <v>12.2825040128411</v>
          </cell>
          <cell r="V192">
            <v>16.133296612503443</v>
          </cell>
          <cell r="W192">
            <v>63.222875778929598</v>
          </cell>
          <cell r="X192">
            <v>69.822485207100598</v>
          </cell>
          <cell r="Y192">
            <v>62.339034537410029</v>
          </cell>
          <cell r="Z192">
            <v>20.470588235294109</v>
          </cell>
          <cell r="AA192">
            <v>-3.6002908978242987</v>
          </cell>
          <cell r="AB192">
            <v>12.288150711813609</v>
          </cell>
          <cell r="AC192">
            <v>2.6470316967442433</v>
          </cell>
          <cell r="AD192">
            <v>131089</v>
          </cell>
          <cell r="AE192">
            <v>18335</v>
          </cell>
          <cell r="AF192">
            <v>21602</v>
          </cell>
          <cell r="AG192">
            <v>29953</v>
          </cell>
          <cell r="AH192">
            <v>2984</v>
          </cell>
          <cell r="AI192">
            <v>26969</v>
          </cell>
          <cell r="AJ192">
            <v>17665</v>
          </cell>
          <cell r="AK192">
            <v>36.742016101210574</v>
          </cell>
          <cell r="AL192">
            <v>10.126322447571612</v>
          </cell>
          <cell r="AM192">
            <v>0.28047133914324296</v>
          </cell>
          <cell r="AO192">
            <v>202677.98230291443</v>
          </cell>
          <cell r="AQ192">
            <v>350882.37950974569</v>
          </cell>
          <cell r="AR192">
            <v>39335.057349622599</v>
          </cell>
          <cell r="AS192">
            <v>313395.55026721582</v>
          </cell>
          <cell r="AT192">
            <v>205646.19365669403</v>
          </cell>
          <cell r="AV192">
            <v>20061.538461538461</v>
          </cell>
        </row>
        <row r="193">
          <cell r="B193">
            <v>34483</v>
          </cell>
          <cell r="C193">
            <v>139296</v>
          </cell>
          <cell r="E193">
            <v>18281</v>
          </cell>
          <cell r="G193">
            <v>21515</v>
          </cell>
          <cell r="I193">
            <v>28066</v>
          </cell>
          <cell r="K193">
            <v>2957</v>
          </cell>
          <cell r="M193">
            <v>25109</v>
          </cell>
          <cell r="O193">
            <v>16904</v>
          </cell>
          <cell r="Q193">
            <v>38.183270231897779</v>
          </cell>
          <cell r="T193">
            <v>84.990504521972412</v>
          </cell>
          <cell r="U193">
            <v>27.500348723671351</v>
          </cell>
          <cell r="V193">
            <v>19.667389732465644</v>
          </cell>
          <cell r="W193">
            <v>53.53391684901532</v>
          </cell>
          <cell r="X193">
            <v>-15.46598056032018</v>
          </cell>
          <cell r="Y193">
            <v>69.861994317413064</v>
          </cell>
          <cell r="Z193">
            <v>18.807984256395848</v>
          </cell>
          <cell r="AA193">
            <v>0.72335666786094155</v>
          </cell>
          <cell r="AB193">
            <v>10.535879712107175</v>
          </cell>
          <cell r="AC193">
            <v>2.1228175970594991</v>
          </cell>
          <cell r="AD193">
            <v>138941.66666666666</v>
          </cell>
          <cell r="AE193">
            <v>18720.666666666668</v>
          </cell>
          <cell r="AF193">
            <v>21153.333333333332</v>
          </cell>
          <cell r="AG193">
            <v>28337.666666666668</v>
          </cell>
          <cell r="AH193">
            <v>2718.6666666666665</v>
          </cell>
          <cell r="AI193">
            <v>25619</v>
          </cell>
          <cell r="AJ193">
            <v>18077.333333333332</v>
          </cell>
          <cell r="AK193">
            <v>35.206461452193416</v>
          </cell>
          <cell r="AL193">
            <v>9.6308317180704126</v>
          </cell>
          <cell r="AM193">
            <v>0.31197154776844771</v>
          </cell>
          <cell r="AO193">
            <v>204258.70876508995</v>
          </cell>
          <cell r="AQ193">
            <v>345752.35530003125</v>
          </cell>
          <cell r="AR193">
            <v>35746.419593954612</v>
          </cell>
          <cell r="AS193">
            <v>310460.12984571123</v>
          </cell>
          <cell r="AT193">
            <v>195958.15281828056</v>
          </cell>
          <cell r="AV193">
            <v>20828.153846153848</v>
          </cell>
        </row>
        <row r="194">
          <cell r="B194">
            <v>34514</v>
          </cell>
          <cell r="C194">
            <v>147421</v>
          </cell>
          <cell r="E194">
            <v>20393</v>
          </cell>
          <cell r="G194">
            <v>20861</v>
          </cell>
          <cell r="I194">
            <v>28920</v>
          </cell>
          <cell r="K194">
            <v>1755</v>
          </cell>
          <cell r="M194">
            <v>27165</v>
          </cell>
          <cell r="O194">
            <v>18896</v>
          </cell>
          <cell r="Q194">
            <v>33.119707874682476</v>
          </cell>
          <cell r="T194">
            <v>100.43643779741673</v>
          </cell>
          <cell r="U194">
            <v>21.3002617178206</v>
          </cell>
          <cell r="V194">
            <v>16.626600324257844</v>
          </cell>
          <cell r="W194">
            <v>70.639603493037527</v>
          </cell>
          <cell r="X194">
            <v>-17.721518987341767</v>
          </cell>
          <cell r="Y194">
            <v>83.361457981775231</v>
          </cell>
          <cell r="Z194">
            <v>20.012702445220711</v>
          </cell>
          <cell r="AA194">
            <v>-2.8214531061896864</v>
          </cell>
          <cell r="AB194">
            <v>6.0684647302904562</v>
          </cell>
          <cell r="AC194">
            <v>1.1904681151260674</v>
          </cell>
          <cell r="AD194">
            <v>150281.33333333334</v>
          </cell>
          <cell r="AE194">
            <v>17795</v>
          </cell>
          <cell r="AF194">
            <v>21689.666666666668</v>
          </cell>
          <cell r="AG194">
            <v>29569.666666666668</v>
          </cell>
          <cell r="AH194">
            <v>3077.3333333333335</v>
          </cell>
          <cell r="AI194">
            <v>26492.333333333332</v>
          </cell>
          <cell r="AJ194">
            <v>17439</v>
          </cell>
          <cell r="AK194">
            <v>37.506837185654902</v>
          </cell>
          <cell r="AL194">
            <v>10.284227203671154</v>
          </cell>
          <cell r="AM194">
            <v>0.33286731062531771</v>
          </cell>
          <cell r="AO194">
            <v>224041.62857391307</v>
          </cell>
          <cell r="AQ194">
            <v>388157.28343271936</v>
          </cell>
          <cell r="AR194">
            <v>23797.584359193475</v>
          </cell>
          <cell r="AS194">
            <v>363957.37994790013</v>
          </cell>
          <cell r="AT194">
            <v>211196.59251028558</v>
          </cell>
          <cell r="AV194">
            <v>21780.692307692309</v>
          </cell>
        </row>
        <row r="195">
          <cell r="B195">
            <v>34544</v>
          </cell>
          <cell r="C195">
            <v>164127</v>
          </cell>
          <cell r="E195">
            <v>14711</v>
          </cell>
          <cell r="G195">
            <v>22693</v>
          </cell>
          <cell r="I195">
            <v>31723</v>
          </cell>
          <cell r="K195">
            <v>4520</v>
          </cell>
          <cell r="M195">
            <v>27203</v>
          </cell>
          <cell r="O195">
            <v>16517</v>
          </cell>
          <cell r="Q195">
            <v>41.217533450384451</v>
          </cell>
          <cell r="T195">
            <v>103.48256239229347</v>
          </cell>
          <cell r="U195">
            <v>25.402778961725335</v>
          </cell>
          <cell r="V195">
            <v>36.69658454309981</v>
          </cell>
          <cell r="W195">
            <v>56.024985244934086</v>
          </cell>
          <cell r="X195">
            <v>168.56803327391563</v>
          </cell>
          <cell r="Y195">
            <v>45.868411174861933</v>
          </cell>
          <cell r="Z195">
            <v>16.112478031634446</v>
          </cell>
          <cell r="AA195">
            <v>17.727729922237366</v>
          </cell>
          <cell r="AB195">
            <v>14.24833716861583</v>
          </cell>
          <cell r="AC195">
            <v>2.7539649174115164</v>
          </cell>
          <cell r="AD195">
            <v>161878.66666666666</v>
          </cell>
          <cell r="AE195">
            <v>18417.666666666668</v>
          </cell>
          <cell r="AF195">
            <v>21306.666666666668</v>
          </cell>
          <cell r="AG195">
            <v>32351.333333333332</v>
          </cell>
          <cell r="AH195">
            <v>2966</v>
          </cell>
          <cell r="AI195">
            <v>29385.333333333332</v>
          </cell>
          <cell r="AJ195">
            <v>17981.333333333332</v>
          </cell>
          <cell r="AK195">
            <v>35.769313024927875</v>
          </cell>
          <cell r="AL195">
            <v>9.1735562873955363</v>
          </cell>
          <cell r="AM195">
            <v>0.40507761428197853</v>
          </cell>
          <cell r="AO195">
            <v>210413.95433253609</v>
          </cell>
          <cell r="AQ195">
            <v>413221.29958453757</v>
          </cell>
          <cell r="AR195">
            <v>66282.871415725851</v>
          </cell>
          <cell r="AS195">
            <v>347076.30395621061</v>
          </cell>
          <cell r="AT195">
            <v>199463.11886384565</v>
          </cell>
          <cell r="AV195">
            <v>22733.615384615383</v>
          </cell>
        </row>
        <row r="196">
          <cell r="B196">
            <v>34575</v>
          </cell>
          <cell r="C196">
            <v>174088</v>
          </cell>
          <cell r="E196">
            <v>20149</v>
          </cell>
          <cell r="G196">
            <v>20366</v>
          </cell>
          <cell r="I196">
            <v>36411</v>
          </cell>
          <cell r="K196">
            <v>2623</v>
          </cell>
          <cell r="M196">
            <v>33788</v>
          </cell>
          <cell r="O196">
            <v>18531</v>
          </cell>
          <cell r="Q196">
            <v>32.970697749716692</v>
          </cell>
          <cell r="T196">
            <v>116.99698352155164</v>
          </cell>
          <cell r="U196">
            <v>24.676690798836699</v>
          </cell>
          <cell r="V196">
            <v>16.683854703792832</v>
          </cell>
          <cell r="W196">
            <v>101.67829843801925</v>
          </cell>
          <cell r="X196">
            <v>35.555555555555564</v>
          </cell>
          <cell r="Y196">
            <v>105.7985138262882</v>
          </cell>
          <cell r="Z196">
            <v>24.202412868632717</v>
          </cell>
          <cell r="AA196">
            <v>-6.053471902186125</v>
          </cell>
          <cell r="AB196">
            <v>7.2038669632803272</v>
          </cell>
          <cell r="AC196">
            <v>1.5067092504940029</v>
          </cell>
          <cell r="AD196">
            <v>175522.66666666666</v>
          </cell>
          <cell r="AE196">
            <v>18231</v>
          </cell>
          <cell r="AF196">
            <v>21572.333333333332</v>
          </cell>
          <cell r="AG196">
            <v>34977</v>
          </cell>
          <cell r="AH196">
            <v>3373.3333333333335</v>
          </cell>
          <cell r="AI196">
            <v>31603.666666666668</v>
          </cell>
          <cell r="AJ196">
            <v>17700.333333333332</v>
          </cell>
          <cell r="AK196">
            <v>36.726308422523054</v>
          </cell>
          <cell r="AL196">
            <v>9.8475125276642377</v>
          </cell>
          <cell r="AM196">
            <v>0.42021366564115681</v>
          </cell>
          <cell r="AO196">
            <v>238498.77668731773</v>
          </cell>
          <cell r="AQ196">
            <v>480715.9127743626</v>
          </cell>
          <cell r="AR196">
            <v>28618.631220962645</v>
          </cell>
          <cell r="AS196">
            <v>463639.09108025214</v>
          </cell>
          <cell r="AT196">
            <v>227757.80853250774</v>
          </cell>
          <cell r="AV196">
            <v>23898.153846153848</v>
          </cell>
        </row>
        <row r="197">
          <cell r="B197">
            <v>34606</v>
          </cell>
          <cell r="C197">
            <v>188353</v>
          </cell>
          <cell r="E197">
            <v>19833</v>
          </cell>
          <cell r="G197">
            <v>21658</v>
          </cell>
          <cell r="I197">
            <v>36797</v>
          </cell>
          <cell r="K197">
            <v>2977</v>
          </cell>
          <cell r="M197">
            <v>33820</v>
          </cell>
          <cell r="O197">
            <v>18053</v>
          </cell>
          <cell r="Q197">
            <v>35.990694067468013</v>
          </cell>
          <cell r="T197">
            <v>131.6565609357128</v>
          </cell>
          <cell r="U197">
            <v>20.675387891694562</v>
          </cell>
          <cell r="V197">
            <v>21.578533737509819</v>
          </cell>
          <cell r="W197">
            <v>79.901241810892728</v>
          </cell>
          <cell r="X197">
            <v>-4.1841004184100417</v>
          </cell>
          <cell r="Y197">
            <v>94.961664841182909</v>
          </cell>
          <cell r="Z197">
            <v>14.658621784693548</v>
          </cell>
          <cell r="AA197">
            <v>6.0352303604438218</v>
          </cell>
          <cell r="AB197">
            <v>8.0903334510965568</v>
          </cell>
          <cell r="AC197">
            <v>1.5805429167573652</v>
          </cell>
          <cell r="AD197">
            <v>187983.33333333334</v>
          </cell>
          <cell r="AE197">
            <v>19985.333333333332</v>
          </cell>
          <cell r="AF197">
            <v>21808</v>
          </cell>
          <cell r="AG197">
            <v>36264</v>
          </cell>
          <cell r="AH197">
            <v>2874.3333333333335</v>
          </cell>
          <cell r="AI197">
            <v>33389.666666666664</v>
          </cell>
          <cell r="AJ197">
            <v>18700</v>
          </cell>
          <cell r="AK197">
            <v>34.977292524154144</v>
          </cell>
          <cell r="AL197">
            <v>7.9298638671424149</v>
          </cell>
          <cell r="AM197">
            <v>0.47500505788468028</v>
          </cell>
          <cell r="AO197">
            <v>235572.23082075868</v>
          </cell>
          <cell r="AQ197">
            <v>451713.52576097846</v>
          </cell>
          <cell r="AR197">
            <v>29522.696091348265</v>
          </cell>
          <cell r="AS197">
            <v>434399.12637050269</v>
          </cell>
          <cell r="AT197">
            <v>216365.01751412885</v>
          </cell>
          <cell r="AV197">
            <v>25236.76923076923</v>
          </cell>
        </row>
        <row r="198">
          <cell r="B198">
            <v>34636</v>
          </cell>
          <cell r="C198">
            <v>201509</v>
          </cell>
          <cell r="E198">
            <v>19974</v>
          </cell>
          <cell r="G198">
            <v>23400</v>
          </cell>
          <cell r="I198">
            <v>35584</v>
          </cell>
          <cell r="K198">
            <v>3023</v>
          </cell>
          <cell r="M198">
            <v>32561</v>
          </cell>
          <cell r="O198">
            <v>19516</v>
          </cell>
          <cell r="Q198">
            <v>35.970485755277721</v>
          </cell>
          <cell r="T198">
            <v>136.6990473729341</v>
          </cell>
          <cell r="U198">
            <v>24.417590631618282</v>
          </cell>
          <cell r="V198">
            <v>25.247551249799294</v>
          </cell>
          <cell r="W198">
            <v>64.740740740740748</v>
          </cell>
          <cell r="X198">
            <v>47.75171065493646</v>
          </cell>
          <cell r="Y198">
            <v>66.518359414953451</v>
          </cell>
          <cell r="Z198">
            <v>23.73827035252345</v>
          </cell>
          <cell r="AA198">
            <v>1.219736539856231</v>
          </cell>
          <cell r="AB198">
            <v>8.4953911870503589</v>
          </cell>
          <cell r="AC198">
            <v>1.5001811333488828</v>
          </cell>
          <cell r="AD198">
            <v>197564.33333333334</v>
          </cell>
          <cell r="AE198">
            <v>19617.666666666668</v>
          </cell>
          <cell r="AF198">
            <v>23001</v>
          </cell>
          <cell r="AG198">
            <v>33734.333333333336</v>
          </cell>
          <cell r="AH198">
            <v>4797.333333333333</v>
          </cell>
          <cell r="AI198">
            <v>28937</v>
          </cell>
          <cell r="AJ198">
            <v>18431.666666666668</v>
          </cell>
          <cell r="AK198">
            <v>37.495465672608802</v>
          </cell>
          <cell r="AL198">
            <v>15.234123881302134</v>
          </cell>
          <cell r="AM198">
            <v>0.51923315218353361</v>
          </cell>
          <cell r="AO198">
            <v>220874.12795086773</v>
          </cell>
          <cell r="AQ198">
            <v>384706.6598778122</v>
          </cell>
          <cell r="AR198">
            <v>35806.269211370469</v>
          </cell>
          <cell r="AS198">
            <v>346455.21317899862</v>
          </cell>
          <cell r="AT198">
            <v>214382.4434851906</v>
          </cell>
          <cell r="AV198">
            <v>26407.076923076922</v>
          </cell>
        </row>
        <row r="199">
          <cell r="B199">
            <v>34667</v>
          </cell>
          <cell r="C199">
            <v>202831</v>
          </cell>
          <cell r="E199">
            <v>19046</v>
          </cell>
          <cell r="G199">
            <v>23945</v>
          </cell>
          <cell r="I199">
            <v>28822</v>
          </cell>
          <cell r="K199">
            <v>8392</v>
          </cell>
          <cell r="M199">
            <v>20430</v>
          </cell>
          <cell r="O199">
            <v>17726</v>
          </cell>
          <cell r="Q199">
            <v>40.525217195080671</v>
          </cell>
          <cell r="T199">
            <v>133.52829428357609</v>
          </cell>
          <cell r="U199">
            <v>22.758620689655174</v>
          </cell>
          <cell r="V199">
            <v>26.787038017579157</v>
          </cell>
          <cell r="W199">
            <v>48.697312077593757</v>
          </cell>
          <cell r="X199">
            <v>300</v>
          </cell>
          <cell r="Y199">
            <v>18.194966734162566</v>
          </cell>
          <cell r="Z199">
            <v>17.134738650631064</v>
          </cell>
          <cell r="AA199">
            <v>8.2403388423798685</v>
          </cell>
          <cell r="AB199">
            <v>29.116647005759489</v>
          </cell>
          <cell r="AC199">
            <v>4.1374346130522452</v>
          </cell>
          <cell r="AD199">
            <v>203883.33333333334</v>
          </cell>
          <cell r="AE199">
            <v>18312.333333333332</v>
          </cell>
          <cell r="AF199">
            <v>23744.333333333332</v>
          </cell>
          <cell r="AG199">
            <v>31730.333333333332</v>
          </cell>
          <cell r="AH199">
            <v>6331.666666666667</v>
          </cell>
          <cell r="AI199">
            <v>25398.666666666668</v>
          </cell>
          <cell r="AJ199">
            <v>18827</v>
          </cell>
          <cell r="AK199">
            <v>37.915013411333668</v>
          </cell>
          <cell r="AL199">
            <v>20.744806407510705</v>
          </cell>
          <cell r="AM199">
            <v>0.50320585614703273</v>
          </cell>
          <cell r="AO199">
            <v>234177.84761927929</v>
          </cell>
          <cell r="AQ199">
            <v>354809.270878679</v>
          </cell>
          <cell r="AR199">
            <v>98758.443424402169</v>
          </cell>
          <cell r="AS199">
            <v>253700.51897014715</v>
          </cell>
          <cell r="AT199">
            <v>231015.26524234106</v>
          </cell>
          <cell r="AV199">
            <v>26474.461538461539</v>
          </cell>
        </row>
        <row r="200">
          <cell r="B200">
            <v>34697</v>
          </cell>
          <cell r="C200">
            <v>207310</v>
          </cell>
          <cell r="E200">
            <v>15917</v>
          </cell>
          <cell r="G200">
            <v>23888</v>
          </cell>
          <cell r="I200">
            <v>30785</v>
          </cell>
          <cell r="K200">
            <v>7580</v>
          </cell>
          <cell r="M200">
            <v>23205</v>
          </cell>
          <cell r="O200">
            <v>19239</v>
          </cell>
          <cell r="Q200">
            <v>37.249337283642603</v>
          </cell>
          <cell r="T200">
            <v>116.87188124405017</v>
          </cell>
          <cell r="U200">
            <v>16.616601948860719</v>
          </cell>
          <cell r="V200">
            <v>51.47748890298034</v>
          </cell>
          <cell r="W200">
            <v>18.358323721645519</v>
          </cell>
          <cell r="X200">
            <v>279.37937937937937</v>
          </cell>
          <cell r="Y200">
            <v>-3.3608195902048998</v>
          </cell>
          <cell r="Z200">
            <v>11.776667441319999</v>
          </cell>
          <cell r="AA200">
            <v>35.517986329751963</v>
          </cell>
          <cell r="AB200">
            <v>24.622381029722266</v>
          </cell>
          <cell r="AC200">
            <v>3.6563600405190293</v>
          </cell>
          <cell r="AD200">
            <v>207213</v>
          </cell>
          <cell r="AE200">
            <v>18166.666666666668</v>
          </cell>
          <cell r="AF200">
            <v>23819.666666666668</v>
          </cell>
          <cell r="AG200">
            <v>29866</v>
          </cell>
          <cell r="AH200">
            <v>6618</v>
          </cell>
          <cell r="AI200">
            <v>23248</v>
          </cell>
          <cell r="AJ200">
            <v>17982</v>
          </cell>
          <cell r="AK200">
            <v>39.838048595551889</v>
          </cell>
          <cell r="AL200">
            <v>22.227637066810413</v>
          </cell>
          <cell r="AM200">
            <v>0.5263823367835434</v>
          </cell>
          <cell r="AO200">
            <v>222985.89169546653</v>
          </cell>
          <cell r="AQ200">
            <v>349411.52510616666</v>
          </cell>
          <cell r="AR200">
            <v>101661.52278697887</v>
          </cell>
          <cell r="AS200">
            <v>256101.17502669204</v>
          </cell>
          <cell r="AT200">
            <v>212206.30470443104</v>
          </cell>
          <cell r="AV200">
            <v>26929.846153846152</v>
          </cell>
        </row>
        <row r="201">
          <cell r="B201">
            <v>34728</v>
          </cell>
          <cell r="C201">
            <v>211498</v>
          </cell>
          <cell r="E201">
            <v>19537</v>
          </cell>
          <cell r="G201">
            <v>23626</v>
          </cell>
          <cell r="I201">
            <v>29991</v>
          </cell>
          <cell r="K201">
            <v>3882</v>
          </cell>
          <cell r="M201">
            <v>26109</v>
          </cell>
          <cell r="O201">
            <v>16981</v>
          </cell>
          <cell r="Q201">
            <v>41.7395913079324</v>
          </cell>
          <cell r="T201">
            <v>107.42622323784117</v>
          </cell>
          <cell r="U201">
            <v>43.496143958868892</v>
          </cell>
          <cell r="V201">
            <v>30.920979718497165</v>
          </cell>
          <cell r="W201">
            <v>36.180356899604945</v>
          </cell>
          <cell r="X201">
            <v>104.42338072669828</v>
          </cell>
          <cell r="Y201">
            <v>29.740608228980324</v>
          </cell>
          <cell r="Z201">
            <v>35.102235659161416</v>
          </cell>
          <cell r="AA201">
            <v>-3.0948828642723636</v>
          </cell>
          <cell r="AB201">
            <v>12.943883164949485</v>
          </cell>
          <cell r="AC201">
            <v>1.8354783496770655</v>
          </cell>
          <cell r="AD201">
            <v>210355.66666666666</v>
          </cell>
          <cell r="AE201">
            <v>18340.666666666668</v>
          </cell>
          <cell r="AF201">
            <v>24433.666666666668</v>
          </cell>
          <cell r="AG201">
            <v>29050.333333333332</v>
          </cell>
          <cell r="AH201">
            <v>5210.333333333333</v>
          </cell>
          <cell r="AI201">
            <v>23840</v>
          </cell>
          <cell r="AJ201">
            <v>17742</v>
          </cell>
          <cell r="AK201">
            <v>41.493114579723319</v>
          </cell>
          <cell r="AL201">
            <v>17.790966421920601</v>
          </cell>
          <cell r="AM201">
            <v>0.49709240539690391</v>
          </cell>
          <cell r="AO201">
            <v>243477.95839310152</v>
          </cell>
          <cell r="AQ201">
            <v>330456.19631638646</v>
          </cell>
          <cell r="AR201">
            <v>46495.776327063526</v>
          </cell>
          <cell r="AS201">
            <v>283503.85498455196</v>
          </cell>
          <cell r="AT201">
            <v>240786.31970796664</v>
          </cell>
          <cell r="AV201">
            <v>27091.153846153848</v>
          </cell>
          <cell r="AW201" t="str">
            <v>1/95</v>
          </cell>
        </row>
        <row r="202">
          <cell r="B202">
            <v>34758</v>
          </cell>
          <cell r="C202">
            <v>212259</v>
          </cell>
          <cell r="E202">
            <v>19568</v>
          </cell>
          <cell r="G202">
            <v>25787</v>
          </cell>
          <cell r="I202">
            <v>26375</v>
          </cell>
          <cell r="K202">
            <v>4169</v>
          </cell>
          <cell r="M202">
            <v>22206</v>
          </cell>
          <cell r="O202">
            <v>17006</v>
          </cell>
          <cell r="Q202">
            <v>45.490415147594966</v>
          </cell>
          <cell r="T202">
            <v>85.12197036429761</v>
          </cell>
          <cell r="U202">
            <v>14.660728934724009</v>
          </cell>
          <cell r="V202">
            <v>13.170367769683144</v>
          </cell>
          <cell r="W202">
            <v>-6.8745145116870248</v>
          </cell>
          <cell r="X202">
            <v>187.71566597653555</v>
          </cell>
          <cell r="Y202">
            <v>-17.366873813865212</v>
          </cell>
          <cell r="Z202">
            <v>20.073430770317024</v>
          </cell>
          <cell r="AA202">
            <v>-5.749034533575081</v>
          </cell>
          <cell r="AB202">
            <v>15.806635071090048</v>
          </cell>
          <cell r="AC202">
            <v>1.964109884622089</v>
          </cell>
          <cell r="AD202">
            <v>216091</v>
          </cell>
          <cell r="AE202">
            <v>20457.666666666668</v>
          </cell>
          <cell r="AF202">
            <v>25559</v>
          </cell>
          <cell r="AG202">
            <v>32192.333333333332</v>
          </cell>
          <cell r="AH202">
            <v>4136.666666666667</v>
          </cell>
          <cell r="AI202">
            <v>28055.666666666668</v>
          </cell>
          <cell r="AJ202">
            <v>18206.333333333332</v>
          </cell>
          <cell r="AK202">
            <v>42.291093013933704</v>
          </cell>
          <cell r="AL202">
            <v>13.196945187381443</v>
          </cell>
          <cell r="AM202">
            <v>0.46877474616395598</v>
          </cell>
          <cell r="AO202">
            <v>243407.09359282564</v>
          </cell>
          <cell r="AQ202">
            <v>308908.0320024488</v>
          </cell>
          <cell r="AR202">
            <v>54247.079742907794</v>
          </cell>
          <cell r="AS202">
            <v>255375.3378126329</v>
          </cell>
          <cell r="AT202">
            <v>238059.2938305735</v>
          </cell>
          <cell r="AV202">
            <v>27251.307692307691</v>
          </cell>
        </row>
        <row r="203">
          <cell r="B203">
            <v>34787</v>
          </cell>
          <cell r="C203">
            <v>224516</v>
          </cell>
          <cell r="E203">
            <v>22268</v>
          </cell>
          <cell r="G203">
            <v>27264</v>
          </cell>
          <cell r="I203">
            <v>40211</v>
          </cell>
          <cell r="K203">
            <v>4359</v>
          </cell>
          <cell r="M203">
            <v>35852</v>
          </cell>
          <cell r="O203">
            <v>20632</v>
          </cell>
          <cell r="Q203">
            <v>39.643272586273753</v>
          </cell>
          <cell r="T203">
            <v>81.26155510523725</v>
          </cell>
          <cell r="U203">
            <v>15.762112705344155</v>
          </cell>
          <cell r="V203">
            <v>22.772098887738103</v>
          </cell>
          <cell r="W203">
            <v>19.08724752709827</v>
          </cell>
          <cell r="X203">
            <v>70.874166993335947</v>
          </cell>
          <cell r="Y203">
            <v>14.855037642159207</v>
          </cell>
          <cell r="Z203">
            <v>16.835607905317396</v>
          </cell>
          <cell r="AA203">
            <v>5.0810631183873411</v>
          </cell>
          <cell r="AB203">
            <v>10.840317326104797</v>
          </cell>
          <cell r="AC203">
            <v>1.9415097364998486</v>
          </cell>
          <cell r="AD203">
            <v>220134.66666666666</v>
          </cell>
          <cell r="AE203">
            <v>20233.333333333332</v>
          </cell>
          <cell r="AF203">
            <v>26716.333333333332</v>
          </cell>
          <cell r="AG203">
            <v>28871</v>
          </cell>
          <cell r="AH203">
            <v>3664</v>
          </cell>
          <cell r="AI203">
            <v>25207</v>
          </cell>
          <cell r="AJ203">
            <v>18907</v>
          </cell>
          <cell r="AK203">
            <v>42.57796927501645</v>
          </cell>
          <cell r="AL203">
            <v>12.983447606707964</v>
          </cell>
          <cell r="AM203">
            <v>0.47420667935600913</v>
          </cell>
          <cell r="AO203">
            <v>245168.4168061612</v>
          </cell>
          <cell r="AQ203">
            <v>434720.17488200992</v>
          </cell>
          <cell r="AR203">
            <v>47908.525553184314</v>
          </cell>
          <cell r="AS203">
            <v>386468.09730330261</v>
          </cell>
          <cell r="AT203">
            <v>238127.00351589909</v>
          </cell>
          <cell r="AV203">
            <v>27942</v>
          </cell>
        </row>
        <row r="204">
          <cell r="B204">
            <v>34818</v>
          </cell>
          <cell r="C204">
            <v>223629</v>
          </cell>
          <cell r="E204">
            <v>18864</v>
          </cell>
          <cell r="G204">
            <v>27098</v>
          </cell>
          <cell r="I204">
            <v>20027</v>
          </cell>
          <cell r="K204">
            <v>2464</v>
          </cell>
          <cell r="M204">
            <v>17563</v>
          </cell>
          <cell r="O204">
            <v>19083</v>
          </cell>
          <cell r="Q204">
            <v>42.600220091180631</v>
          </cell>
          <cell r="T204">
            <v>71.879515479447846</v>
          </cell>
          <cell r="U204">
            <v>7.8682525160109762</v>
          </cell>
          <cell r="V204">
            <v>28.523999241130717</v>
          </cell>
          <cell r="W204">
            <v>-28.543904092482254</v>
          </cell>
          <cell r="X204">
            <v>-28.455284552845526</v>
          </cell>
          <cell r="Y204">
            <v>-28.556319407720785</v>
          </cell>
          <cell r="Z204">
            <v>3.5319010416666741</v>
          </cell>
          <cell r="AA204">
            <v>24.139514437589547</v>
          </cell>
          <cell r="AB204">
            <v>12.303390422929047</v>
          </cell>
          <cell r="AC204">
            <v>1.101824897486462</v>
          </cell>
          <cell r="AD204">
            <v>223593.33333333334</v>
          </cell>
          <cell r="AE204">
            <v>21338</v>
          </cell>
          <cell r="AF204">
            <v>28569.666666666668</v>
          </cell>
          <cell r="AG204">
            <v>26225.333333333332</v>
          </cell>
          <cell r="AH204">
            <v>3543.6666666666665</v>
          </cell>
          <cell r="AI204">
            <v>22681.666666666668</v>
          </cell>
          <cell r="AJ204">
            <v>20374</v>
          </cell>
          <cell r="AK204">
            <v>42.057838522387783</v>
          </cell>
          <cell r="AL204">
            <v>14.5989023299108</v>
          </cell>
          <cell r="AM204">
            <v>0.42094631120721537</v>
          </cell>
          <cell r="AO204">
            <v>218625.19774486378</v>
          </cell>
          <cell r="AQ204">
            <v>250726.84962506429</v>
          </cell>
          <cell r="AR204">
            <v>28142.154851762509</v>
          </cell>
          <cell r="AS204">
            <v>223901.31592332554</v>
          </cell>
          <cell r="AT204">
            <v>212909.41371260266</v>
          </cell>
          <cell r="AV204">
            <v>26891.846153846152</v>
          </cell>
        </row>
        <row r="205">
          <cell r="B205">
            <v>34848</v>
          </cell>
          <cell r="C205">
            <v>222635</v>
          </cell>
          <cell r="E205">
            <v>22882</v>
          </cell>
          <cell r="G205">
            <v>31347</v>
          </cell>
          <cell r="I205">
            <v>18438</v>
          </cell>
          <cell r="K205">
            <v>3808</v>
          </cell>
          <cell r="M205">
            <v>14630</v>
          </cell>
          <cell r="O205">
            <v>21407</v>
          </cell>
          <cell r="Q205">
            <v>43.930022889708972</v>
          </cell>
          <cell r="T205">
            <v>59.82871008499886</v>
          </cell>
          <cell r="U205">
            <v>25.16820742847765</v>
          </cell>
          <cell r="V205">
            <v>45.698349988380201</v>
          </cell>
          <cell r="W205">
            <v>-34.304852846860967</v>
          </cell>
          <cell r="X205">
            <v>28.779168075752448</v>
          </cell>
          <cell r="Y205">
            <v>-41.734039587398939</v>
          </cell>
          <cell r="Z205">
            <v>26.638665404637951</v>
          </cell>
          <cell r="AA205">
            <v>15.050446498975978</v>
          </cell>
          <cell r="AB205">
            <v>20.652999240698559</v>
          </cell>
          <cell r="AC205">
            <v>1.7104228894827858</v>
          </cell>
          <cell r="AD205">
            <v>215358.33333333334</v>
          </cell>
          <cell r="AE205">
            <v>21131.333333333332</v>
          </cell>
          <cell r="AF205">
            <v>29215.666666666668</v>
          </cell>
          <cell r="AG205">
            <v>17043.666666666668</v>
          </cell>
          <cell r="AH205">
            <v>3911.3333333333335</v>
          </cell>
          <cell r="AI205">
            <v>13132.333333333334</v>
          </cell>
          <cell r="AJ205">
            <v>15898</v>
          </cell>
          <cell r="AK205">
            <v>42.874068245187381</v>
          </cell>
          <cell r="AL205">
            <v>25.359903981249204</v>
          </cell>
          <cell r="AM205">
            <v>0.35087482052159102</v>
          </cell>
          <cell r="AO205">
            <v>255666.96427781787</v>
          </cell>
          <cell r="AQ205">
            <v>227142.5185997996</v>
          </cell>
          <cell r="AR205">
            <v>46033.941769962519</v>
          </cell>
          <cell r="AS205">
            <v>180892.57635281194</v>
          </cell>
          <cell r="AT205">
            <v>248158.78948065147</v>
          </cell>
          <cell r="AV205">
            <v>26126.23076923077</v>
          </cell>
        </row>
        <row r="206">
          <cell r="B206">
            <v>34879</v>
          </cell>
          <cell r="C206">
            <v>199811</v>
          </cell>
          <cell r="E206">
            <v>21648</v>
          </cell>
          <cell r="G206">
            <v>29202</v>
          </cell>
          <cell r="I206">
            <v>12666</v>
          </cell>
          <cell r="K206">
            <v>5462</v>
          </cell>
          <cell r="M206">
            <v>7204</v>
          </cell>
          <cell r="O206">
            <v>20813</v>
          </cell>
          <cell r="Q206">
            <v>42.09196175467256</v>
          </cell>
          <cell r="T206">
            <v>35.537677807096692</v>
          </cell>
          <cell r="U206">
            <v>6.1540724758495591</v>
          </cell>
          <cell r="V206">
            <v>39.983701644216474</v>
          </cell>
          <cell r="W206">
            <v>-56.203319502074692</v>
          </cell>
          <cell r="X206">
            <v>211.22507122507122</v>
          </cell>
          <cell r="Y206">
            <v>-73.480581630774893</v>
          </cell>
          <cell r="Z206">
            <v>10.145004233700261</v>
          </cell>
          <cell r="AA206">
            <v>27.090377469327542</v>
          </cell>
          <cell r="AB206">
            <v>43.123322280120007</v>
          </cell>
          <cell r="AC206">
            <v>2.7335832361581698</v>
          </cell>
          <cell r="AD206">
            <v>203249.33333333334</v>
          </cell>
          <cell r="AE206">
            <v>20220.666666666668</v>
          </cell>
          <cell r="AF206">
            <v>29711.666666666668</v>
          </cell>
          <cell r="AG206">
            <v>14038</v>
          </cell>
          <cell r="AH206">
            <v>4673.333333333333</v>
          </cell>
          <cell r="AI206">
            <v>9364.6666666666661</v>
          </cell>
          <cell r="AJ206">
            <v>16160</v>
          </cell>
          <cell r="AK206">
            <v>45.231191522062886</v>
          </cell>
          <cell r="AL206">
            <v>35.639639719776341</v>
          </cell>
          <cell r="AM206">
            <v>0.26274971545194092</v>
          </cell>
          <cell r="AO206">
            <v>237829.31277242536</v>
          </cell>
          <cell r="AQ206">
            <v>170000.00525445447</v>
          </cell>
          <cell r="AR206">
            <v>74064.048871746301</v>
          </cell>
          <cell r="AS206">
            <v>96519.380274053838</v>
          </cell>
          <cell r="AT206">
            <v>232622.49576188473</v>
          </cell>
          <cell r="AV206">
            <v>24748.923076923078</v>
          </cell>
        </row>
        <row r="207">
          <cell r="B207">
            <v>34909</v>
          </cell>
          <cell r="C207">
            <v>187302</v>
          </cell>
          <cell r="E207">
            <v>16132</v>
          </cell>
          <cell r="G207">
            <v>28586</v>
          </cell>
          <cell r="I207">
            <v>11010</v>
          </cell>
          <cell r="K207">
            <v>4750</v>
          </cell>
          <cell r="M207">
            <v>6260</v>
          </cell>
          <cell r="O207">
            <v>17265</v>
          </cell>
          <cell r="Q207">
            <v>49.671589921807126</v>
          </cell>
          <cell r="T207">
            <v>14.120163044471656</v>
          </cell>
          <cell r="U207">
            <v>9.6594385153966336</v>
          </cell>
          <cell r="V207">
            <v>25.968360287313264</v>
          </cell>
          <cell r="W207">
            <v>-65.293320303880463</v>
          </cell>
          <cell r="X207">
            <v>5.0884955752212413</v>
          </cell>
          <cell r="Y207">
            <v>-76.987832224387006</v>
          </cell>
          <cell r="Z207">
            <v>4.5286674335533128</v>
          </cell>
          <cell r="AA207">
            <v>20.510825766901441</v>
          </cell>
          <cell r="AB207">
            <v>43.142597638510445</v>
          </cell>
          <cell r="AC207">
            <v>2.5360113613308988</v>
          </cell>
          <cell r="AD207">
            <v>183035.33333333334</v>
          </cell>
          <cell r="AE207">
            <v>19521.333333333332</v>
          </cell>
          <cell r="AF207">
            <v>29262</v>
          </cell>
          <cell r="AG207">
            <v>11794.666666666666</v>
          </cell>
          <cell r="AH207">
            <v>8932</v>
          </cell>
          <cell r="AI207">
            <v>2862.6666666666665</v>
          </cell>
          <cell r="AJ207">
            <v>11067.333333333334</v>
          </cell>
          <cell r="AK207">
            <v>46.96766927674728</v>
          </cell>
          <cell r="AL207">
            <v>75.970885730763158</v>
          </cell>
          <cell r="AM207">
            <v>0.20078314286968757</v>
          </cell>
          <cell r="AO207">
            <v>230738.76087910216</v>
          </cell>
          <cell r="AQ207">
            <v>143415.39288294798</v>
          </cell>
          <cell r="AR207">
            <v>69655.672394844645</v>
          </cell>
          <cell r="AS207">
            <v>79869.781375799663</v>
          </cell>
          <cell r="AT207">
            <v>208496.14016978236</v>
          </cell>
          <cell r="AV207">
            <v>23140.846153846152</v>
          </cell>
        </row>
        <row r="208">
          <cell r="B208">
            <v>34940</v>
          </cell>
          <cell r="C208">
            <v>161993</v>
          </cell>
          <cell r="E208">
            <v>20784</v>
          </cell>
          <cell r="G208">
            <v>29998</v>
          </cell>
          <cell r="I208">
            <v>11708</v>
          </cell>
          <cell r="K208">
            <v>16584</v>
          </cell>
          <cell r="M208">
            <v>-4876</v>
          </cell>
          <cell r="O208">
            <v>18314</v>
          </cell>
          <cell r="Q208">
            <v>49.139456153762147</v>
          </cell>
          <cell r="T208">
            <v>-6.9476356785074245</v>
          </cell>
          <cell r="U208">
            <v>3.1515211673035948</v>
          </cell>
          <cell r="V208">
            <v>47.294510458607483</v>
          </cell>
          <cell r="W208">
            <v>-67.844882041141403</v>
          </cell>
          <cell r="X208">
            <v>532.25314525352644</v>
          </cell>
          <cell r="Y208">
            <v>-114.43115899135788</v>
          </cell>
          <cell r="Z208">
            <v>-1.1710107387620794</v>
          </cell>
          <cell r="AA208">
            <v>49.039782314538336</v>
          </cell>
          <cell r="AB208">
            <v>141.64673727365903</v>
          </cell>
          <cell r="AC208">
            <v>10.237479397257907</v>
          </cell>
          <cell r="AD208">
            <v>162290.66666666666</v>
          </cell>
          <cell r="AE208">
            <v>18568</v>
          </cell>
          <cell r="AF208">
            <v>29934.666666666668</v>
          </cell>
          <cell r="AG208">
            <v>11918.333333333334</v>
          </cell>
          <cell r="AH208">
            <v>13416.333333333334</v>
          </cell>
          <cell r="AI208">
            <v>-1498</v>
          </cell>
          <cell r="AJ208">
            <v>9900.3333333333339</v>
          </cell>
          <cell r="AK208">
            <v>50.72821663502183</v>
          </cell>
          <cell r="AL208">
            <v>109.95879827286323</v>
          </cell>
          <cell r="AM208">
            <v>4.7349591975121008E-2</v>
          </cell>
          <cell r="AO208">
            <v>246015.11611837865</v>
          </cell>
          <cell r="AQ208">
            <v>154574.76879960005</v>
          </cell>
          <cell r="AR208">
            <v>180942.19602304403</v>
          </cell>
          <cell r="AS208">
            <v>-66908.494379877753</v>
          </cell>
          <cell r="AT208">
            <v>225090.74013622291</v>
          </cell>
          <cell r="AV208">
            <v>20673.23076923077</v>
          </cell>
        </row>
        <row r="209">
          <cell r="B209">
            <v>34971</v>
          </cell>
          <cell r="C209">
            <v>137577</v>
          </cell>
          <cell r="E209">
            <v>18788</v>
          </cell>
          <cell r="G209">
            <v>31220</v>
          </cell>
          <cell r="I209">
            <v>13037</v>
          </cell>
          <cell r="K209">
            <v>18915</v>
          </cell>
          <cell r="M209">
            <v>-5878</v>
          </cell>
          <cell r="O209">
            <v>17548</v>
          </cell>
          <cell r="Q209">
            <v>53.37360382949624</v>
          </cell>
          <cell r="T209">
            <v>-26.957892892600597</v>
          </cell>
          <cell r="U209">
            <v>-5.2689961175818034</v>
          </cell>
          <cell r="V209">
            <v>44.149967679379444</v>
          </cell>
          <cell r="W209">
            <v>-64.570481289235531</v>
          </cell>
          <cell r="X209">
            <v>535.3711790393013</v>
          </cell>
          <cell r="Y209">
            <v>-117.38024837374334</v>
          </cell>
          <cell r="Z209">
            <v>-2.7973190051514996</v>
          </cell>
          <cell r="AA209">
            <v>48.298345481868999</v>
          </cell>
          <cell r="AB209">
            <v>145.08705990642019</v>
          </cell>
          <cell r="AC209">
            <v>13.748664384308423</v>
          </cell>
          <cell r="AD209">
            <v>141516.33333333334</v>
          </cell>
          <cell r="AE209">
            <v>19762.333333333332</v>
          </cell>
          <cell r="AF209">
            <v>31207</v>
          </cell>
          <cell r="AG209">
            <v>12586.333333333334</v>
          </cell>
          <cell r="AH209">
            <v>13771.666666666666</v>
          </cell>
          <cell r="AI209">
            <v>-1185.3333333333333</v>
          </cell>
          <cell r="AJ209">
            <v>14353.333333333334</v>
          </cell>
          <cell r="AK209">
            <v>50.968842700484778</v>
          </cell>
          <cell r="AL209">
            <v>110.47471022236441</v>
          </cell>
          <cell r="AM209">
            <v>-0.10247178157114267</v>
          </cell>
          <cell r="AO209">
            <v>223159.93912471205</v>
          </cell>
          <cell r="AQ209">
            <v>160039.92812853973</v>
          </cell>
          <cell r="AR209">
            <v>187578.70223978921</v>
          </cell>
          <cell r="AS209">
            <v>-75499.6470965646</v>
          </cell>
          <cell r="AT209">
            <v>210312.59775870675</v>
          </cell>
          <cell r="AV209">
            <v>17622</v>
          </cell>
        </row>
        <row r="210">
          <cell r="B210">
            <v>35001</v>
          </cell>
          <cell r="C210">
            <v>124979</v>
          </cell>
          <cell r="E210">
            <v>19715</v>
          </cell>
          <cell r="G210">
            <v>32403</v>
          </cell>
          <cell r="I210">
            <v>13014</v>
          </cell>
          <cell r="K210">
            <v>5816</v>
          </cell>
          <cell r="M210">
            <v>7198</v>
          </cell>
          <cell r="O210">
            <v>19290</v>
          </cell>
          <cell r="Q210">
            <v>50.393468118195962</v>
          </cell>
          <cell r="T210">
            <v>-37.978452575319224</v>
          </cell>
          <cell r="U210">
            <v>-1.2966856913988134</v>
          </cell>
          <cell r="V210">
            <v>38.474358974358978</v>
          </cell>
          <cell r="W210">
            <v>-63.427383093525179</v>
          </cell>
          <cell r="X210">
            <v>92.391663910023155</v>
          </cell>
          <cell r="Y210">
            <v>-77.893799330487383</v>
          </cell>
          <cell r="Z210">
            <v>-1.158024185283868</v>
          </cell>
          <cell r="AA210">
            <v>40.09671279126956</v>
          </cell>
          <cell r="AB210">
            <v>44.69033348701398</v>
          </cell>
          <cell r="AC210">
            <v>4.6535818017426926</v>
          </cell>
          <cell r="AD210">
            <v>125509.33333333333</v>
          </cell>
          <cell r="AE210">
            <v>18748.666666666668</v>
          </cell>
          <cell r="AF210">
            <v>32236</v>
          </cell>
          <cell r="AG210">
            <v>13748.666666666666</v>
          </cell>
          <cell r="AH210">
            <v>10957.666666666666</v>
          </cell>
          <cell r="AI210">
            <v>2791</v>
          </cell>
          <cell r="AJ210">
            <v>14630.333333333334</v>
          </cell>
          <cell r="AK210">
            <v>55.222014316209219</v>
          </cell>
          <cell r="AL210">
            <v>81.120269663556698</v>
          </cell>
          <cell r="AM210">
            <v>-0.20640632165661266</v>
          </cell>
          <cell r="AO210">
            <v>218010.08473772692</v>
          </cell>
          <cell r="AQ210">
            <v>140697.29293080734</v>
          </cell>
          <cell r="AR210">
            <v>68888.277119857972</v>
          </cell>
          <cell r="AS210">
            <v>76588.084655337123</v>
          </cell>
          <cell r="AT210">
            <v>211899.84294062955</v>
          </cell>
          <cell r="AV210">
            <v>15574.153846153846</v>
          </cell>
        </row>
        <row r="211">
          <cell r="B211">
            <v>35032</v>
          </cell>
          <cell r="C211">
            <v>113972</v>
          </cell>
          <cell r="E211">
            <v>17743</v>
          </cell>
          <cell r="G211">
            <v>33085</v>
          </cell>
          <cell r="I211">
            <v>15195</v>
          </cell>
          <cell r="K211">
            <v>8142</v>
          </cell>
          <cell r="M211">
            <v>7053</v>
          </cell>
          <cell r="O211">
            <v>16035</v>
          </cell>
          <cell r="Q211">
            <v>61.898971000935447</v>
          </cell>
          <cell r="T211">
            <v>-43.809378250859091</v>
          </cell>
          <cell r="U211">
            <v>-6.8413315131786163</v>
          </cell>
          <cell r="V211">
            <v>38.170808101900192</v>
          </cell>
          <cell r="W211">
            <v>-47.279855665810842</v>
          </cell>
          <cell r="X211">
            <v>-2.979027645376553</v>
          </cell>
          <cell r="Y211">
            <v>-65.477239353891335</v>
          </cell>
          <cell r="Z211">
            <v>-9.5396592575877293</v>
          </cell>
          <cell r="AA211">
            <v>52.741861204507792</v>
          </cell>
          <cell r="AB211">
            <v>53.583415597235927</v>
          </cell>
          <cell r="AC211">
            <v>7.1438598954129091</v>
          </cell>
          <cell r="AD211">
            <v>115970.66666666667</v>
          </cell>
          <cell r="AE211">
            <v>17332.333333333332</v>
          </cell>
          <cell r="AF211">
            <v>32017.333333333332</v>
          </cell>
          <cell r="AG211">
            <v>13847.333333333334</v>
          </cell>
          <cell r="AH211">
            <v>6023.666666666667</v>
          </cell>
          <cell r="AI211">
            <v>7823.666666666667</v>
          </cell>
          <cell r="AJ211">
            <v>14848.333333333334</v>
          </cell>
          <cell r="AK211">
            <v>54.106027181234829</v>
          </cell>
          <cell r="AL211">
            <v>43.040673430343361</v>
          </cell>
          <cell r="AM211">
            <v>-0.30027047118928241</v>
          </cell>
          <cell r="AO211">
            <v>218156.96473321813</v>
          </cell>
          <cell r="AQ211">
            <v>187055.95971832375</v>
          </cell>
          <cell r="AR211">
            <v>95816.402092645672</v>
          </cell>
          <cell r="AS211">
            <v>87584.422921999401</v>
          </cell>
          <cell r="AT211">
            <v>208977.19610520924</v>
          </cell>
          <cell r="AV211">
            <v>13612</v>
          </cell>
        </row>
        <row r="212">
          <cell r="B212">
            <v>35062</v>
          </cell>
          <cell r="C212">
            <v>108961</v>
          </cell>
          <cell r="E212">
            <v>14539</v>
          </cell>
          <cell r="G212">
            <v>30564</v>
          </cell>
          <cell r="I212">
            <v>13333</v>
          </cell>
          <cell r="K212">
            <v>4113</v>
          </cell>
          <cell r="M212">
            <v>9220</v>
          </cell>
          <cell r="O212">
            <v>18329</v>
          </cell>
          <cell r="Q212">
            <v>50.025642424573078</v>
          </cell>
          <cell r="T212">
            <v>-47.440547971636683</v>
          </cell>
          <cell r="U212">
            <v>-8.6574103160143245</v>
          </cell>
          <cell r="V212">
            <v>27.947086403214993</v>
          </cell>
          <cell r="W212">
            <v>-56.689946402468735</v>
          </cell>
          <cell r="X212">
            <v>-45.738786279683374</v>
          </cell>
          <cell r="Y212">
            <v>-60.267183796595567</v>
          </cell>
          <cell r="Z212">
            <v>-4.7299755704558466</v>
          </cell>
          <cell r="AA212">
            <v>34.299415969853953</v>
          </cell>
          <cell r="AB212">
            <v>30.848271206780169</v>
          </cell>
          <cell r="AC212">
            <v>3.7747450922807242</v>
          </cell>
          <cell r="AD212">
            <v>107898.66666666667</v>
          </cell>
          <cell r="AE212">
            <v>16341</v>
          </cell>
          <cell r="AF212">
            <v>32375.333333333332</v>
          </cell>
          <cell r="AG212">
            <v>14838.666666666666</v>
          </cell>
          <cell r="AH212">
            <v>6424.666666666667</v>
          </cell>
          <cell r="AI212">
            <v>8414</v>
          </cell>
          <cell r="AJ212">
            <v>14444.333333333334</v>
          </cell>
          <cell r="AK212">
            <v>62.837831562792474</v>
          </cell>
          <cell r="AL212">
            <v>42.777787687069662</v>
          </cell>
          <cell r="AM212">
            <v>-0.33270527608349931</v>
          </cell>
          <cell r="AO212">
            <v>203681.08810456668</v>
          </cell>
          <cell r="AQ212">
            <v>151330.31879943219</v>
          </cell>
          <cell r="AR212">
            <v>55162.776150770987</v>
          </cell>
          <cell r="AS212">
            <v>101756.20916811466</v>
          </cell>
          <cell r="AT212">
            <v>202168.99833294435</v>
          </cell>
          <cell r="AV212">
            <v>12749.692307692309</v>
          </cell>
        </row>
        <row r="213">
          <cell r="B213">
            <v>35093</v>
          </cell>
          <cell r="C213">
            <v>100763</v>
          </cell>
          <cell r="E213">
            <v>16741</v>
          </cell>
          <cell r="G213">
            <v>33477</v>
          </cell>
          <cell r="I213">
            <v>15988</v>
          </cell>
          <cell r="K213">
            <v>7019</v>
          </cell>
          <cell r="M213">
            <v>8969</v>
          </cell>
          <cell r="O213">
            <v>13113</v>
          </cell>
          <cell r="Q213">
            <v>76.58888126286891</v>
          </cell>
          <cell r="T213">
            <v>-52.357469101362653</v>
          </cell>
          <cell r="U213">
            <v>-14.311306751292419</v>
          </cell>
          <cell r="V213">
            <v>41.695589604672811</v>
          </cell>
          <cell r="W213">
            <v>-46.690673868827318</v>
          </cell>
          <cell r="X213">
            <v>80.808861411643477</v>
          </cell>
          <cell r="Y213">
            <v>-65.647860890880537</v>
          </cell>
          <cell r="Z213">
            <v>-22.778399387550795</v>
          </cell>
          <cell r="AA213">
            <v>83.492168617169909</v>
          </cell>
          <cell r="AB213">
            <v>43.901676257192896</v>
          </cell>
          <cell r="AC213">
            <v>6.9658505602254799</v>
          </cell>
          <cell r="AD213">
            <v>101421</v>
          </cell>
          <cell r="AE213">
            <v>16117</v>
          </cell>
          <cell r="AF213">
            <v>33058.666666666664</v>
          </cell>
          <cell r="AG213">
            <v>14533.333333333334</v>
          </cell>
          <cell r="AH213">
            <v>5162.333333333333</v>
          </cell>
          <cell r="AI213">
            <v>9371</v>
          </cell>
          <cell r="AJ213">
            <v>13788.666666666666</v>
          </cell>
          <cell r="AK213">
            <v>65.779049495384584</v>
          </cell>
          <cell r="AL213">
            <v>35.083094050425366</v>
          </cell>
          <cell r="AM213">
            <v>-0.39203640317966049</v>
          </cell>
          <cell r="AO213">
            <v>208633.08089568064</v>
          </cell>
          <cell r="AQ213">
            <v>176163.9714149707</v>
          </cell>
          <cell r="AR213">
            <v>84068.483781468021</v>
          </cell>
          <cell r="AS213">
            <v>97389.638644009596</v>
          </cell>
          <cell r="AT213">
            <v>185939.05013430107</v>
          </cell>
          <cell r="AV213">
            <v>11654.615384615385</v>
          </cell>
        </row>
        <row r="214">
          <cell r="B214">
            <v>35124</v>
          </cell>
          <cell r="C214">
            <v>94539</v>
          </cell>
          <cell r="E214">
            <v>17071</v>
          </cell>
          <cell r="G214">
            <v>35135</v>
          </cell>
          <cell r="I214">
            <v>14279</v>
          </cell>
          <cell r="K214">
            <v>4355</v>
          </cell>
          <cell r="M214">
            <v>9924</v>
          </cell>
          <cell r="O214">
            <v>14904</v>
          </cell>
          <cell r="Q214">
            <v>70.722624798711763</v>
          </cell>
          <cell r="T214">
            <v>-55.460545842579108</v>
          </cell>
          <cell r="U214">
            <v>-12.760629599345874</v>
          </cell>
          <cell r="V214">
            <v>36.250824058634201</v>
          </cell>
          <cell r="W214">
            <v>-45.861611374407588</v>
          </cell>
          <cell r="X214">
            <v>4.4615015591268792</v>
          </cell>
          <cell r="Y214">
            <v>-55.309375844366393</v>
          </cell>
          <cell r="Z214">
            <v>-12.360343408208863</v>
          </cell>
          <cell r="AA214">
            <v>55.467090307376111</v>
          </cell>
          <cell r="AB214">
            <v>30.49933468730303</v>
          </cell>
          <cell r="AC214">
            <v>4.6065644866139897</v>
          </cell>
          <cell r="AD214">
            <v>94075.666666666672</v>
          </cell>
          <cell r="AE214">
            <v>16778.666666666668</v>
          </cell>
          <cell r="AF214">
            <v>34466</v>
          </cell>
          <cell r="AG214">
            <v>14994.666666666666</v>
          </cell>
          <cell r="AH214">
            <v>5599.666666666667</v>
          </cell>
          <cell r="AI214">
            <v>9395</v>
          </cell>
          <cell r="AJ214">
            <v>12436.333333333334</v>
          </cell>
          <cell r="AK214">
            <v>70.407038244423021</v>
          </cell>
          <cell r="AL214">
            <v>37.087714390843843</v>
          </cell>
          <cell r="AM214">
            <v>-0.45155485667273232</v>
          </cell>
          <cell r="AO214">
            <v>212346.81596091203</v>
          </cell>
          <cell r="AQ214">
            <v>167237.83086115512</v>
          </cell>
          <cell r="AR214">
            <v>56667.314051418434</v>
          </cell>
          <cell r="AS214">
            <v>114128.83240802346</v>
          </cell>
          <cell r="AT214">
            <v>208634.34759795762</v>
          </cell>
          <cell r="AV214">
            <v>10409.615384615385</v>
          </cell>
        </row>
        <row r="215">
          <cell r="B215">
            <v>35153</v>
          </cell>
          <cell r="C215">
            <v>86925</v>
          </cell>
          <cell r="E215">
            <v>16524</v>
          </cell>
          <cell r="G215">
            <v>34786</v>
          </cell>
          <cell r="I215">
            <v>14717</v>
          </cell>
          <cell r="K215">
            <v>5425</v>
          </cell>
          <cell r="M215">
            <v>9292</v>
          </cell>
          <cell r="O215">
            <v>16329</v>
          </cell>
          <cell r="Q215">
            <v>63.909608671688417</v>
          </cell>
          <cell r="T215">
            <v>-61.283382921484431</v>
          </cell>
          <cell r="U215">
            <v>-25.79486258307886</v>
          </cell>
          <cell r="V215">
            <v>27.589495305164323</v>
          </cell>
          <cell r="W215">
            <v>-63.400562035263988</v>
          </cell>
          <cell r="X215">
            <v>24.455150263821967</v>
          </cell>
          <cell r="Y215">
            <v>-74.082338502733464</v>
          </cell>
          <cell r="Z215">
            <v>-20.855951919348581</v>
          </cell>
          <cell r="AA215">
            <v>61.211737836741406</v>
          </cell>
          <cell r="AB215">
            <v>36.862132228035605</v>
          </cell>
          <cell r="AC215">
            <v>6.2410123669830311</v>
          </cell>
          <cell r="AD215">
            <v>86676</v>
          </cell>
          <cell r="AE215">
            <v>16536</v>
          </cell>
          <cell r="AF215">
            <v>34412</v>
          </cell>
          <cell r="AG215">
            <v>14018</v>
          </cell>
          <cell r="AH215">
            <v>4724.666666666667</v>
          </cell>
          <cell r="AI215">
            <v>9293.3333333333339</v>
          </cell>
          <cell r="AJ215">
            <v>13299</v>
          </cell>
          <cell r="AK215">
            <v>64.711310067319801</v>
          </cell>
          <cell r="AL215">
            <v>33.67044557564946</v>
          </cell>
          <cell r="AM215">
            <v>-0.49769592817368968</v>
          </cell>
          <cell r="AO215">
            <v>181927.5605939019</v>
          </cell>
          <cell r="AQ215">
            <v>159105.14072613313</v>
          </cell>
          <cell r="AR215">
            <v>59624.627466397083</v>
          </cell>
          <cell r="AS215">
            <v>100163.49325399665</v>
          </cell>
          <cell r="AT215">
            <v>188463.35015563766</v>
          </cell>
          <cell r="AV215">
            <v>9416.2307692307695</v>
          </cell>
        </row>
        <row r="216">
          <cell r="B216">
            <v>35184</v>
          </cell>
          <cell r="C216">
            <v>78564</v>
          </cell>
          <cell r="E216">
            <v>16013</v>
          </cell>
          <cell r="G216">
            <v>33315</v>
          </cell>
          <cell r="I216">
            <v>13058</v>
          </cell>
          <cell r="K216">
            <v>4394</v>
          </cell>
          <cell r="M216">
            <v>8664</v>
          </cell>
          <cell r="O216">
            <v>16797</v>
          </cell>
          <cell r="Q216">
            <v>59.501696731559207</v>
          </cell>
          <cell r="T216">
            <v>-64.868599331929218</v>
          </cell>
          <cell r="U216">
            <v>-15.113443596268027</v>
          </cell>
          <cell r="V216">
            <v>22.942652594287406</v>
          </cell>
          <cell r="W216">
            <v>-34.79802266939631</v>
          </cell>
          <cell r="X216">
            <v>78.327922077922068</v>
          </cell>
          <cell r="Y216">
            <v>-50.669020099071915</v>
          </cell>
          <cell r="Z216">
            <v>-11.979248545826128</v>
          </cell>
          <cell r="AA216">
            <v>39.67462281697842</v>
          </cell>
          <cell r="AB216">
            <v>33.64986981160974</v>
          </cell>
          <cell r="AC216">
            <v>5.5928924189196065</v>
          </cell>
          <cell r="AD216">
            <v>79587.666666666672</v>
          </cell>
          <cell r="AE216">
            <v>16226</v>
          </cell>
          <cell r="AF216">
            <v>33880</v>
          </cell>
          <cell r="AG216">
            <v>13698</v>
          </cell>
          <cell r="AH216">
            <v>4363.666666666667</v>
          </cell>
          <cell r="AI216">
            <v>9334.3333333333339</v>
          </cell>
          <cell r="AJ216">
            <v>14391</v>
          </cell>
          <cell r="AK216">
            <v>60.982663931260056</v>
          </cell>
          <cell r="AL216">
            <v>31.692803643067208</v>
          </cell>
          <cell r="AM216">
            <v>-0.59896649315206951</v>
          </cell>
          <cell r="AO216">
            <v>185583.40179646437</v>
          </cell>
          <cell r="AQ216">
            <v>163478.8636542712</v>
          </cell>
          <cell r="AR216">
            <v>50185.319975099213</v>
          </cell>
          <cell r="AS216">
            <v>110452.71315604923</v>
          </cell>
          <cell r="AT216">
            <v>187404.46586650878</v>
          </cell>
          <cell r="AV216">
            <v>7324.8461538461543</v>
          </cell>
        </row>
        <row r="217">
          <cell r="B217">
            <v>35214</v>
          </cell>
          <cell r="C217">
            <v>73274</v>
          </cell>
          <cell r="E217">
            <v>16141</v>
          </cell>
          <cell r="G217">
            <v>33539</v>
          </cell>
          <cell r="I217">
            <v>13319</v>
          </cell>
          <cell r="K217">
            <v>3272</v>
          </cell>
          <cell r="M217">
            <v>10047</v>
          </cell>
          <cell r="O217">
            <v>16900</v>
          </cell>
          <cell r="Q217">
            <v>59.536686390532545</v>
          </cell>
          <cell r="T217">
            <v>-67.087834347699143</v>
          </cell>
          <cell r="U217">
            <v>-29.459837426798352</v>
          </cell>
          <cell r="V217">
            <v>6.9926946757265407</v>
          </cell>
          <cell r="W217">
            <v>-27.763314893155446</v>
          </cell>
          <cell r="X217">
            <v>-14.075630252100845</v>
          </cell>
          <cell r="Y217">
            <v>-31.326042378673957</v>
          </cell>
          <cell r="Z217">
            <v>-21.053860886625873</v>
          </cell>
          <cell r="AA217">
            <v>35.526190232146647</v>
          </cell>
          <cell r="AB217">
            <v>24.566408889556275</v>
          </cell>
          <cell r="AC217">
            <v>4.4654311215437943</v>
          </cell>
          <cell r="AD217">
            <v>73154.333333333328</v>
          </cell>
          <cell r="AE217">
            <v>15679.666666666666</v>
          </cell>
          <cell r="AF217">
            <v>33145.333333333336</v>
          </cell>
          <cell r="AG217">
            <v>12548.666666666666</v>
          </cell>
          <cell r="AH217">
            <v>3473.6666666666665</v>
          </cell>
          <cell r="AI217">
            <v>9075</v>
          </cell>
          <cell r="AJ217">
            <v>14070.333333333334</v>
          </cell>
          <cell r="AK217">
            <v>58.967881594805704</v>
          </cell>
          <cell r="AL217">
            <v>27.554626103571447</v>
          </cell>
          <cell r="AM217">
            <v>-0.62633509570937407</v>
          </cell>
          <cell r="AO217">
            <v>180347.8922475421</v>
          </cell>
          <cell r="AQ217">
            <v>164080.22590469307</v>
          </cell>
          <cell r="AR217">
            <v>39554.374335955188</v>
          </cell>
          <cell r="AS217">
            <v>124226.09122465493</v>
          </cell>
          <cell r="AT217">
            <v>195911.78316546034</v>
          </cell>
          <cell r="AV217">
            <v>6746.6923076923076</v>
          </cell>
        </row>
        <row r="218">
          <cell r="B218">
            <v>35245</v>
          </cell>
          <cell r="C218">
            <v>67625</v>
          </cell>
          <cell r="E218">
            <v>14885</v>
          </cell>
          <cell r="G218">
            <v>32582</v>
          </cell>
          <cell r="I218">
            <v>11269</v>
          </cell>
          <cell r="K218">
            <v>2755</v>
          </cell>
          <cell r="M218">
            <v>8514</v>
          </cell>
          <cell r="O218">
            <v>16892</v>
          </cell>
          <cell r="Q218">
            <v>57.865261662325359</v>
          </cell>
          <cell r="T218">
            <v>-66.15551696353053</v>
          </cell>
          <cell r="U218">
            <v>-31.240761271249074</v>
          </cell>
          <cell r="V218">
            <v>11.5745496883775</v>
          </cell>
          <cell r="W218">
            <v>-11.02952786988789</v>
          </cell>
          <cell r="X218">
            <v>-49.560600512632732</v>
          </cell>
          <cell r="Y218">
            <v>18.184342032204338</v>
          </cell>
          <cell r="Z218">
            <v>-18.839187046557438</v>
          </cell>
          <cell r="AA218">
            <v>37.473425447797837</v>
          </cell>
          <cell r="AB218">
            <v>24.447599609548316</v>
          </cell>
          <cell r="AC218">
            <v>4.0739371534195934</v>
          </cell>
          <cell r="AD218">
            <v>69255.666666666672</v>
          </cell>
          <cell r="AE218">
            <v>14556.333333333334</v>
          </cell>
          <cell r="AF218">
            <v>32124.666666666668</v>
          </cell>
          <cell r="AG218">
            <v>12839.666666666666</v>
          </cell>
          <cell r="AH218">
            <v>2770.6666666666665</v>
          </cell>
          <cell r="AI218">
            <v>10069</v>
          </cell>
          <cell r="AJ218">
            <v>15146</v>
          </cell>
          <cell r="AK218">
            <v>59.105596098598085</v>
          </cell>
          <cell r="AL218">
            <v>21.805425607183647</v>
          </cell>
          <cell r="AM218">
            <v>-0.6401307316384679</v>
          </cell>
          <cell r="AO218">
            <v>163529.62493613965</v>
          </cell>
          <cell r="AQ218">
            <v>151249.80729610354</v>
          </cell>
          <cell r="AR218">
            <v>37357.46148693905</v>
          </cell>
          <cell r="AS218">
            <v>114070.79451045174</v>
          </cell>
          <cell r="AT218">
            <v>188798.30867293311</v>
          </cell>
          <cell r="AV218">
            <v>6276.2307692307695</v>
          </cell>
        </row>
        <row r="219">
          <cell r="B219">
            <v>35275</v>
          </cell>
          <cell r="C219">
            <v>66868</v>
          </cell>
          <cell r="E219">
            <v>12643</v>
          </cell>
          <cell r="G219">
            <v>30253</v>
          </cell>
          <cell r="I219">
            <v>13931</v>
          </cell>
          <cell r="K219">
            <v>2285</v>
          </cell>
          <cell r="M219">
            <v>11646</v>
          </cell>
          <cell r="O219">
            <v>15148</v>
          </cell>
          <cell r="Q219">
            <v>59.914840242936357</v>
          </cell>
          <cell r="T219">
            <v>-64.299366798005366</v>
          </cell>
          <cell r="U219">
            <v>-21.627820481031492</v>
          </cell>
          <cell r="V219">
            <v>5.8315259217798898</v>
          </cell>
          <cell r="W219">
            <v>26.530426884650325</v>
          </cell>
          <cell r="X219">
            <v>-51.89473684210526</v>
          </cell>
          <cell r="Y219">
            <v>86.038338658146955</v>
          </cell>
          <cell r="Z219">
            <v>-12.261801332174915</v>
          </cell>
          <cell r="AA219">
            <v>20.621949764954415</v>
          </cell>
          <cell r="AB219">
            <v>16.402268322446343</v>
          </cell>
          <cell r="AC219">
            <v>3.4171801160495305</v>
          </cell>
          <cell r="AD219">
            <v>65864</v>
          </cell>
          <cell r="AE219">
            <v>14007</v>
          </cell>
          <cell r="AF219">
            <v>30765</v>
          </cell>
          <cell r="AG219">
            <v>12611.666666666666</v>
          </cell>
          <cell r="AH219">
            <v>2610.3333333333335</v>
          </cell>
          <cell r="AI219">
            <v>10001.333333333334</v>
          </cell>
          <cell r="AJ219">
            <v>13961.333333333334</v>
          </cell>
          <cell r="AK219">
            <v>58.898724722370311</v>
          </cell>
          <cell r="AL219">
            <v>20.979767347863145</v>
          </cell>
          <cell r="AM219">
            <v>-0.60484385836789611</v>
          </cell>
          <cell r="AO219">
            <v>180834.99589601342</v>
          </cell>
          <cell r="AQ219">
            <v>181464.1088330925</v>
          </cell>
          <cell r="AR219">
            <v>33508.044509941057</v>
          </cell>
          <cell r="AS219">
            <v>148588.41436143179</v>
          </cell>
          <cell r="AT219">
            <v>182930.7576769107</v>
          </cell>
          <cell r="AV219">
            <v>6617.9230769230771</v>
          </cell>
        </row>
        <row r="220">
          <cell r="B220">
            <v>35306</v>
          </cell>
          <cell r="C220">
            <v>63099</v>
          </cell>
          <cell r="E220">
            <v>14493</v>
          </cell>
          <cell r="G220">
            <v>29460</v>
          </cell>
          <cell r="I220">
            <v>12635</v>
          </cell>
          <cell r="K220">
            <v>2791</v>
          </cell>
          <cell r="M220">
            <v>9844</v>
          </cell>
          <cell r="O220">
            <v>15001</v>
          </cell>
          <cell r="Q220">
            <v>58.916072261849209</v>
          </cell>
          <cell r="T220">
            <v>-61.048316902582215</v>
          </cell>
          <cell r="U220">
            <v>-30.268475750577373</v>
          </cell>
          <cell r="V220">
            <v>-1.7934528968597929</v>
          </cell>
          <cell r="W220">
            <v>7.9176631363170547</v>
          </cell>
          <cell r="X220">
            <v>-83.170525808007724</v>
          </cell>
          <cell r="Y220">
            <v>-301.88679245283021</v>
          </cell>
          <cell r="Z220">
            <v>-18.089985803210663</v>
          </cell>
          <cell r="AA220">
            <v>19.895653866202913</v>
          </cell>
          <cell r="AB220">
            <v>22.089434111594777</v>
          </cell>
          <cell r="AC220">
            <v>4.4232079747698068</v>
          </cell>
          <cell r="AD220">
            <v>62893.333333333336</v>
          </cell>
          <cell r="AE220">
            <v>13798</v>
          </cell>
          <cell r="AF220">
            <v>29568.333333333332</v>
          </cell>
          <cell r="AG220">
            <v>13383.666666666666</v>
          </cell>
          <cell r="AH220">
            <v>2820.6666666666665</v>
          </cell>
          <cell r="AI220">
            <v>10563</v>
          </cell>
          <cell r="AJ220">
            <v>13449.333333333334</v>
          </cell>
          <cell r="AK220">
            <v>58.917709602465379</v>
          </cell>
          <cell r="AL220">
            <v>21.138750523038855</v>
          </cell>
          <cell r="AM220">
            <v>-0.58526008885597924</v>
          </cell>
          <cell r="AO220">
            <v>171550.09035333246</v>
          </cell>
          <cell r="AQ220">
            <v>166813.47828689328</v>
          </cell>
          <cell r="AR220">
            <v>30451.620182122278</v>
          </cell>
          <cell r="AS220">
            <v>135079.41318201736</v>
          </cell>
          <cell r="AT220">
            <v>184371.8572012384</v>
          </cell>
          <cell r="AV220">
            <v>6893.6153846153848</v>
          </cell>
        </row>
        <row r="221">
          <cell r="B221">
            <v>35337</v>
          </cell>
          <cell r="C221">
            <v>58713</v>
          </cell>
          <cell r="E221">
            <v>14258</v>
          </cell>
          <cell r="G221">
            <v>28992</v>
          </cell>
          <cell r="I221">
            <v>13585</v>
          </cell>
          <cell r="K221">
            <v>3386</v>
          </cell>
          <cell r="M221">
            <v>10199</v>
          </cell>
          <cell r="O221">
            <v>15016</v>
          </cell>
          <cell r="Q221">
            <v>57.922216302610551</v>
          </cell>
          <cell r="T221">
            <v>-57.323535183933359</v>
          </cell>
          <cell r="U221">
            <v>-24.111134766872468</v>
          </cell>
          <cell r="V221">
            <v>-7.136450992953236</v>
          </cell>
          <cell r="W221">
            <v>4.2034210324461085</v>
          </cell>
          <cell r="X221">
            <v>-82.098863335976731</v>
          </cell>
          <cell r="Y221">
            <v>-273.51139843484179</v>
          </cell>
          <cell r="Z221">
            <v>-14.428994757237291</v>
          </cell>
          <cell r="AA221">
            <v>8.5222135039728641</v>
          </cell>
          <cell r="AB221">
            <v>24.924549135075452</v>
          </cell>
          <cell r="AC221">
            <v>5.7670362611346722</v>
          </cell>
          <cell r="AD221">
            <v>61147.333333333336</v>
          </cell>
          <cell r="AE221">
            <v>14252.333333333334</v>
          </cell>
          <cell r="AF221">
            <v>28628.333333333332</v>
          </cell>
          <cell r="AG221">
            <v>15402.333333333334</v>
          </cell>
          <cell r="AH221">
            <v>3154</v>
          </cell>
          <cell r="AI221">
            <v>12248.333333333334</v>
          </cell>
          <cell r="AJ221">
            <v>15573</v>
          </cell>
          <cell r="AK221">
            <v>56.382694421166661</v>
          </cell>
          <cell r="AL221">
            <v>21.149888813582127</v>
          </cell>
          <cell r="AM221">
            <v>-0.50040562337154149</v>
          </cell>
          <cell r="AO221">
            <v>169353.54545668216</v>
          </cell>
          <cell r="AQ221">
            <v>166767.0801278064</v>
          </cell>
          <cell r="AR221">
            <v>33578.719840545928</v>
          </cell>
          <cell r="AS221">
            <v>131000.49349061967</v>
          </cell>
          <cell r="AT221">
            <v>179966.60405429339</v>
          </cell>
          <cell r="AV221">
            <v>8053.2307692307695</v>
          </cell>
        </row>
        <row r="222">
          <cell r="B222">
            <v>35367</v>
          </cell>
          <cell r="C222">
            <v>61630</v>
          </cell>
          <cell r="E222">
            <v>14006</v>
          </cell>
          <cell r="G222">
            <v>27433</v>
          </cell>
          <cell r="I222">
            <v>19987</v>
          </cell>
          <cell r="K222">
            <v>3285</v>
          </cell>
          <cell r="M222">
            <v>16702</v>
          </cell>
          <cell r="O222">
            <v>15733</v>
          </cell>
          <cell r="Q222">
            <v>52.309794699040232</v>
          </cell>
          <cell r="T222">
            <v>-50.687715536210078</v>
          </cell>
          <cell r="U222">
            <v>-28.957646462084707</v>
          </cell>
          <cell r="V222">
            <v>-15.33808597969324</v>
          </cell>
          <cell r="W222">
            <v>53.580759182418937</v>
          </cell>
          <cell r="X222">
            <v>-43.517881705639617</v>
          </cell>
          <cell r="Y222">
            <v>132.03667685468184</v>
          </cell>
          <cell r="Z222">
            <v>-18.439606013478482</v>
          </cell>
          <cell r="AA222">
            <v>3.8027281161709281</v>
          </cell>
          <cell r="AB222">
            <v>16.435683194076152</v>
          </cell>
          <cell r="AC222">
            <v>5.3301963329547304</v>
          </cell>
          <cell r="AD222">
            <v>61032.666666666664</v>
          </cell>
          <cell r="AE222">
            <v>14051.666666666666</v>
          </cell>
          <cell r="AF222">
            <v>28133</v>
          </cell>
          <cell r="AG222">
            <v>16953.333333333332</v>
          </cell>
          <cell r="AH222">
            <v>2991.3333333333335</v>
          </cell>
          <cell r="AI222">
            <v>13962</v>
          </cell>
          <cell r="AJ222">
            <v>15244.666666666666</v>
          </cell>
          <cell r="AK222">
            <v>57.470090945871448</v>
          </cell>
          <cell r="AL222">
            <v>18.227203773453123</v>
          </cell>
          <cell r="AM222">
            <v>-0.37846971265602725</v>
          </cell>
          <cell r="AO222">
            <v>154879.49514768465</v>
          </cell>
          <cell r="AQ222">
            <v>216083.97063224574</v>
          </cell>
          <cell r="AR222">
            <v>38909.558173784979</v>
          </cell>
          <cell r="AS222">
            <v>177712.44650089479</v>
          </cell>
          <cell r="AT222">
            <v>172826.34675919777</v>
          </cell>
          <cell r="AV222">
            <v>9790.1538461538457</v>
          </cell>
        </row>
        <row r="223">
          <cell r="B223">
            <v>35398</v>
          </cell>
          <cell r="C223">
            <v>62755</v>
          </cell>
          <cell r="E223">
            <v>13891</v>
          </cell>
          <cell r="G223">
            <v>27974</v>
          </cell>
          <cell r="I223">
            <v>17288</v>
          </cell>
          <cell r="K223">
            <v>2303</v>
          </cell>
          <cell r="M223">
            <v>14985</v>
          </cell>
          <cell r="O223">
            <v>13497</v>
          </cell>
          <cell r="Q223">
            <v>62.178261835963553</v>
          </cell>
          <cell r="T223">
            <v>-44.938230442564844</v>
          </cell>
          <cell r="U223">
            <v>-21.709970129064981</v>
          </cell>
          <cell r="V223">
            <v>-15.44808825751851</v>
          </cell>
          <cell r="W223">
            <v>13.774267851266874</v>
          </cell>
          <cell r="X223">
            <v>-71.714566445590762</v>
          </cell>
          <cell r="Y223">
            <v>112.46278179498086</v>
          </cell>
          <cell r="Z223">
            <v>-15.82787652011225</v>
          </cell>
          <cell r="AA223">
            <v>0.45120432619774054</v>
          </cell>
          <cell r="AB223">
            <v>13.321378991207775</v>
          </cell>
          <cell r="AC223">
            <v>3.6698271054099276</v>
          </cell>
          <cell r="AD223">
            <v>63478</v>
          </cell>
          <cell r="AE223">
            <v>13453.666666666666</v>
          </cell>
          <cell r="AF223">
            <v>26675.666666666668</v>
          </cell>
          <cell r="AG223">
            <v>18416.333333333332</v>
          </cell>
          <cell r="AH223">
            <v>2454</v>
          </cell>
          <cell r="AI223">
            <v>15962.333333333334</v>
          </cell>
          <cell r="AJ223">
            <v>15143.333333333334</v>
          </cell>
          <cell r="AK223">
            <v>53.579091272469434</v>
          </cell>
          <cell r="AL223">
            <v>13.208958045293079</v>
          </cell>
          <cell r="AM223">
            <v>-0.32113416571164333</v>
          </cell>
          <cell r="AO223">
            <v>170795.15285516164</v>
          </cell>
          <cell r="AQ223">
            <v>212821.54864168353</v>
          </cell>
          <cell r="AR223">
            <v>27102.084748140871</v>
          </cell>
          <cell r="AS223">
            <v>186084.3013591608</v>
          </cell>
          <cell r="AT223">
            <v>175900.54355048388</v>
          </cell>
          <cell r="AV223">
            <v>10389.153846153846</v>
          </cell>
        </row>
        <row r="224">
          <cell r="B224">
            <v>35428</v>
          </cell>
          <cell r="C224">
            <v>66049</v>
          </cell>
          <cell r="E224">
            <v>12464</v>
          </cell>
          <cell r="G224">
            <v>24620</v>
          </cell>
          <cell r="I224">
            <v>17974</v>
          </cell>
          <cell r="K224">
            <v>1774</v>
          </cell>
          <cell r="M224">
            <v>16200</v>
          </cell>
          <cell r="O224">
            <v>15970</v>
          </cell>
          <cell r="Q224">
            <v>46.249217282404508</v>
          </cell>
          <cell r="T224">
            <v>-39.382898468259285</v>
          </cell>
          <cell r="U224">
            <v>-14.271958181443011</v>
          </cell>
          <cell r="V224">
            <v>-19.447716267504255</v>
          </cell>
          <cell r="W224">
            <v>34.808370209255223</v>
          </cell>
          <cell r="X224">
            <v>-56.868465840019454</v>
          </cell>
          <cell r="Y224">
            <v>75.70498915401302</v>
          </cell>
          <cell r="Z224">
            <v>-12.870314801680394</v>
          </cell>
          <cell r="AA224">
            <v>-7.5489788019464825</v>
          </cell>
          <cell r="AB224">
            <v>9.8698119505953041</v>
          </cell>
          <cell r="AC224">
            <v>2.685884721948856</v>
          </cell>
          <cell r="AD224">
            <v>65433.333333333336</v>
          </cell>
          <cell r="AE224">
            <v>13548.333333333334</v>
          </cell>
          <cell r="AF224">
            <v>26187</v>
          </cell>
          <cell r="AG224">
            <v>18427</v>
          </cell>
          <cell r="AH224">
            <v>2905.3333333333335</v>
          </cell>
          <cell r="AI224">
            <v>15521.666666666666</v>
          </cell>
          <cell r="AJ224">
            <v>14949</v>
          </cell>
          <cell r="AK224">
            <v>56.348702672947582</v>
          </cell>
          <cell r="AL224">
            <v>15.454725535140881</v>
          </cell>
          <cell r="AM224">
            <v>-0.25539967676809405</v>
          </cell>
          <cell r="AO224">
            <v>174611.80838677482</v>
          </cell>
          <cell r="AQ224">
            <v>204005.93640598471</v>
          </cell>
          <cell r="AR224">
            <v>23792.551639063393</v>
          </cell>
          <cell r="AS224">
            <v>178790.73628237066</v>
          </cell>
          <cell r="AT224">
            <v>176149.21181609042</v>
          </cell>
          <cell r="AV224">
            <v>11092.76923076923</v>
          </cell>
        </row>
        <row r="225">
          <cell r="B225">
            <v>35459.083333333336</v>
          </cell>
          <cell r="C225">
            <v>67496</v>
          </cell>
          <cell r="E225">
            <v>14290</v>
          </cell>
          <cell r="G225">
            <v>25967</v>
          </cell>
          <cell r="I225">
            <v>20019</v>
          </cell>
          <cell r="K225">
            <v>4639</v>
          </cell>
          <cell r="M225">
            <v>15380</v>
          </cell>
          <cell r="O225">
            <v>12851</v>
          </cell>
          <cell r="Q225">
            <v>60.618628900474668</v>
          </cell>
          <cell r="T225">
            <v>-33.015094826473998</v>
          </cell>
          <cell r="U225">
            <v>-14.64070246699719</v>
          </cell>
          <cell r="V225">
            <v>-22.433312423454911</v>
          </cell>
          <cell r="W225">
            <v>25.212659494620972</v>
          </cell>
          <cell r="X225">
            <v>-33.907964097449785</v>
          </cell>
          <cell r="Y225">
            <v>71.479540639982162</v>
          </cell>
          <cell r="Z225">
            <v>-1.9980172348051606</v>
          </cell>
          <cell r="AA225">
            <v>-20.851920146974113</v>
          </cell>
          <cell r="AB225">
            <v>23.17298566361956</v>
          </cell>
          <cell r="AC225">
            <v>6.872999881474458</v>
          </cell>
          <cell r="AD225">
            <v>68231.333333333328</v>
          </cell>
          <cell r="AE225">
            <v>14010.666666666666</v>
          </cell>
          <cell r="AF225">
            <v>25728.333333333332</v>
          </cell>
          <cell r="AG225">
            <v>19517.333333333332</v>
          </cell>
          <cell r="AH225">
            <v>2784.3333333333335</v>
          </cell>
          <cell r="AI225">
            <v>16733</v>
          </cell>
          <cell r="AJ225">
            <v>15813.333333333334</v>
          </cell>
          <cell r="AK225">
            <v>54.676988916751689</v>
          </cell>
          <cell r="AL225">
            <v>14.15968474716091</v>
          </cell>
          <cell r="AM225">
            <v>-0.2225933202357564</v>
          </cell>
          <cell r="AO225">
            <v>178087.73227401447</v>
          </cell>
          <cell r="AQ225">
            <v>220579.59368002869</v>
          </cell>
          <cell r="AR225">
            <v>55562.57248357746</v>
          </cell>
          <cell r="AS225">
            <v>167003.30497768623</v>
          </cell>
          <cell r="AT225">
            <v>182223.95586638476</v>
          </cell>
          <cell r="AV225">
            <v>11566.615384615385</v>
          </cell>
        </row>
        <row r="472">
          <cell r="C472" t="str">
            <v>/ppobca19...b175~</v>
          </cell>
        </row>
        <row r="473">
          <cell r="C473" t="str">
            <v>bra2..ay6~q</v>
          </cell>
        </row>
        <row r="474">
          <cell r="C474" t="str">
            <v>rc19..j175~agp</v>
          </cell>
        </row>
        <row r="475">
          <cell r="C475" t="str">
            <v>rl19..t175~agp</v>
          </cell>
        </row>
        <row r="476">
          <cell r="C476" t="str">
            <v>rv19..ae175~agp</v>
          </cell>
        </row>
        <row r="477">
          <cell r="C477" t="str">
            <v>rat19..ay175~agp</v>
          </cell>
        </row>
        <row r="478">
          <cell r="C478" t="str">
            <v>rc186..i217~agpq</v>
          </cell>
        </row>
      </sheetData>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BCHT"/>
    </sheetNames>
    <sheetDataSet>
      <sheetData sheetId="0">
        <row r="56">
          <cell r="G56">
            <v>0.373</v>
          </cell>
          <cell r="H56">
            <v>0.79600000000000004</v>
          </cell>
          <cell r="J56">
            <v>0.26700000000000002</v>
          </cell>
        </row>
        <row r="57">
          <cell r="G57">
            <v>0.79900000000000004</v>
          </cell>
          <cell r="H57">
            <v>0.93200000000000005</v>
          </cell>
          <cell r="J57">
            <v>0.26300000000000001</v>
          </cell>
        </row>
        <row r="58">
          <cell r="G58">
            <v>1.413</v>
          </cell>
          <cell r="H58">
            <v>1.081</v>
          </cell>
          <cell r="J58">
            <v>0.26</v>
          </cell>
        </row>
        <row r="59">
          <cell r="G59">
            <v>1.7849999999999999</v>
          </cell>
          <cell r="H59">
            <v>1.282</v>
          </cell>
          <cell r="J59">
            <v>0.26700000000000002</v>
          </cell>
        </row>
        <row r="60">
          <cell r="G60">
            <v>2.1469999999999998</v>
          </cell>
          <cell r="H60">
            <v>1.351</v>
          </cell>
          <cell r="J60">
            <v>0.26500000000000001</v>
          </cell>
        </row>
        <row r="61">
          <cell r="G61">
            <v>2.2970000000000002</v>
          </cell>
          <cell r="H61">
            <v>1.423</v>
          </cell>
          <cell r="J61">
            <v>0.316</v>
          </cell>
        </row>
        <row r="62">
          <cell r="G62">
            <v>2.528</v>
          </cell>
          <cell r="H62">
            <v>1.5569999999999999</v>
          </cell>
          <cell r="J62">
            <v>0.34399999999999997</v>
          </cell>
        </row>
        <row r="63">
          <cell r="G63">
            <v>2.8860000000000001</v>
          </cell>
          <cell r="H63">
            <v>1.6519999999999999</v>
          </cell>
          <cell r="J63">
            <v>0.33900000000000002</v>
          </cell>
        </row>
        <row r="64">
          <cell r="G64">
            <v>3.3250000000000002</v>
          </cell>
          <cell r="H64">
            <v>1.734</v>
          </cell>
          <cell r="J64">
            <v>0.34799999999999998</v>
          </cell>
        </row>
        <row r="65">
          <cell r="G65">
            <v>4.1100000000000003</v>
          </cell>
          <cell r="H65">
            <v>1.804</v>
          </cell>
          <cell r="J65">
            <v>0.40600000000000003</v>
          </cell>
        </row>
        <row r="66">
          <cell r="G66">
            <v>4.3339999999999996</v>
          </cell>
          <cell r="H66">
            <v>1.881</v>
          </cell>
          <cell r="J66">
            <v>0.41399999999999998</v>
          </cell>
        </row>
        <row r="67">
          <cell r="G67">
            <v>5.0149999999999997</v>
          </cell>
          <cell r="H67">
            <v>2.089</v>
          </cell>
          <cell r="J67">
            <v>0.41599999999999998</v>
          </cell>
        </row>
        <row r="68">
          <cell r="G68">
            <v>5.6539999999999999</v>
          </cell>
          <cell r="H68">
            <v>2.2050000000000001</v>
          </cell>
          <cell r="J68">
            <v>0.52900000000000003</v>
          </cell>
        </row>
        <row r="69">
          <cell r="G69">
            <v>6.3479999999999999</v>
          </cell>
          <cell r="H69">
            <v>2.3690000000000002</v>
          </cell>
          <cell r="J69">
            <v>0.54300000000000004</v>
          </cell>
        </row>
        <row r="70">
          <cell r="G70">
            <v>6.657</v>
          </cell>
          <cell r="H70">
            <v>2.4809999999999999</v>
          </cell>
          <cell r="J70">
            <v>0.60899999999999999</v>
          </cell>
        </row>
        <row r="71">
          <cell r="G71">
            <v>6.29</v>
          </cell>
          <cell r="H71">
            <v>2.64</v>
          </cell>
          <cell r="J71">
            <v>0.60099999999999998</v>
          </cell>
        </row>
        <row r="72">
          <cell r="G72">
            <v>6.8</v>
          </cell>
          <cell r="H72">
            <v>2.7280000000000002</v>
          </cell>
          <cell r="J72">
            <v>0.66500000000000004</v>
          </cell>
        </row>
        <row r="73">
          <cell r="G73">
            <v>7.3860000000000001</v>
          </cell>
          <cell r="H73">
            <v>2.839</v>
          </cell>
          <cell r="J73">
            <v>0.67900000000000005</v>
          </cell>
        </row>
        <row r="74">
          <cell r="G74">
            <v>7.8929999999999998</v>
          </cell>
          <cell r="H74">
            <v>2.9180000000000001</v>
          </cell>
          <cell r="J74">
            <v>0.73199999999999998</v>
          </cell>
        </row>
        <row r="75">
          <cell r="G75">
            <v>8.2520000000000007</v>
          </cell>
          <cell r="H75">
            <v>3.06</v>
          </cell>
          <cell r="J75">
            <v>0.752</v>
          </cell>
        </row>
        <row r="76">
          <cell r="G76">
            <v>8.3680000000000003</v>
          </cell>
          <cell r="H76">
            <v>3.2890000000000001</v>
          </cell>
          <cell r="J76">
            <v>0.85499999999999998</v>
          </cell>
        </row>
        <row r="77">
          <cell r="G77">
            <v>9.2460000000000004</v>
          </cell>
          <cell r="H77">
            <v>3.5169999999999999</v>
          </cell>
          <cell r="J77">
            <v>0.91500000000000004</v>
          </cell>
        </row>
        <row r="78">
          <cell r="G78">
            <v>9.6609999999999996</v>
          </cell>
          <cell r="H78">
            <v>3.7719999999999998</v>
          </cell>
          <cell r="J78">
            <v>0.96499999999999997</v>
          </cell>
        </row>
        <row r="79">
          <cell r="G79">
            <v>10.346</v>
          </cell>
          <cell r="H79">
            <v>4.0030000000000001</v>
          </cell>
          <cell r="J79">
            <v>1.071</v>
          </cell>
        </row>
        <row r="80">
          <cell r="G80">
            <v>10.372999999999999</v>
          </cell>
          <cell r="H80">
            <v>4.3310000000000004</v>
          </cell>
          <cell r="J80">
            <v>1.17</v>
          </cell>
        </row>
        <row r="81">
          <cell r="G81">
            <v>11.574999999999999</v>
          </cell>
          <cell r="H81">
            <v>4.72</v>
          </cell>
          <cell r="J81">
            <v>1.252</v>
          </cell>
        </row>
        <row r="82">
          <cell r="G82">
            <v>12.305999999999999</v>
          </cell>
          <cell r="H82">
            <v>5.1139999999999999</v>
          </cell>
          <cell r="J82">
            <v>1.2809999999999999</v>
          </cell>
        </row>
        <row r="83">
          <cell r="G83">
            <v>12.275</v>
          </cell>
          <cell r="H83">
            <v>5.4329999999999998</v>
          </cell>
          <cell r="J83">
            <v>1.27</v>
          </cell>
        </row>
        <row r="84">
          <cell r="G84">
            <v>12.164999999999999</v>
          </cell>
          <cell r="H84">
            <v>5.9489999999999998</v>
          </cell>
          <cell r="J84">
            <v>1.405</v>
          </cell>
        </row>
        <row r="85">
          <cell r="G85">
            <v>13.102</v>
          </cell>
          <cell r="H85">
            <v>6.5730000000000004</v>
          </cell>
          <cell r="J85">
            <v>1.4450000000000001</v>
          </cell>
        </row>
        <row r="86">
          <cell r="G86">
            <v>14.398</v>
          </cell>
          <cell r="H86">
            <v>7.2859999999999996</v>
          </cell>
          <cell r="J86">
            <v>1.492</v>
          </cell>
        </row>
        <row r="87">
          <cell r="G87">
            <v>13.927</v>
          </cell>
          <cell r="H87">
            <v>7.7350000000000003</v>
          </cell>
          <cell r="J87">
            <v>1.5669999999999999</v>
          </cell>
        </row>
        <row r="88">
          <cell r="G88">
            <v>13.079000000000001</v>
          </cell>
          <cell r="H88">
            <v>8.6120000000000001</v>
          </cell>
          <cell r="J88">
            <v>1.2809999999999999</v>
          </cell>
        </row>
        <row r="89">
          <cell r="G89">
            <v>14.938000000000001</v>
          </cell>
          <cell r="H89">
            <v>9.7850000000000001</v>
          </cell>
          <cell r="J89">
            <v>1.3680000000000001</v>
          </cell>
        </row>
        <row r="90">
          <cell r="G90">
            <v>17.611999999999998</v>
          </cell>
          <cell r="H90">
            <v>10.571</v>
          </cell>
          <cell r="J90">
            <v>1.425</v>
          </cell>
        </row>
        <row r="91">
          <cell r="G91">
            <v>20.337</v>
          </cell>
          <cell r="H91">
            <v>11.445</v>
          </cell>
          <cell r="J91">
            <v>1.456</v>
          </cell>
        </row>
        <row r="92">
          <cell r="G92">
            <v>19.734000000000002</v>
          </cell>
          <cell r="H92">
            <v>12.164999999999999</v>
          </cell>
          <cell r="J92">
            <v>1.202</v>
          </cell>
        </row>
        <row r="93">
          <cell r="G93">
            <v>19.052</v>
          </cell>
          <cell r="H93">
            <v>13.319000000000001</v>
          </cell>
          <cell r="J93">
            <v>1.69</v>
          </cell>
        </row>
        <row r="94">
          <cell r="G94">
            <v>20.224</v>
          </cell>
          <cell r="H94">
            <v>14.24</v>
          </cell>
          <cell r="J94">
            <v>1.8720000000000001</v>
          </cell>
        </row>
        <row r="95">
          <cell r="G95">
            <v>23.123000000000001</v>
          </cell>
          <cell r="H95">
            <v>15.007999999999999</v>
          </cell>
          <cell r="J95">
            <v>1.641</v>
          </cell>
        </row>
        <row r="96">
          <cell r="G96">
            <v>26.646999999999998</v>
          </cell>
          <cell r="H96">
            <v>16.588999999999999</v>
          </cell>
          <cell r="J96">
            <v>2.1480000000000001</v>
          </cell>
        </row>
        <row r="97">
          <cell r="G97">
            <v>29.231999999999999</v>
          </cell>
          <cell r="H97">
            <v>17.643000000000001</v>
          </cell>
          <cell r="J97">
            <v>2.5049999999999999</v>
          </cell>
        </row>
        <row r="98">
          <cell r="G98">
            <v>30.74</v>
          </cell>
          <cell r="H98">
            <v>18.152000000000001</v>
          </cell>
          <cell r="J98">
            <v>2.7879999999999998</v>
          </cell>
        </row>
        <row r="99">
          <cell r="G99">
            <v>32.956000000000003</v>
          </cell>
          <cell r="H99">
            <v>19.109000000000002</v>
          </cell>
          <cell r="J99">
            <v>2.6819999999999999</v>
          </cell>
        </row>
        <row r="100">
          <cell r="G100">
            <v>33.143999999999998</v>
          </cell>
          <cell r="H100">
            <v>18.952000000000002</v>
          </cell>
          <cell r="J100">
            <v>2.8250000000000002</v>
          </cell>
        </row>
        <row r="101">
          <cell r="G101">
            <v>35.151000000000003</v>
          </cell>
          <cell r="H101">
            <v>20.364999999999998</v>
          </cell>
          <cell r="J101">
            <v>3.2050000000000001</v>
          </cell>
        </row>
        <row r="102">
          <cell r="G102">
            <v>36.154000000000003</v>
          </cell>
          <cell r="H102">
            <v>20.382000000000001</v>
          </cell>
          <cell r="J102">
            <v>3.282</v>
          </cell>
        </row>
        <row r="103">
          <cell r="G103">
            <v>37.811999999999998</v>
          </cell>
          <cell r="H103">
            <v>21.542000000000002</v>
          </cell>
          <cell r="J103">
            <v>3.4660000000000002</v>
          </cell>
        </row>
        <row r="104">
          <cell r="G104">
            <v>40.478000000000002</v>
          </cell>
          <cell r="H104">
            <v>22.6</v>
          </cell>
          <cell r="J104">
            <v>3.6269999999999998</v>
          </cell>
        </row>
        <row r="105">
          <cell r="G105">
            <v>42.378999999999998</v>
          </cell>
          <cell r="H105">
            <v>23.553000000000001</v>
          </cell>
          <cell r="J105">
            <v>4.5469999999999997</v>
          </cell>
        </row>
        <row r="106">
          <cell r="G106">
            <v>44.228000000000002</v>
          </cell>
          <cell r="H106">
            <v>24.318999999999999</v>
          </cell>
          <cell r="J106">
            <v>4.484</v>
          </cell>
        </row>
        <row r="107">
          <cell r="G107">
            <v>46.518999999999998</v>
          </cell>
          <cell r="H107">
            <v>25.803000000000001</v>
          </cell>
          <cell r="J107">
            <v>4.5</v>
          </cell>
        </row>
        <row r="108">
          <cell r="G108">
            <v>48.939</v>
          </cell>
          <cell r="H108">
            <v>26.326000000000001</v>
          </cell>
          <cell r="J108">
            <v>4.7549999999999999</v>
          </cell>
        </row>
        <row r="109">
          <cell r="G109">
            <v>52.36</v>
          </cell>
          <cell r="H109">
            <v>27.8</v>
          </cell>
          <cell r="J109">
            <v>5.2</v>
          </cell>
        </row>
        <row r="110">
          <cell r="G110">
            <v>59.5</v>
          </cell>
          <cell r="H110">
            <v>29.21</v>
          </cell>
          <cell r="J110">
            <v>5.47</v>
          </cell>
        </row>
        <row r="111">
          <cell r="G111">
            <v>64.569404000000006</v>
          </cell>
          <cell r="H111">
            <v>30.923184999999997</v>
          </cell>
          <cell r="J111">
            <v>5.7279920000000004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eChart"/>
    </sheetNames>
    <sheetDataSet>
      <sheetData sheetId="0">
        <row r="61">
          <cell r="B61" t="str">
            <v>Highway-User Revenue</v>
          </cell>
          <cell r="E61" t="str">
            <v>Capital Outlay</v>
          </cell>
          <cell r="F61">
            <v>47.616404000000003</v>
          </cell>
        </row>
        <row r="62">
          <cell r="B62" t="str">
            <v>Federal Funds</v>
          </cell>
          <cell r="E62" t="str">
            <v>Grants-In-Aid</v>
          </cell>
          <cell r="F62">
            <v>11.003898</v>
          </cell>
        </row>
        <row r="63">
          <cell r="B63" t="str">
            <v>Other</v>
          </cell>
          <cell r="E63" t="str">
            <v>Maintenance and Services</v>
          </cell>
          <cell r="F63">
            <v>12.962185</v>
          </cell>
        </row>
        <row r="64">
          <cell r="B64" t="str">
            <v>Construction Bonds</v>
          </cell>
          <cell r="E64" t="str">
            <v>Enforcement and Safety</v>
          </cell>
          <cell r="F64">
            <v>5.3345969999999996</v>
          </cell>
        </row>
        <row r="65">
          <cell r="B65" t="str">
            <v>Tolls</v>
          </cell>
          <cell r="E65" t="str">
            <v>Administration</v>
          </cell>
          <cell r="F65">
            <v>4.7962059999999997</v>
          </cell>
        </row>
        <row r="66">
          <cell r="E66" t="str">
            <v>Bond Retirement</v>
          </cell>
          <cell r="F66">
            <v>3.0659920000000001</v>
          </cell>
        </row>
        <row r="67">
          <cell r="E67" t="str">
            <v>Interest</v>
          </cell>
          <cell r="F67">
            <v>3.0286279999999999</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AR 2"/>
      <sheetName val="Inventory 3"/>
      <sheetName val="Inventory 4"/>
      <sheetName val="Market Share 5"/>
      <sheetName val="Market Share Trends 6"/>
      <sheetName val="Product Trends 7"/>
      <sheetName val="Market Share 8"/>
      <sheetName val="Market Share 9"/>
      <sheetName val="Incentives 10 "/>
      <sheetName val="Marketing Costs 11"/>
      <sheetName val="Fleet Sales 12"/>
      <sheetName val="Leasing 13 "/>
      <sheetName val="Economic Data 14"/>
      <sheetName val="Economic Data 15"/>
      <sheetName val="Production 16"/>
      <sheetName val="Capacity 17"/>
      <sheetName val="Price 18 "/>
      <sheetName val="Valuation 19 "/>
      <sheetName val="AUTODATA"/>
      <sheetName val="AUTODATA 3"/>
      <sheetName val="AUTODATA 4"/>
      <sheetName val="AUTODATA 5"/>
    </sheetNames>
    <sheetDataSet>
      <sheetData sheetId="0" refreshError="1"/>
      <sheetData sheetId="1" refreshError="1"/>
      <sheetData sheetId="2" refreshError="1">
        <row r="1">
          <cell r="D1" t="str">
            <v>J.P. Morgan Securities Inc.</v>
          </cell>
        </row>
        <row r="2">
          <cell r="D2" t="str">
            <v>Equity Research</v>
          </cell>
        </row>
        <row r="3">
          <cell r="D3" t="str">
            <v>David Bradley, CFA (1-212) 648-7291</v>
          </cell>
        </row>
        <row r="4">
          <cell r="D4" t="str">
            <v>bradley_david@jpmorgan.com</v>
          </cell>
        </row>
        <row r="6">
          <cell r="B6" t="str">
            <v>1998/1999 Monthly U.S. Dealer Inventory</v>
          </cell>
        </row>
        <row r="8">
          <cell r="C8" t="str">
            <v>Jul</v>
          </cell>
          <cell r="D8" t="str">
            <v>Aug</v>
          </cell>
          <cell r="E8" t="str">
            <v>Sep</v>
          </cell>
          <cell r="F8" t="str">
            <v>Oct</v>
          </cell>
        </row>
        <row r="9">
          <cell r="B9" t="str">
            <v>Days Supply</v>
          </cell>
        </row>
        <row r="11">
          <cell r="B11" t="str">
            <v>Light Vehicles</v>
          </cell>
        </row>
        <row r="12">
          <cell r="B12" t="str">
            <v>Normal*</v>
          </cell>
          <cell r="C12">
            <v>58.43656184200475</v>
          </cell>
          <cell r="D12">
            <v>60.194762047965746</v>
          </cell>
          <cell r="E12">
            <v>59.867025333444786</v>
          </cell>
          <cell r="F12">
            <v>67.407503838515922</v>
          </cell>
        </row>
        <row r="14">
          <cell r="B14" t="str">
            <v>Industry</v>
          </cell>
          <cell r="C14">
            <v>53.034865383550169</v>
          </cell>
          <cell r="D14">
            <v>53.952888663239619</v>
          </cell>
          <cell r="E14">
            <v>52.096649507727001</v>
          </cell>
          <cell r="F14">
            <v>56.461958560064225</v>
          </cell>
        </row>
        <row r="15">
          <cell r="B15" t="str">
            <v xml:space="preserve">  vs. norm</v>
          </cell>
          <cell r="C15">
            <v>-5</v>
          </cell>
          <cell r="D15">
            <v>-6</v>
          </cell>
          <cell r="E15">
            <v>-8</v>
          </cell>
          <cell r="F15">
            <v>-11</v>
          </cell>
        </row>
        <row r="17">
          <cell r="B17" t="str">
            <v>GM</v>
          </cell>
          <cell r="C17">
            <v>61.478135641645366</v>
          </cell>
          <cell r="D17">
            <v>73.761261244524036</v>
          </cell>
          <cell r="E17">
            <v>51.1442764567852</v>
          </cell>
          <cell r="F17">
            <v>59.290815926445077</v>
          </cell>
        </row>
        <row r="18">
          <cell r="B18" t="str">
            <v xml:space="preserve">  vs. norm</v>
          </cell>
          <cell r="C18">
            <v>3</v>
          </cell>
          <cell r="D18">
            <v>14</v>
          </cell>
          <cell r="E18">
            <v>-9</v>
          </cell>
          <cell r="F18">
            <v>-8</v>
          </cell>
        </row>
        <row r="19">
          <cell r="B19" t="str">
            <v>Ford</v>
          </cell>
          <cell r="C19">
            <v>53.120446677312948</v>
          </cell>
          <cell r="D19">
            <v>55.295408704395115</v>
          </cell>
          <cell r="E19">
            <v>53.106502122738412</v>
          </cell>
          <cell r="F19">
            <v>58.708051426794277</v>
          </cell>
        </row>
        <row r="20">
          <cell r="B20" t="str">
            <v xml:space="preserve">  vs. norm</v>
          </cell>
          <cell r="C20">
            <v>-5</v>
          </cell>
          <cell r="D20">
            <v>-5</v>
          </cell>
          <cell r="E20">
            <v>-7</v>
          </cell>
          <cell r="F20">
            <v>-8</v>
          </cell>
        </row>
        <row r="21">
          <cell r="B21" t="str">
            <v>Chrysler</v>
          </cell>
          <cell r="C21">
            <v>56.695114019163377</v>
          </cell>
          <cell r="D21">
            <v>65.384487501944022</v>
          </cell>
          <cell r="E21">
            <v>66.500334379340501</v>
          </cell>
          <cell r="F21">
            <v>65.843619434164978</v>
          </cell>
        </row>
        <row r="22">
          <cell r="B22" t="str">
            <v xml:space="preserve">  vs. norm</v>
          </cell>
          <cell r="C22">
            <v>-1</v>
          </cell>
          <cell r="D22">
            <v>5</v>
          </cell>
          <cell r="E22">
            <v>7</v>
          </cell>
          <cell r="F22">
            <v>-1</v>
          </cell>
        </row>
        <row r="24">
          <cell r="B24" t="str">
            <v>Passenger Cars</v>
          </cell>
        </row>
        <row r="25">
          <cell r="B25" t="str">
            <v>Normal*</v>
          </cell>
          <cell r="C25">
            <v>56.510204122902138</v>
          </cell>
          <cell r="D25">
            <v>57.008182832550681</v>
          </cell>
          <cell r="E25">
            <v>56.082057291846361</v>
          </cell>
          <cell r="F25">
            <v>63.999577406760608</v>
          </cell>
        </row>
        <row r="27">
          <cell r="B27" t="str">
            <v>Industry</v>
          </cell>
          <cell r="C27">
            <v>50.175554101578477</v>
          </cell>
          <cell r="D27">
            <v>48.162887107930331</v>
          </cell>
          <cell r="E27">
            <v>48.604089452763347</v>
          </cell>
          <cell r="F27">
            <v>54.534840337054518</v>
          </cell>
        </row>
        <row r="28">
          <cell r="B28" t="str">
            <v xml:space="preserve">  vs. norm</v>
          </cell>
          <cell r="C28">
            <v>-7</v>
          </cell>
          <cell r="D28">
            <v>-9</v>
          </cell>
          <cell r="E28">
            <v>-7</v>
          </cell>
          <cell r="F28">
            <v>-9</v>
          </cell>
        </row>
        <row r="30">
          <cell r="B30" t="str">
            <v>GM</v>
          </cell>
          <cell r="C30">
            <v>64.210068060580042</v>
          </cell>
          <cell r="D30">
            <v>68.332453657665923</v>
          </cell>
          <cell r="E30">
            <v>48.03528415834672</v>
          </cell>
          <cell r="F30">
            <v>57.67457089952417</v>
          </cell>
        </row>
        <row r="31">
          <cell r="B31" t="str">
            <v xml:space="preserve">  vs. norm</v>
          </cell>
          <cell r="C31">
            <v>7</v>
          </cell>
          <cell r="D31">
            <v>11</v>
          </cell>
          <cell r="E31">
            <v>-8</v>
          </cell>
          <cell r="F31">
            <v>-6</v>
          </cell>
        </row>
        <row r="32">
          <cell r="B32" t="str">
            <v>Ford</v>
          </cell>
          <cell r="C32">
            <v>50.701248799231507</v>
          </cell>
          <cell r="D32">
            <v>50.807667927167806</v>
          </cell>
          <cell r="E32">
            <v>51.385815768021423</v>
          </cell>
          <cell r="F32">
            <v>58.057398327083931</v>
          </cell>
        </row>
        <row r="33">
          <cell r="B33" t="str">
            <v xml:space="preserve">  vs. norm</v>
          </cell>
          <cell r="C33">
            <v>-6</v>
          </cell>
          <cell r="D33">
            <v>-6</v>
          </cell>
          <cell r="E33">
            <v>-5</v>
          </cell>
          <cell r="F33">
            <v>-6</v>
          </cell>
        </row>
        <row r="34">
          <cell r="B34" t="str">
            <v>Chrysler</v>
          </cell>
          <cell r="C34">
            <v>56.856187515752332</v>
          </cell>
          <cell r="D34">
            <v>64.260612564431852</v>
          </cell>
          <cell r="E34">
            <v>61.564355174993239</v>
          </cell>
          <cell r="F34">
            <v>67.385160112234445</v>
          </cell>
        </row>
        <row r="35">
          <cell r="B35" t="str">
            <v xml:space="preserve">  vs. norm</v>
          </cell>
          <cell r="C35">
            <v>0</v>
          </cell>
          <cell r="D35">
            <v>7</v>
          </cell>
          <cell r="E35">
            <v>6</v>
          </cell>
          <cell r="F35">
            <v>3</v>
          </cell>
        </row>
        <row r="37">
          <cell r="B37" t="str">
            <v>Light Trucks</v>
          </cell>
        </row>
        <row r="38">
          <cell r="B38" t="str">
            <v>Normal*</v>
          </cell>
          <cell r="C38">
            <v>61.517692090631364</v>
          </cell>
          <cell r="D38">
            <v>65.348342769109365</v>
          </cell>
          <cell r="E38">
            <v>66.108266530746292</v>
          </cell>
          <cell r="F38">
            <v>73.534658805556873</v>
          </cell>
        </row>
        <row r="40">
          <cell r="B40" t="str">
            <v>Industry</v>
          </cell>
          <cell r="C40">
            <v>56.106618094324062</v>
          </cell>
          <cell r="D40">
            <v>61.010780332888594</v>
          </cell>
          <cell r="E40">
            <v>56.127995078084837</v>
          </cell>
          <cell r="F40">
            <v>58.556685647325921</v>
          </cell>
        </row>
        <row r="41">
          <cell r="B41" t="str">
            <v xml:space="preserve">  vs. norm</v>
          </cell>
          <cell r="C41">
            <v>-6</v>
          </cell>
          <cell r="D41">
            <v>-4</v>
          </cell>
          <cell r="E41">
            <v>-10</v>
          </cell>
          <cell r="F41">
            <v>-15</v>
          </cell>
        </row>
        <row r="43">
          <cell r="B43" t="str">
            <v>GM</v>
          </cell>
          <cell r="C43">
            <v>58.705011903465241</v>
          </cell>
          <cell r="D43">
            <v>81.348002316155188</v>
          </cell>
          <cell r="E43">
            <v>55.483886686035532</v>
          </cell>
          <cell r="F43">
            <v>61.346228142935878</v>
          </cell>
        </row>
        <row r="44">
          <cell r="B44" t="str">
            <v xml:space="preserve">  vs. norm</v>
          </cell>
          <cell r="C44">
            <v>-3</v>
          </cell>
          <cell r="D44">
            <v>16</v>
          </cell>
          <cell r="E44">
            <v>-11</v>
          </cell>
          <cell r="F44">
            <v>-13</v>
          </cell>
        </row>
        <row r="45">
          <cell r="B45" t="str">
            <v>Ford</v>
          </cell>
          <cell r="C45">
            <v>54.695755102826404</v>
          </cell>
          <cell r="D45">
            <v>58.554654220839353</v>
          </cell>
          <cell r="E45">
            <v>54.342993728849905</v>
          </cell>
          <cell r="F45">
            <v>59.154407036219908</v>
          </cell>
        </row>
        <row r="46">
          <cell r="B46" t="str">
            <v xml:space="preserve">  vs. norm</v>
          </cell>
          <cell r="C46">
            <v>-7</v>
          </cell>
          <cell r="D46">
            <v>-6</v>
          </cell>
          <cell r="E46">
            <v>-12</v>
          </cell>
          <cell r="F46">
            <v>-15</v>
          </cell>
        </row>
        <row r="47">
          <cell r="B47" t="str">
            <v>Chrysler</v>
          </cell>
          <cell r="C47">
            <v>56.629679938294778</v>
          </cell>
          <cell r="D47">
            <v>65.877323993643245</v>
          </cell>
          <cell r="E47">
            <v>68.857698827142201</v>
          </cell>
          <cell r="F47">
            <v>65.189818662636938</v>
          </cell>
        </row>
        <row r="48">
          <cell r="B48" t="str">
            <v xml:space="preserve">  vs. norm</v>
          </cell>
          <cell r="C48">
            <v>-5</v>
          </cell>
          <cell r="D48">
            <v>1</v>
          </cell>
          <cell r="E48">
            <v>3</v>
          </cell>
          <cell r="F48">
            <v>-9</v>
          </cell>
        </row>
        <row r="50">
          <cell r="B50" t="str">
            <v>Units Supply</v>
          </cell>
        </row>
        <row r="52">
          <cell r="B52" t="str">
            <v>Light Vehicles</v>
          </cell>
        </row>
        <row r="53">
          <cell r="B53" t="str">
            <v>Industry</v>
          </cell>
          <cell r="C53">
            <v>2504.1350000000002</v>
          </cell>
          <cell r="D53">
            <v>2550.4070000000002</v>
          </cell>
          <cell r="E53">
            <v>2663.2869999999998</v>
          </cell>
          <cell r="F53">
            <v>2860.3440000000001</v>
          </cell>
        </row>
        <row r="55">
          <cell r="B55" t="str">
            <v>GM</v>
          </cell>
          <cell r="C55">
            <v>612.43100000000004</v>
          </cell>
          <cell r="D55">
            <v>763.51700000000005</v>
          </cell>
          <cell r="E55">
            <v>804.702</v>
          </cell>
          <cell r="F55">
            <v>896.11699999999996</v>
          </cell>
        </row>
        <row r="56">
          <cell r="B56" t="str">
            <v>Ford</v>
          </cell>
          <cell r="C56">
            <v>701.1</v>
          </cell>
          <cell r="D56">
            <v>693.8</v>
          </cell>
          <cell r="E56">
            <v>698</v>
          </cell>
          <cell r="F56">
            <v>741.1</v>
          </cell>
        </row>
        <row r="57">
          <cell r="B57" t="str">
            <v>Chrysler</v>
          </cell>
          <cell r="C57">
            <v>449.23899999999998</v>
          </cell>
          <cell r="D57">
            <v>468.93</v>
          </cell>
          <cell r="E57">
            <v>517.08000000000004</v>
          </cell>
          <cell r="F57">
            <v>551.572</v>
          </cell>
        </row>
        <row r="58">
          <cell r="B58" t="str">
            <v>Source: Ward's Automotive Reports and Autodata Corp.</v>
          </cell>
        </row>
        <row r="59">
          <cell r="B59" t="str">
            <v>* Industry average for 1988-1997.</v>
          </cell>
        </row>
        <row r="60">
          <cell r="B60" t="str">
            <v>Big 3 Lt. Vehicle Over/Under</v>
          </cell>
          <cell r="C60">
            <v>-1.726398264583878</v>
          </cell>
          <cell r="D60">
            <v>3.8635092297865938</v>
          </cell>
          <cell r="E60">
            <v>-4.7614622356758716</v>
          </cell>
          <cell r="F60">
            <v>-6.8004177161209398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1">
          <cell r="E1" t="str">
            <v>J.P. Morgan Securities Inc.</v>
          </cell>
        </row>
        <row r="2">
          <cell r="E2" t="str">
            <v>Equity Research</v>
          </cell>
        </row>
        <row r="3">
          <cell r="E3" t="str">
            <v>David Bradley, CFA (1-212) 648-7291</v>
          </cell>
        </row>
        <row r="4">
          <cell r="E4" t="str">
            <v>bradley_david@jpmorgan.com</v>
          </cell>
        </row>
        <row r="6">
          <cell r="E6" t="str">
            <v>Production Schedules</v>
          </cell>
        </row>
        <row r="8">
          <cell r="E8" t="str">
            <v>Actual and Scheduled Production  (000s)</v>
          </cell>
        </row>
        <row r="9">
          <cell r="F9">
            <v>1997</v>
          </cell>
          <cell r="I9">
            <v>1998</v>
          </cell>
          <cell r="O9">
            <v>1999</v>
          </cell>
        </row>
        <row r="10">
          <cell r="F10" t="str">
            <v>4Q</v>
          </cell>
          <cell r="G10" t="str">
            <v>Year</v>
          </cell>
          <cell r="I10" t="str">
            <v>1Q</v>
          </cell>
          <cell r="J10" t="str">
            <v>2Q</v>
          </cell>
          <cell r="K10" t="str">
            <v>3Q</v>
          </cell>
          <cell r="L10" t="str">
            <v>4Q</v>
          </cell>
          <cell r="M10" t="str">
            <v>Year</v>
          </cell>
          <cell r="O10" t="str">
            <v>1Q</v>
          </cell>
          <cell r="P10" t="str">
            <v>2Q</v>
          </cell>
        </row>
        <row r="11">
          <cell r="E11" t="str">
            <v xml:space="preserve">General Motors (as of 7/8/99)    </v>
          </cell>
        </row>
        <row r="12">
          <cell r="E12" t="str">
            <v>N.Am. Cars</v>
          </cell>
          <cell r="F12">
            <v>765</v>
          </cell>
          <cell r="G12">
            <v>2371</v>
          </cell>
          <cell r="I12">
            <v>673</v>
          </cell>
          <cell r="J12">
            <v>615</v>
          </cell>
          <cell r="K12">
            <v>592</v>
          </cell>
          <cell r="L12">
            <v>819</v>
          </cell>
          <cell r="M12">
            <v>2699</v>
          </cell>
          <cell r="O12">
            <v>781</v>
          </cell>
          <cell r="P12">
            <v>760</v>
          </cell>
        </row>
        <row r="13">
          <cell r="E13" t="str">
            <v>N.Am. Trucks</v>
          </cell>
          <cell r="F13">
            <v>693</v>
          </cell>
          <cell r="G13">
            <v>1988</v>
          </cell>
          <cell r="I13">
            <v>702</v>
          </cell>
          <cell r="J13">
            <v>557</v>
          </cell>
          <cell r="K13">
            <v>410</v>
          </cell>
          <cell r="L13">
            <v>691</v>
          </cell>
          <cell r="M13">
            <v>2360</v>
          </cell>
          <cell r="O13">
            <v>725</v>
          </cell>
          <cell r="P13">
            <v>795</v>
          </cell>
        </row>
        <row r="14">
          <cell r="E14" t="str">
            <v xml:space="preserve">     Total N.Am.</v>
          </cell>
          <cell r="F14">
            <v>1458</v>
          </cell>
          <cell r="G14">
            <v>4359</v>
          </cell>
          <cell r="I14">
            <v>1375</v>
          </cell>
          <cell r="J14">
            <v>1172</v>
          </cell>
          <cell r="K14">
            <v>1002</v>
          </cell>
          <cell r="L14">
            <v>1510</v>
          </cell>
          <cell r="M14">
            <v>5059</v>
          </cell>
          <cell r="O14">
            <v>1506</v>
          </cell>
          <cell r="P14">
            <v>1555</v>
          </cell>
        </row>
        <row r="15">
          <cell r="E15" t="str">
            <v>International</v>
          </cell>
          <cell r="F15">
            <v>638</v>
          </cell>
          <cell r="G15">
            <v>1925</v>
          </cell>
          <cell r="I15">
            <v>597</v>
          </cell>
          <cell r="J15">
            <v>643</v>
          </cell>
          <cell r="K15">
            <v>621</v>
          </cell>
          <cell r="L15">
            <v>639</v>
          </cell>
          <cell r="M15">
            <v>2500</v>
          </cell>
          <cell r="O15">
            <v>567</v>
          </cell>
          <cell r="P15">
            <v>667</v>
          </cell>
        </row>
        <row r="16">
          <cell r="E16" t="str">
            <v xml:space="preserve">     Total</v>
          </cell>
          <cell r="F16">
            <v>2096</v>
          </cell>
          <cell r="G16">
            <v>6284</v>
          </cell>
          <cell r="I16">
            <v>1972</v>
          </cell>
          <cell r="J16">
            <v>1815</v>
          </cell>
          <cell r="K16">
            <v>1623</v>
          </cell>
          <cell r="L16">
            <v>2149</v>
          </cell>
          <cell r="M16">
            <v>7559</v>
          </cell>
          <cell r="O16">
            <v>2073</v>
          </cell>
          <cell r="P16">
            <v>2222</v>
          </cell>
        </row>
        <row r="17">
          <cell r="E17" t="str">
            <v>% Trucks-N.Am.</v>
          </cell>
          <cell r="F17">
            <v>0.47530864197530864</v>
          </cell>
          <cell r="G17">
            <v>0.45606790548290893</v>
          </cell>
          <cell r="I17">
            <v>0.51054545454545452</v>
          </cell>
          <cell r="J17">
            <v>0.47525597269624575</v>
          </cell>
          <cell r="K17">
            <v>0.40918163672654689</v>
          </cell>
          <cell r="L17">
            <v>0.45761589403973507</v>
          </cell>
          <cell r="M17">
            <v>0.4664953548132042</v>
          </cell>
          <cell r="O17">
            <v>0.48140770252324039</v>
          </cell>
          <cell r="P17">
            <v>0.5112540192926045</v>
          </cell>
        </row>
        <row r="18">
          <cell r="E18" t="str">
            <v>Ford (as of 8/3/99)</v>
          </cell>
        </row>
        <row r="19">
          <cell r="E19" t="str">
            <v>N.Am. Cars</v>
          </cell>
          <cell r="F19">
            <v>407</v>
          </cell>
          <cell r="G19">
            <v>1266</v>
          </cell>
          <cell r="I19">
            <v>422</v>
          </cell>
          <cell r="J19">
            <v>461</v>
          </cell>
          <cell r="K19">
            <v>390</v>
          </cell>
          <cell r="L19">
            <v>428</v>
          </cell>
          <cell r="M19">
            <v>1701</v>
          </cell>
          <cell r="O19">
            <v>420</v>
          </cell>
          <cell r="P19">
            <v>487</v>
          </cell>
        </row>
        <row r="20">
          <cell r="E20" t="str">
            <v>N.Am. Trucks</v>
          </cell>
          <cell r="F20">
            <v>665</v>
          </cell>
          <cell r="G20">
            <v>2100</v>
          </cell>
          <cell r="I20">
            <v>633</v>
          </cell>
          <cell r="J20">
            <v>741</v>
          </cell>
          <cell r="K20">
            <v>583</v>
          </cell>
          <cell r="L20">
            <v>711</v>
          </cell>
          <cell r="M20">
            <v>2668</v>
          </cell>
          <cell r="O20">
            <v>781</v>
          </cell>
          <cell r="P20">
            <v>772</v>
          </cell>
        </row>
        <row r="21">
          <cell r="E21" t="str">
            <v>Mex. Cars &amp; Trks</v>
          </cell>
          <cell r="F21">
            <v>15</v>
          </cell>
          <cell r="G21">
            <v>36</v>
          </cell>
          <cell r="I21">
            <v>10</v>
          </cell>
          <cell r="J21">
            <v>11</v>
          </cell>
          <cell r="K21">
            <v>12</v>
          </cell>
          <cell r="L21">
            <v>9</v>
          </cell>
          <cell r="M21">
            <v>42</v>
          </cell>
          <cell r="O21">
            <v>10</v>
          </cell>
          <cell r="P21">
            <v>13</v>
          </cell>
        </row>
        <row r="22">
          <cell r="E22" t="str">
            <v>Imports</v>
          </cell>
          <cell r="F22">
            <v>5</v>
          </cell>
          <cell r="G22">
            <v>36</v>
          </cell>
          <cell r="I22">
            <v>5</v>
          </cell>
          <cell r="J22">
            <v>10</v>
          </cell>
          <cell r="K22">
            <v>7</v>
          </cell>
          <cell r="L22">
            <v>8</v>
          </cell>
          <cell r="M22">
            <v>30</v>
          </cell>
          <cell r="O22">
            <v>6</v>
          </cell>
          <cell r="P22">
            <v>13</v>
          </cell>
        </row>
        <row r="23">
          <cell r="E23" t="str">
            <v xml:space="preserve">     Total N.Am.</v>
          </cell>
          <cell r="F23">
            <v>1092</v>
          </cell>
          <cell r="G23">
            <v>3438</v>
          </cell>
          <cell r="I23">
            <v>1070</v>
          </cell>
          <cell r="J23">
            <v>1223</v>
          </cell>
          <cell r="K23">
            <v>992</v>
          </cell>
          <cell r="L23">
            <v>1156</v>
          </cell>
          <cell r="M23">
            <v>4441</v>
          </cell>
          <cell r="O23">
            <v>1217</v>
          </cell>
          <cell r="P23">
            <v>1285</v>
          </cell>
        </row>
        <row r="24">
          <cell r="E24" t="str">
            <v>International</v>
          </cell>
          <cell r="F24">
            <v>666</v>
          </cell>
          <cell r="G24">
            <v>1920</v>
          </cell>
          <cell r="I24">
            <v>664</v>
          </cell>
          <cell r="J24">
            <v>664</v>
          </cell>
          <cell r="K24">
            <v>487</v>
          </cell>
          <cell r="L24">
            <v>586</v>
          </cell>
          <cell r="M24">
            <v>2401</v>
          </cell>
          <cell r="O24">
            <v>562</v>
          </cell>
          <cell r="P24">
            <v>598</v>
          </cell>
        </row>
        <row r="25">
          <cell r="A25" t="str">
            <v>3Q Worldwide Change</v>
          </cell>
          <cell r="E25" t="str">
            <v>N.Am. Exports</v>
          </cell>
          <cell r="F25">
            <v>7</v>
          </cell>
          <cell r="G25">
            <v>29</v>
          </cell>
          <cell r="I25">
            <v>6</v>
          </cell>
          <cell r="J25">
            <v>6</v>
          </cell>
          <cell r="K25">
            <v>9</v>
          </cell>
          <cell r="L25">
            <v>17</v>
          </cell>
          <cell r="M25">
            <v>38</v>
          </cell>
          <cell r="O25">
            <v>10</v>
          </cell>
          <cell r="P25">
            <v>12</v>
          </cell>
        </row>
        <row r="26">
          <cell r="A26" t="str">
            <v>(versus 7/16/99 issue)</v>
          </cell>
          <cell r="E26" t="str">
            <v xml:space="preserve">     Total</v>
          </cell>
          <cell r="F26">
            <v>1758</v>
          </cell>
          <cell r="G26">
            <v>5358</v>
          </cell>
          <cell r="I26">
            <v>1734</v>
          </cell>
          <cell r="J26">
            <v>1887</v>
          </cell>
          <cell r="K26">
            <v>1479</v>
          </cell>
          <cell r="L26">
            <v>1742</v>
          </cell>
          <cell r="M26">
            <v>6842</v>
          </cell>
          <cell r="O26">
            <v>1779</v>
          </cell>
          <cell r="P26">
            <v>1883</v>
          </cell>
        </row>
        <row r="27">
          <cell r="E27" t="str">
            <v>% Trucks-N.Am.</v>
          </cell>
          <cell r="F27">
            <v>0.60897435897435892</v>
          </cell>
          <cell r="G27">
            <v>0.61082024432809778</v>
          </cell>
          <cell r="I27">
            <v>0.59158878504672896</v>
          </cell>
          <cell r="J27">
            <v>0.60588716271463616</v>
          </cell>
          <cell r="K27">
            <v>0.58770161290322576</v>
          </cell>
          <cell r="L27">
            <v>0.61505190311418689</v>
          </cell>
          <cell r="M27">
            <v>0.60076559333483448</v>
          </cell>
          <cell r="O27">
            <v>0.64174198849630237</v>
          </cell>
          <cell r="P27">
            <v>0.60077821011673149</v>
          </cell>
        </row>
        <row r="28">
          <cell r="E28" t="str">
            <v>Chrysler (as of 8/11/99)</v>
          </cell>
        </row>
        <row r="29">
          <cell r="E29" t="str">
            <v>N.Am. Cars</v>
          </cell>
          <cell r="F29">
            <v>192.5</v>
          </cell>
          <cell r="G29">
            <v>643</v>
          </cell>
          <cell r="I29">
            <v>224.2</v>
          </cell>
          <cell r="J29">
            <v>241.4</v>
          </cell>
          <cell r="K29">
            <v>204.7</v>
          </cell>
          <cell r="L29">
            <v>195.9</v>
          </cell>
          <cell r="M29">
            <v>866.19999999999993</v>
          </cell>
          <cell r="O29">
            <v>206.8</v>
          </cell>
          <cell r="P29">
            <v>234</v>
          </cell>
        </row>
        <row r="30">
          <cell r="E30" t="str">
            <v>N.Am. Trucks</v>
          </cell>
          <cell r="F30">
            <v>520</v>
          </cell>
          <cell r="G30">
            <v>1490.1999999999998</v>
          </cell>
          <cell r="I30">
            <v>556</v>
          </cell>
          <cell r="J30">
            <v>551</v>
          </cell>
          <cell r="K30">
            <v>428</v>
          </cell>
          <cell r="L30">
            <v>511.1</v>
          </cell>
          <cell r="M30">
            <v>2046.1</v>
          </cell>
          <cell r="O30">
            <v>603</v>
          </cell>
          <cell r="P30">
            <v>586</v>
          </cell>
        </row>
        <row r="31">
          <cell r="E31" t="str">
            <v>Imports</v>
          </cell>
          <cell r="F31">
            <v>0</v>
          </cell>
          <cell r="G31">
            <v>0</v>
          </cell>
          <cell r="I31">
            <v>0</v>
          </cell>
          <cell r="J31">
            <v>0</v>
          </cell>
          <cell r="K31">
            <v>0</v>
          </cell>
          <cell r="L31">
            <v>0</v>
          </cell>
          <cell r="M31">
            <v>0</v>
          </cell>
          <cell r="O31">
            <v>0</v>
          </cell>
          <cell r="P31">
            <v>0</v>
          </cell>
        </row>
        <row r="32">
          <cell r="E32" t="str">
            <v>Diamond Star</v>
          </cell>
          <cell r="F32">
            <v>13.5</v>
          </cell>
          <cell r="G32">
            <v>63.199999999999996</v>
          </cell>
          <cell r="I32">
            <v>19.899999999999999</v>
          </cell>
          <cell r="J32">
            <v>20.6</v>
          </cell>
          <cell r="K32">
            <v>11.7</v>
          </cell>
          <cell r="L32">
            <v>8.8000000000000007</v>
          </cell>
          <cell r="M32">
            <v>61</v>
          </cell>
          <cell r="O32">
            <v>14</v>
          </cell>
          <cell r="P32">
            <v>12.6</v>
          </cell>
        </row>
        <row r="33">
          <cell r="E33" t="str">
            <v xml:space="preserve">     Total N.Am.</v>
          </cell>
          <cell r="F33">
            <v>726</v>
          </cell>
          <cell r="G33">
            <v>2196.3999999999996</v>
          </cell>
          <cell r="I33">
            <v>800.1</v>
          </cell>
          <cell r="J33">
            <v>813</v>
          </cell>
          <cell r="K33">
            <v>644.40000000000009</v>
          </cell>
          <cell r="L33">
            <v>715.8</v>
          </cell>
          <cell r="M33">
            <v>2973.2999999999997</v>
          </cell>
          <cell r="O33">
            <v>823.8</v>
          </cell>
          <cell r="P33">
            <v>832.6</v>
          </cell>
        </row>
        <row r="34">
          <cell r="E34" t="str">
            <v>International</v>
          </cell>
          <cell r="F34">
            <v>20.6</v>
          </cell>
          <cell r="G34">
            <v>66.900000000000006</v>
          </cell>
          <cell r="I34">
            <v>22.1</v>
          </cell>
          <cell r="J34">
            <v>18.5</v>
          </cell>
          <cell r="K34">
            <v>16.600000000000001</v>
          </cell>
          <cell r="L34">
            <v>17.100000000000001</v>
          </cell>
          <cell r="M34">
            <v>74.300000000000011</v>
          </cell>
          <cell r="O34">
            <v>14</v>
          </cell>
          <cell r="P34">
            <v>24</v>
          </cell>
        </row>
        <row r="35">
          <cell r="E35" t="str">
            <v xml:space="preserve">     Total</v>
          </cell>
          <cell r="F35">
            <v>746.6</v>
          </cell>
          <cell r="G35">
            <v>2263.2999999999997</v>
          </cell>
          <cell r="I35">
            <v>822.2</v>
          </cell>
          <cell r="J35">
            <v>831.5</v>
          </cell>
          <cell r="K35">
            <v>661.00000000000011</v>
          </cell>
          <cell r="L35">
            <v>732.9</v>
          </cell>
          <cell r="M35">
            <v>3047.6</v>
          </cell>
          <cell r="O35">
            <v>837.8</v>
          </cell>
          <cell r="P35">
            <v>856.6</v>
          </cell>
        </row>
        <row r="36">
          <cell r="A36" t="str">
            <v>3Q N. Am. Change (yoy)</v>
          </cell>
          <cell r="E36" t="str">
            <v>% Trucks-N.Am.</v>
          </cell>
          <cell r="F36">
            <v>0.71625344352617082</v>
          </cell>
          <cell r="G36">
            <v>0.67847386632671647</v>
          </cell>
          <cell r="I36">
            <v>0.69491313585801773</v>
          </cell>
          <cell r="J36">
            <v>0.67773677736777371</v>
          </cell>
          <cell r="K36">
            <v>0.66418373680943499</v>
          </cell>
          <cell r="L36">
            <v>0.71402626431964245</v>
          </cell>
          <cell r="M36">
            <v>0.6881579389903475</v>
          </cell>
          <cell r="O36">
            <v>0.73197378004369995</v>
          </cell>
          <cell r="P36">
            <v>0.70381936103771314</v>
          </cell>
        </row>
        <row r="38">
          <cell r="E38" t="str">
            <v>Big 3 N. Amer.</v>
          </cell>
          <cell r="F38">
            <v>3276</v>
          </cell>
          <cell r="G38">
            <v>9993.4</v>
          </cell>
          <cell r="I38">
            <v>3245.1</v>
          </cell>
          <cell r="J38">
            <v>3208</v>
          </cell>
          <cell r="K38">
            <v>2638.4</v>
          </cell>
          <cell r="L38">
            <v>3381.8</v>
          </cell>
          <cell r="M38">
            <v>12473.3</v>
          </cell>
          <cell r="O38">
            <v>3546.8</v>
          </cell>
          <cell r="P38">
            <v>3672.6</v>
          </cell>
        </row>
        <row r="40">
          <cell r="E40" t="str">
            <v>Change versus 7/16/99 issue (worldwide)</v>
          </cell>
        </row>
        <row r="41">
          <cell r="E41" t="str">
            <v>GM</v>
          </cell>
          <cell r="P41">
            <v>-12</v>
          </cell>
        </row>
        <row r="42">
          <cell r="E42" t="str">
            <v>Ford</v>
          </cell>
          <cell r="P42">
            <v>2</v>
          </cell>
        </row>
        <row r="43">
          <cell r="E43" t="str">
            <v>Chrysler</v>
          </cell>
          <cell r="P43">
            <v>-1.3999999999999773</v>
          </cell>
        </row>
        <row r="44">
          <cell r="E44" t="str">
            <v xml:space="preserve">     Total</v>
          </cell>
          <cell r="P44">
            <v>-11.399999999999977</v>
          </cell>
        </row>
        <row r="46">
          <cell r="E46" t="str">
            <v>Versus prior year</v>
          </cell>
        </row>
        <row r="47">
          <cell r="A47" t="str">
            <v>3Q Worldwide Change (yoy)</v>
          </cell>
          <cell r="E47" t="str">
            <v>North America</v>
          </cell>
        </row>
        <row r="48">
          <cell r="E48" t="str">
            <v>GM</v>
          </cell>
          <cell r="F48">
            <v>0.22418136020151125</v>
          </cell>
          <cell r="G48">
            <v>-0.16443030210090481</v>
          </cell>
          <cell r="H48">
            <v>-0.16443030210090481</v>
          </cell>
          <cell r="I48">
            <v>-4.6463245492371685E-2</v>
          </cell>
          <cell r="J48">
            <v>-0.19671007539410557</v>
          </cell>
          <cell r="K48">
            <v>-0.21040189125295505</v>
          </cell>
          <cell r="L48">
            <v>3.5665294924554169E-2</v>
          </cell>
          <cell r="M48">
            <v>0.16058729066299615</v>
          </cell>
          <cell r="O48">
            <v>9.5272727272727176E-2</v>
          </cell>
          <cell r="P48">
            <v>0.32679180887372006</v>
          </cell>
        </row>
        <row r="49">
          <cell r="E49" t="str">
            <v>Ford</v>
          </cell>
          <cell r="F49">
            <v>2.3430178069353325E-2</v>
          </cell>
          <cell r="G49">
            <v>-0.21417142857142857</v>
          </cell>
          <cell r="H49">
            <v>-0.21417142857142857</v>
          </cell>
          <cell r="I49">
            <v>-1.1090573012939031E-2</v>
          </cell>
          <cell r="J49">
            <v>-3.2436708860759444E-2</v>
          </cell>
          <cell r="K49">
            <v>-2.5923016496465001E-2</v>
          </cell>
          <cell r="L49">
            <v>5.8608058608058622E-2</v>
          </cell>
          <cell r="M49">
            <v>0.29173938336242</v>
          </cell>
          <cell r="O49">
            <v>0.13738317757009355</v>
          </cell>
          <cell r="P49">
            <v>5.0695012264922346E-2</v>
          </cell>
        </row>
        <row r="50">
          <cell r="E50" t="str">
            <v>Chrysler</v>
          </cell>
          <cell r="F50">
            <v>2.9787234042553123E-2</v>
          </cell>
          <cell r="G50">
            <v>-0.22632005354186491</v>
          </cell>
          <cell r="H50">
            <v>-0.22632005354186491</v>
          </cell>
          <cell r="I50">
            <v>5.1517939282428982E-2</v>
          </cell>
          <cell r="J50">
            <v>0.14587737843551807</v>
          </cell>
          <cell r="K50">
            <v>0.13490665727368811</v>
          </cell>
          <cell r="L50">
            <v>-1.4049586776859524E-2</v>
          </cell>
          <cell r="M50">
            <v>0.35371517027863786</v>
          </cell>
          <cell r="O50">
            <v>2.9621297337832697E-2</v>
          </cell>
          <cell r="P50">
            <v>2.4108241082410942E-2</v>
          </cell>
        </row>
        <row r="51">
          <cell r="E51" t="str">
            <v xml:space="preserve">     Total</v>
          </cell>
          <cell r="F51">
            <v>0.10563617954775562</v>
          </cell>
          <cell r="G51">
            <v>-0.19607101772225222</v>
          </cell>
          <cell r="H51">
            <v>-0.19607101772225222</v>
          </cell>
          <cell r="I51">
            <v>-1.2116046150567716E-2</v>
          </cell>
          <cell r="J51">
            <v>-6.5404224326292781E-2</v>
          </cell>
          <cell r="K51">
            <v>-7.5931633510787244E-2</v>
          </cell>
          <cell r="L51">
            <v>3.2295482295482403E-2</v>
          </cell>
          <cell r="M51">
            <v>0.24815378149578726</v>
          </cell>
          <cell r="O51">
            <v>9.2970940803057012E-2</v>
          </cell>
          <cell r="P51">
            <v>0.1448254364089776</v>
          </cell>
        </row>
        <row r="52">
          <cell r="E52" t="str">
            <v>Worldwide</v>
          </cell>
        </row>
        <row r="53">
          <cell r="E53" t="str">
            <v>GM</v>
          </cell>
          <cell r="F53">
            <v>0.15101592531576058</v>
          </cell>
          <cell r="G53">
            <v>-0.18302607972126161</v>
          </cell>
          <cell r="H53">
            <v>-0.18302607972126161</v>
          </cell>
          <cell r="I53">
            <v>-3.2859244727807768E-2</v>
          </cell>
          <cell r="J53">
            <v>-0.15542112610516523</v>
          </cell>
          <cell r="K53">
            <v>-0.15203761755485889</v>
          </cell>
          <cell r="L53">
            <v>2.5286259541984712E-2</v>
          </cell>
          <cell r="M53">
            <v>0.20289624443029908</v>
          </cell>
          <cell r="O53">
            <v>5.1217038539553839E-2</v>
          </cell>
          <cell r="P53">
            <v>0.22424242424242413</v>
          </cell>
        </row>
      </sheetData>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solidated Data - Monthly"/>
      <sheetName val="Consolidated Data - Quarterly"/>
      <sheetName val="Consolidated Data - Yearly"/>
      <sheetName val="1999E Segment Charts"/>
      <sheetName val="NAPM"/>
      <sheetName val="global econ."/>
      <sheetName val="Utilization, ppi,cpi"/>
      <sheetName val="Leading Indicators"/>
      <sheetName val="capgoodsorders"/>
      <sheetName val="Capex"/>
      <sheetName val="Exposure"/>
      <sheetName val="JPM currency index"/>
      <sheetName val="Currency Rate"/>
      <sheetName val="Foreign Currency Charts"/>
      <sheetName val="Airline RPMs"/>
      <sheetName val="Aerospace "/>
      <sheetName val="BizJet"/>
      <sheetName val="Regional Airlines"/>
      <sheetName val="Helicopters"/>
      <sheetName val="Defense"/>
      <sheetName val="Autos"/>
      <sheetName val="Heavy Trucks"/>
      <sheetName val="Chemicals Prices"/>
      <sheetName val="Specialty chemicals"/>
      <sheetName val="Soda Ash "/>
      <sheetName val="Soda Ash Exports"/>
      <sheetName val="Nylon Graphs"/>
      <sheetName val="Nylon data"/>
      <sheetName val="spec. chem index"/>
      <sheetName val="Construction"/>
      <sheetName val="HVAC"/>
      <sheetName val="elec. &amp; semiconductors"/>
      <sheetName val="PCB, book to bill"/>
      <sheetName val="Elec Comp"/>
      <sheetName val="Fiber Optics"/>
      <sheetName val="Pumps and valves"/>
      <sheetName val="Process Controls Ticker"/>
      <sheetName val="Anal. Instru."/>
      <sheetName val="precision instruments"/>
      <sheetName val="Finance"/>
      <sheetName val="Com Fin Index"/>
      <sheetName val="oil Background"/>
      <sheetName val="Oil Forecast"/>
      <sheetName val="Natural Gas"/>
      <sheetName val="Natural Gas Forecast"/>
      <sheetName val="Transportation"/>
      <sheetName val="Trans"/>
      <sheetName val="CPI"/>
      <sheetName val="Population"/>
      <sheetName val="hand tools"/>
      <sheetName val="Fasteners"/>
      <sheetName val="Semiconductor sales forecasts"/>
      <sheetName val="Elec. Mkt. Trends Data"/>
      <sheetName val="Summary base sa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5"/>
      <sheetName val="Sheet12"/>
      <sheetName val="Aopseg"/>
      <sheetName val="Financial Value"/>
      <sheetName val="SupCalc"/>
      <sheetName val="Qassume"/>
      <sheetName val="MWise"/>
      <sheetName val="SummaryQopseg"/>
      <sheetName val="Seg2"/>
      <sheetName val="SegDetail"/>
      <sheetName val="Aassume"/>
      <sheetName val="IS"/>
      <sheetName val="BS"/>
      <sheetName val="ROIC"/>
      <sheetName val="Qopseg"/>
      <sheetName val="CF"/>
      <sheetName val="Debt"/>
      <sheetName val="Comps"/>
      <sheetName val="Value"/>
      <sheetName val="dcf"/>
      <sheetName val="SumStat"/>
      <sheetName val="Monthly"/>
      <sheetName val="Operating Performance Trends"/>
      <sheetName val="COT"/>
      <sheetName val="Sheet13"/>
      <sheetName val="Sheet14"/>
      <sheetName val="Notes"/>
      <sheetName val="Sheet1"/>
      <sheetName val="SimpQopseg"/>
      <sheetName val="Aopseg wo wholedist"/>
      <sheetName val="Value2"/>
      <sheetName val="Dwnload2"/>
      <sheetName val="Dwnload1"/>
      <sheetName val="Seg PieCharts"/>
      <sheetName val="Macro2"/>
      <sheetName val="Duration"/>
      <sheetName val="New ROIC"/>
      <sheetName val="Macr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S Overview and Ooutlook"/>
      <sheetName val="Consolidated Data - Monthly"/>
      <sheetName val="Consolidated Data - Quarterly"/>
      <sheetName val="Consolidated Data - Yearly"/>
      <sheetName val="Exposure"/>
      <sheetName val="NAPM"/>
      <sheetName val="PPI CPI"/>
      <sheetName val="Leading Indicators"/>
      <sheetName val="capgoodsorders"/>
      <sheetName val="Forex Forecast"/>
      <sheetName val="JPM currency index"/>
      <sheetName val="Aerospace "/>
      <sheetName val="BizJet"/>
      <sheetName val="Regionals"/>
      <sheetName val="Defense"/>
      <sheetName val="Helicopters"/>
      <sheetName val="Autos"/>
      <sheetName val="Heavy Trucks"/>
      <sheetName val="Construction"/>
      <sheetName val="HVAC"/>
      <sheetName val="elec. &amp; semiconductors"/>
      <sheetName val="PCB, book to bill"/>
      <sheetName val="Elec Comp"/>
      <sheetName val="Finance"/>
      <sheetName val="Com Fin Index"/>
      <sheetName val="oil Background"/>
      <sheetName val="Oil Fundamentals"/>
      <sheetName val="Macro1"/>
      <sheetName val="Natural Gas Price"/>
      <sheetName val="Natural Gas Fundamentals"/>
      <sheetName val="hand tools"/>
    </sheetNames>
    <sheetDataSet>
      <sheetData sheetId="0"/>
      <sheetData sheetId="1"/>
      <sheetData sheetId="2"/>
      <sheetData sheetId="3"/>
      <sheetData sheetId="4"/>
      <sheetData sheetId="5">
        <row r="2">
          <cell r="C2" t="str">
            <v>INDM</v>
          </cell>
        </row>
        <row r="3">
          <cell r="C3" t="str">
            <v xml:space="preserve">XUSJ.NAPM                 </v>
          </cell>
        </row>
      </sheetData>
      <sheetData sheetId="6">
        <row r="2">
          <cell r="B2" t="str">
            <v>PRIM</v>
          </cell>
        </row>
      </sheetData>
      <sheetData sheetId="7">
        <row r="2">
          <cell r="B2" t="str">
            <v>INDM</v>
          </cell>
        </row>
      </sheetData>
      <sheetData sheetId="8">
        <row r="3">
          <cell r="I3" t="str">
            <v xml:space="preserve">XUSOMCAPO.AIR                                     </v>
          </cell>
        </row>
      </sheetData>
      <sheetData sheetId="9"/>
      <sheetData sheetId="10"/>
      <sheetData sheetId="11">
        <row r="2">
          <cell r="EQ2" t="str">
            <v>GOVM</v>
          </cell>
        </row>
      </sheetData>
      <sheetData sheetId="12"/>
      <sheetData sheetId="13"/>
      <sheetData sheetId="14"/>
      <sheetData sheetId="15"/>
      <sheetData sheetId="16">
        <row r="2">
          <cell r="C2" t="str">
            <v>CARM</v>
          </cell>
        </row>
      </sheetData>
      <sheetData sheetId="17"/>
      <sheetData sheetId="18">
        <row r="2">
          <cell r="V2" t="str">
            <v>HOUM</v>
          </cell>
        </row>
        <row r="3">
          <cell r="BD3" t="str">
            <v>XUSICCTNRB</v>
          </cell>
        </row>
        <row r="4">
          <cell r="BD4" t="str">
            <v>M</v>
          </cell>
        </row>
      </sheetData>
      <sheetData sheetId="19"/>
      <sheetData sheetId="20">
        <row r="2">
          <cell r="B2" t="str">
            <v>OASM</v>
          </cell>
        </row>
      </sheetData>
      <sheetData sheetId="21"/>
      <sheetData sheetId="22">
        <row r="2">
          <cell r="P2" t="str">
            <v>PRIM</v>
          </cell>
        </row>
      </sheetData>
      <sheetData sheetId="23">
        <row r="2">
          <cell r="B2" t="str">
            <v>RATM</v>
          </cell>
        </row>
        <row r="3">
          <cell r="F3" t="str">
            <v>SERIES CODE:</v>
          </cell>
        </row>
      </sheetData>
      <sheetData sheetId="24"/>
      <sheetData sheetId="25"/>
      <sheetData sheetId="26">
        <row r="2">
          <cell r="T2" t="str">
            <v>COMM</v>
          </cell>
        </row>
        <row r="3">
          <cell r="AB3" t="str">
            <v>COMM</v>
          </cell>
        </row>
      </sheetData>
      <sheetData sheetId="27"/>
      <sheetData sheetId="28">
        <row r="2">
          <cell r="B2" t="str">
            <v>COMM</v>
          </cell>
        </row>
      </sheetData>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4"/>
      <sheetName val="Macro1"/>
      <sheetName val="Macro2"/>
      <sheetName val="Sheet1"/>
      <sheetName val="PCB, book to bill"/>
    </sheetNames>
    <sheetDataSet>
      <sheetData sheetId="0" refreshError="1"/>
      <sheetData sheetId="1" refreshError="1"/>
      <sheetData sheetId="2" refreshError="1"/>
      <sheetData sheetId="3" refreshError="1"/>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arnings-model"/>
      <sheetName val="EV"/>
      <sheetName val="A vs E"/>
      <sheetName val="EPS Sensitivity - Cranes"/>
      <sheetName val="3q05 bus sold"/>
      <sheetName val="Enodis"/>
      <sheetName val="Rel Perf"/>
      <sheetName val="Crane Mkt"/>
      <sheetName val="2005 charts"/>
      <sheetName val="2004 Charts and Graphs"/>
      <sheetName val="report model"/>
      <sheetName val="NRA"/>
      <sheetName val="Sheet1"/>
      <sheetName val="Competitors"/>
      <sheetName val="Grove"/>
      <sheetName val="Potain"/>
      <sheetName val="Liebherr"/>
      <sheetName val="Acquisitions"/>
      <sheetName val="Interest Rates"/>
      <sheetName val="Manitowoc Co.-Diversifie"/>
      <sheetName val="Module2"/>
      <sheetName val="Macro2"/>
      <sheetName val="qtrly-fax"/>
      <sheetName val="EPS Sensitivity - Food"/>
    </sheetNames>
    <sheetDataSet>
      <sheetData sheetId="0" refreshError="1">
        <row r="161">
          <cell r="B161" t="str">
            <v>Common Stock and APIC</v>
          </cell>
          <cell r="H161">
            <v>31.114999999999998</v>
          </cell>
          <cell r="I161">
            <v>31.224</v>
          </cell>
          <cell r="J161">
            <v>31.225000000000001</v>
          </cell>
          <cell r="K161">
            <v>31.274000000000001</v>
          </cell>
          <cell r="L161">
            <v>31.843</v>
          </cell>
          <cell r="M161">
            <v>31.969000000000001</v>
          </cell>
          <cell r="N161">
            <v>32.036999999999999</v>
          </cell>
          <cell r="O161">
            <v>81.597000000000008</v>
          </cell>
          <cell r="P161">
            <v>81.664000000000001</v>
          </cell>
          <cell r="Q161">
            <v>189.143</v>
          </cell>
          <cell r="R161">
            <v>197.73699999999999</v>
          </cell>
        </row>
        <row r="162">
          <cell r="B162" t="str">
            <v>Accumulated Other Comprehensive</v>
          </cell>
          <cell r="H162">
            <v>-0.47899999999999998</v>
          </cell>
          <cell r="I162">
            <v>0.22</v>
          </cell>
          <cell r="J162">
            <v>-0.192</v>
          </cell>
          <cell r="K162">
            <v>-0.21199999999999999</v>
          </cell>
          <cell r="L162">
            <v>-0.81399999999999995</v>
          </cell>
          <cell r="M162">
            <v>-2.569</v>
          </cell>
          <cell r="N162">
            <v>-3.9369999999999998</v>
          </cell>
          <cell r="O162">
            <v>-23.574000000000002</v>
          </cell>
          <cell r="P162">
            <v>40.799999999999997</v>
          </cell>
          <cell r="Q162">
            <v>61.014000000000003</v>
          </cell>
          <cell r="R162">
            <v>16.617000000000001</v>
          </cell>
        </row>
        <row r="163">
          <cell r="B163" t="str">
            <v>Unearned Compensation</v>
          </cell>
          <cell r="H163" t="str">
            <v>n/a</v>
          </cell>
          <cell r="I163" t="str">
            <v>n/a</v>
          </cell>
          <cell r="J163" t="str">
            <v>n/a</v>
          </cell>
          <cell r="K163" t="str">
            <v>n/a</v>
          </cell>
          <cell r="L163" t="str">
            <v>n/a</v>
          </cell>
          <cell r="M163" t="str">
            <v>n/a</v>
          </cell>
          <cell r="N163" t="str">
            <v>n/a</v>
          </cell>
          <cell r="O163">
            <v>-0.60899999999999999</v>
          </cell>
          <cell r="P163">
            <v>-0.32800000000000001</v>
          </cell>
          <cell r="Q163">
            <v>-4.7E-2</v>
          </cell>
          <cell r="R163">
            <v>-1.4159999999999999</v>
          </cell>
        </row>
        <row r="164">
          <cell r="B164" t="str">
            <v>Retained Earnings</v>
          </cell>
          <cell r="H164">
            <v>132.41800000000001</v>
          </cell>
          <cell r="I164">
            <v>150.387</v>
          </cell>
          <cell r="J164">
            <v>179.08799999999999</v>
          </cell>
          <cell r="K164">
            <v>222.68700000000001</v>
          </cell>
          <cell r="L164">
            <v>281.67200000000003</v>
          </cell>
          <cell r="M164">
            <v>334.43299999999999</v>
          </cell>
          <cell r="N164">
            <v>372.62299999999999</v>
          </cell>
          <cell r="O164">
            <v>344.68900000000002</v>
          </cell>
          <cell r="P164">
            <v>340.79199999999997</v>
          </cell>
          <cell r="Q164">
            <v>372.39800000000002</v>
          </cell>
          <cell r="R164">
            <v>429.75099999999998</v>
          </cell>
        </row>
        <row r="165">
          <cell r="B165" t="str">
            <v>Treasury Stock</v>
          </cell>
          <cell r="H165">
            <v>-81.501999999999995</v>
          </cell>
          <cell r="I165">
            <v>-81.052000000000007</v>
          </cell>
          <cell r="J165">
            <v>-81.503</v>
          </cell>
          <cell r="K165">
            <v>-81.197000000000003</v>
          </cell>
          <cell r="L165">
            <v>-80.525000000000006</v>
          </cell>
          <cell r="M165">
            <v>-130.06399999999999</v>
          </cell>
          <cell r="N165">
            <v>-136.928</v>
          </cell>
          <cell r="O165">
            <v>-106.988</v>
          </cell>
          <cell r="P165">
            <v>-106.93600000000001</v>
          </cell>
          <cell r="Q165">
            <v>-103.57899999999999</v>
          </cell>
          <cell r="R165">
            <v>-99.361000000000004</v>
          </cell>
        </row>
        <row r="166">
          <cell r="B166" t="str">
            <v>Total Shareholders Equity</v>
          </cell>
          <cell r="H166">
            <v>81.552000000000007</v>
          </cell>
          <cell r="I166">
            <v>100.77899999999998</v>
          </cell>
          <cell r="J166">
            <v>128.61799999999999</v>
          </cell>
          <cell r="K166">
            <v>172.55200000000002</v>
          </cell>
          <cell r="L166">
            <v>232.17600000000002</v>
          </cell>
          <cell r="M166">
            <v>233.76899999999998</v>
          </cell>
          <cell r="N166">
            <v>263.79500000000002</v>
          </cell>
          <cell r="O166">
            <v>295.11500000000001</v>
          </cell>
          <cell r="P166">
            <v>355.99199999999996</v>
          </cell>
          <cell r="Q166">
            <v>518.92900000000009</v>
          </cell>
          <cell r="R166">
            <v>543.32799999999997</v>
          </cell>
          <cell r="S166">
            <v>774.5</v>
          </cell>
          <cell r="T166">
            <v>1024.6587224523639</v>
          </cell>
          <cell r="U166">
            <v>1319.5110863579466</v>
          </cell>
          <cell r="V166">
            <v>1623.6142274513536</v>
          </cell>
        </row>
        <row r="168">
          <cell r="B168" t="str">
            <v>Total Liabilities + SE</v>
          </cell>
          <cell r="H168">
            <v>324.80600000000004</v>
          </cell>
          <cell r="I168">
            <v>318.16000000000003</v>
          </cell>
          <cell r="J168">
            <v>396.36799999999999</v>
          </cell>
          <cell r="K168">
            <v>481.01400000000001</v>
          </cell>
          <cell r="L168">
            <v>530.24</v>
          </cell>
          <cell r="M168">
            <v>642.53000000000009</v>
          </cell>
          <cell r="N168">
            <v>1080.8119999999999</v>
          </cell>
          <cell r="O168">
            <v>1577.1230000000003</v>
          </cell>
          <cell r="P168">
            <v>1660.1490000000001</v>
          </cell>
          <cell r="Q168">
            <v>1928.136</v>
          </cell>
          <cell r="R168">
            <v>1961.777</v>
          </cell>
          <cell r="S168">
            <v>2219.5</v>
          </cell>
          <cell r="T168">
            <v>2357.6368782309501</v>
          </cell>
          <cell r="U168">
            <v>2667.7619034116842</v>
          </cell>
          <cell r="V168">
            <v>2949.047742591596</v>
          </cell>
        </row>
        <row r="170">
          <cell r="B170" t="str">
            <v>Short-term Debt</v>
          </cell>
          <cell r="H170">
            <v>36.896000000000001</v>
          </cell>
          <cell r="I170">
            <v>11.064</v>
          </cell>
          <cell r="J170">
            <v>64.5</v>
          </cell>
          <cell r="K170">
            <v>59.468000000000004</v>
          </cell>
          <cell r="L170">
            <v>32.788999999999994</v>
          </cell>
          <cell r="M170">
            <v>81.27</v>
          </cell>
          <cell r="N170">
            <v>42.048000000000002</v>
          </cell>
          <cell r="O170">
            <v>42.632000000000005</v>
          </cell>
          <cell r="P170">
            <v>25.216000000000001</v>
          </cell>
          <cell r="Q170">
            <v>71.605000000000004</v>
          </cell>
          <cell r="R170">
            <v>19.373999999999999</v>
          </cell>
          <cell r="S170">
            <v>4.0999999999999996</v>
          </cell>
          <cell r="T170">
            <v>4.0999999999999996</v>
          </cell>
          <cell r="U170">
            <v>4.0999999999999996</v>
          </cell>
          <cell r="V170">
            <v>4.0999999999999996</v>
          </cell>
        </row>
        <row r="171">
          <cell r="B171" t="str">
            <v>Long-term Debt</v>
          </cell>
          <cell r="H171">
            <v>101.18</v>
          </cell>
          <cell r="I171">
            <v>76.501000000000005</v>
          </cell>
          <cell r="J171">
            <v>66.358999999999995</v>
          </cell>
          <cell r="K171">
            <v>79.834000000000003</v>
          </cell>
          <cell r="L171">
            <v>79.222999999999999</v>
          </cell>
          <cell r="M171">
            <v>137.66800000000001</v>
          </cell>
          <cell r="N171">
            <v>446.52199999999999</v>
          </cell>
          <cell r="O171">
            <v>623.54700000000003</v>
          </cell>
          <cell r="P171">
            <v>567.08399999999995</v>
          </cell>
          <cell r="Q171">
            <v>512.23599999999999</v>
          </cell>
          <cell r="R171">
            <v>474</v>
          </cell>
          <cell r="S171">
            <v>264.3</v>
          </cell>
          <cell r="T171">
            <v>89.300000000000011</v>
          </cell>
          <cell r="U171">
            <v>49.300000000000011</v>
          </cell>
          <cell r="V171">
            <v>9.3000000000000114</v>
          </cell>
        </row>
        <row r="172">
          <cell r="B172" t="str">
            <v>Total Debt</v>
          </cell>
          <cell r="H172">
            <v>138.07600000000002</v>
          </cell>
          <cell r="I172">
            <v>87.564999999999998</v>
          </cell>
          <cell r="J172">
            <v>130.85899999999998</v>
          </cell>
          <cell r="K172">
            <v>139.30200000000002</v>
          </cell>
          <cell r="L172">
            <v>112.012</v>
          </cell>
          <cell r="M172">
            <v>218.93799999999999</v>
          </cell>
          <cell r="N172">
            <v>488.57</v>
          </cell>
          <cell r="O172">
            <v>666.17900000000009</v>
          </cell>
          <cell r="P172">
            <v>592.29999999999995</v>
          </cell>
          <cell r="Q172">
            <v>583.84100000000001</v>
          </cell>
          <cell r="R172">
            <v>493.37400000000002</v>
          </cell>
          <cell r="S172">
            <v>268.40000000000003</v>
          </cell>
          <cell r="T172">
            <v>93.4</v>
          </cell>
          <cell r="U172">
            <v>53.400000000000013</v>
          </cell>
          <cell r="V172">
            <v>13.400000000000011</v>
          </cell>
        </row>
        <row r="173">
          <cell r="B173" t="str">
            <v>Net Debt</v>
          </cell>
          <cell r="H173">
            <v>121.44100000000002</v>
          </cell>
          <cell r="I173">
            <v>71.543999999999997</v>
          </cell>
          <cell r="J173">
            <v>117.22999999999998</v>
          </cell>
          <cell r="K173">
            <v>126.88600000000002</v>
          </cell>
          <cell r="L173">
            <v>99.992000000000004</v>
          </cell>
          <cell r="M173">
            <v>202.911</v>
          </cell>
          <cell r="N173">
            <v>462.83799999999997</v>
          </cell>
          <cell r="O173">
            <v>635.77300000000014</v>
          </cell>
          <cell r="P173">
            <v>545.11199999999997</v>
          </cell>
          <cell r="Q173">
            <v>405.178</v>
          </cell>
          <cell r="R173">
            <v>261.553</v>
          </cell>
          <cell r="S173">
            <v>92.30000000000004</v>
          </cell>
          <cell r="T173">
            <v>-88.552555724142138</v>
          </cell>
          <cell r="U173">
            <v>-374.32693236284388</v>
          </cell>
          <cell r="V173">
            <v>-692.72672358049715</v>
          </cell>
        </row>
        <row r="174">
          <cell r="B174" t="str">
            <v xml:space="preserve">   % of Total Capital</v>
          </cell>
          <cell r="H174">
            <v>0.59825215647830221</v>
          </cell>
          <cell r="I174">
            <v>0.41517383053916196</v>
          </cell>
          <cell r="J174">
            <v>0.47683934788975302</v>
          </cell>
          <cell r="K174">
            <v>0.42374715299995325</v>
          </cell>
          <cell r="L174">
            <v>0.30102839526986347</v>
          </cell>
          <cell r="M174">
            <v>0.46466749106897504</v>
          </cell>
          <cell r="N174">
            <v>0.63696253817264004</v>
          </cell>
          <cell r="O174">
            <v>0.68297475099045213</v>
          </cell>
          <cell r="P174">
            <v>0.60493794279017743</v>
          </cell>
          <cell r="Q174">
            <v>0.43845355570296507</v>
          </cell>
          <cell r="R174">
            <v>0.32495859636393454</v>
          </cell>
          <cell r="S174">
            <v>0.10648361790493774</v>
          </cell>
          <cell r="T174">
            <v>-9.4596701604521605E-2</v>
          </cell>
          <cell r="U174">
            <v>-0.39603597963490972</v>
          </cell>
          <cell r="V174">
            <v>-0.74415729150941556</v>
          </cell>
        </row>
        <row r="175">
          <cell r="B175" t="str">
            <v>Net Debt (incl. Postretirement)</v>
          </cell>
          <cell r="H175">
            <v>140.63100000000003</v>
          </cell>
          <cell r="I175">
            <v>90.998999999999995</v>
          </cell>
          <cell r="J175">
            <v>136.92899999999997</v>
          </cell>
          <cell r="K175">
            <v>146.59100000000001</v>
          </cell>
          <cell r="L175">
            <v>119.904</v>
          </cell>
          <cell r="M175">
            <v>223.25200000000001</v>
          </cell>
          <cell r="N175">
            <v>485.88599999999997</v>
          </cell>
          <cell r="O175">
            <v>767.60100000000023</v>
          </cell>
          <cell r="P175">
            <v>656.63400000000001</v>
          </cell>
          <cell r="Q175">
            <v>527.07299999999998</v>
          </cell>
          <cell r="R175">
            <v>385.55599999999998</v>
          </cell>
          <cell r="S175">
            <v>207.20300000000003</v>
          </cell>
          <cell r="T175">
            <v>-23.649555724142139</v>
          </cell>
          <cell r="U175">
            <v>-309.42393236284386</v>
          </cell>
          <cell r="V175">
            <v>-627.82372358049724</v>
          </cell>
        </row>
        <row r="176">
          <cell r="B176" t="str">
            <v xml:space="preserve">  % of Total Capital</v>
          </cell>
          <cell r="H176">
            <v>0.63295121588960446</v>
          </cell>
          <cell r="I176">
            <v>0.4745017676688672</v>
          </cell>
          <cell r="J176">
            <v>0.51564883052717592</v>
          </cell>
          <cell r="K176">
            <v>0.45932701014905541</v>
          </cell>
          <cell r="L176">
            <v>0.34055896387184725</v>
          </cell>
          <cell r="M176">
            <v>0.48849396417232477</v>
          </cell>
          <cell r="N176">
            <v>0.64812366860037796</v>
          </cell>
          <cell r="O176">
            <v>0.72230116042291637</v>
          </cell>
          <cell r="P176">
            <v>0.64844671181660363</v>
          </cell>
          <cell r="Q176">
            <v>0.50389291798677249</v>
          </cell>
          <cell r="R176">
            <v>0.41507443340610883</v>
          </cell>
          <cell r="S176">
            <v>0.21106485362680977</v>
          </cell>
          <cell r="T176">
            <v>-2.362571344020778E-2</v>
          </cell>
          <cell r="U176">
            <v>-0.30633389518816123</v>
          </cell>
          <cell r="V176">
            <v>-0.63047771709009937</v>
          </cell>
        </row>
        <row r="177">
          <cell r="B177" t="str">
            <v>Interest/Average Net Debt</v>
          </cell>
          <cell r="I177">
            <v>8.6887581936419933E-2</v>
          </cell>
          <cell r="J177">
            <v>6.5644633265174238E-2</v>
          </cell>
          <cell r="K177">
            <v>7.9421258745842147E-2</v>
          </cell>
          <cell r="L177">
            <v>9.5029046447870635E-2</v>
          </cell>
          <cell r="M177">
            <v>8.4574929928062773E-2</v>
          </cell>
          <cell r="N177">
            <v>0.11237868926577434</v>
          </cell>
          <cell r="O177">
            <v>9.4597632829090547E-2</v>
          </cell>
          <cell r="P177">
            <v>9.4290299224733976E-2</v>
          </cell>
          <cell r="Q177">
            <v>0.11785665428448158</v>
          </cell>
          <cell r="R177">
            <v>0.16128243624490235</v>
          </cell>
          <cell r="S177">
            <v>0.26169058902990783</v>
          </cell>
          <cell r="T177">
            <v>21.347882479636237</v>
          </cell>
          <cell r="U177">
            <v>-0.17283116244927688</v>
          </cell>
          <cell r="V177">
            <v>-7.4972799684824731E-2</v>
          </cell>
        </row>
        <row r="179">
          <cell r="B179" t="str">
            <v>Receivables Days Sales</v>
          </cell>
          <cell r="H179">
            <v>58.642882461703543</v>
          </cell>
          <cell r="I179">
            <v>37.976355042469287</v>
          </cell>
          <cell r="J179">
            <v>42.815995374134907</v>
          </cell>
          <cell r="K179">
            <v>39.330940917386201</v>
          </cell>
          <cell r="L179">
            <v>31.255704385308853</v>
          </cell>
          <cell r="M179">
            <v>41.128699563763206</v>
          </cell>
          <cell r="N179">
            <v>51.640361917590312</v>
          </cell>
          <cell r="O179">
            <v>59.698240358866748</v>
          </cell>
          <cell r="P179">
            <v>60.080512775102342</v>
          </cell>
          <cell r="Q179">
            <v>47.678533098302964</v>
          </cell>
          <cell r="R179">
            <v>38.84015639078531</v>
          </cell>
          <cell r="S179">
            <v>35.002215934271973</v>
          </cell>
          <cell r="T179">
            <v>35</v>
          </cell>
          <cell r="U179">
            <v>35</v>
          </cell>
          <cell r="V179">
            <v>35</v>
          </cell>
        </row>
        <row r="180">
          <cell r="B180" t="str">
            <v>Inventory Turns</v>
          </cell>
          <cell r="H180">
            <v>4.4953332829504236</v>
          </cell>
          <cell r="I180">
            <v>8.6197871663104273</v>
          </cell>
          <cell r="J180">
            <v>6.5610500722107457</v>
          </cell>
          <cell r="K180">
            <v>5.5670667740125408</v>
          </cell>
          <cell r="L180">
            <v>5.6357820138455983</v>
          </cell>
          <cell r="M180">
            <v>6.1530632389392181</v>
          </cell>
          <cell r="N180">
            <v>5.890805811988038</v>
          </cell>
          <cell r="O180">
            <v>4.0861028610834662</v>
          </cell>
          <cell r="P180">
            <v>4.9566595241264704</v>
          </cell>
          <cell r="Q180">
            <v>5.1294680806588726</v>
          </cell>
          <cell r="R180">
            <v>5.5069466862571774</v>
          </cell>
          <cell r="S180">
            <v>4.6492688870836725</v>
          </cell>
          <cell r="T180">
            <v>4.5999999999999996</v>
          </cell>
          <cell r="U180">
            <v>4.5999999999999996</v>
          </cell>
          <cell r="V180">
            <v>4.5999999999999996</v>
          </cell>
        </row>
        <row r="181">
          <cell r="B181" t="str">
            <v>(Rec + Inv)/Sales</v>
          </cell>
          <cell r="H181">
            <v>0.3319154779354237</v>
          </cell>
          <cell r="I181">
            <v>0.19159934367424941</v>
          </cell>
          <cell r="J181">
            <v>0.22875946906954658</v>
          </cell>
          <cell r="K181">
            <v>0.23811297799197392</v>
          </cell>
          <cell r="L181">
            <v>0.21322961179074498</v>
          </cell>
          <cell r="M181">
            <v>0.23230871424742355</v>
          </cell>
          <cell r="N181">
            <v>0.26844862421946664</v>
          </cell>
          <cell r="O181">
            <v>0.35302034688202971</v>
          </cell>
          <cell r="P181">
            <v>0.32551614683023522</v>
          </cell>
          <cell r="Q181">
            <v>0.2880265688385294</v>
          </cell>
          <cell r="R181">
            <v>0.25493401570562396</v>
          </cell>
          <cell r="S181">
            <v>0.26509392152183542</v>
          </cell>
          <cell r="T181">
            <v>0.26361933520688774</v>
          </cell>
          <cell r="U181">
            <v>0.26255170157837293</v>
          </cell>
          <cell r="V181">
            <v>0.2622010953876962</v>
          </cell>
        </row>
        <row r="182">
          <cell r="B182" t="str">
            <v>Payables Days COGS</v>
          </cell>
          <cell r="H182">
            <v>102.17821282819665</v>
          </cell>
          <cell r="I182">
            <v>86.388186166017292</v>
          </cell>
          <cell r="J182">
            <v>96.836966697873478</v>
          </cell>
          <cell r="K182">
            <v>97.446277967557535</v>
          </cell>
          <cell r="L182">
            <v>99.137117009075936</v>
          </cell>
          <cell r="M182">
            <v>92.859984599589325</v>
          </cell>
          <cell r="N182">
            <v>117.26759176105912</v>
          </cell>
          <cell r="O182">
            <v>133.4197633976988</v>
          </cell>
          <cell r="P182">
            <v>141.71616887234771</v>
          </cell>
          <cell r="Q182">
            <v>125.55604608168483</v>
          </cell>
          <cell r="R182">
            <v>116.71410742598177</v>
          </cell>
          <cell r="S182">
            <v>132.02987812868562</v>
          </cell>
          <cell r="T182">
            <v>128</v>
          </cell>
          <cell r="U182">
            <v>125</v>
          </cell>
          <cell r="V182">
            <v>125</v>
          </cell>
        </row>
        <row r="183">
          <cell r="B183" t="str">
            <v>WC/Sales</v>
          </cell>
          <cell r="H183">
            <v>0.10654033702806008</v>
          </cell>
          <cell r="I183">
            <v>-2.0167527539443069E-4</v>
          </cell>
          <cell r="J183">
            <v>2.0655772593757081E-2</v>
          </cell>
          <cell r="K183">
            <v>2.8506217609250241E-2</v>
          </cell>
          <cell r="L183">
            <v>-9.5389902771386622E-5</v>
          </cell>
          <cell r="M183">
            <v>3.712091489303844E-2</v>
          </cell>
          <cell r="N183">
            <v>2.32613419231367E-2</v>
          </cell>
          <cell r="O183">
            <v>7.4996901136347743E-2</v>
          </cell>
          <cell r="P183">
            <v>4.8443896491359292E-3</v>
          </cell>
          <cell r="Q183">
            <v>1.3692036503424692E-2</v>
          </cell>
          <cell r="R183">
            <v>-1.0529271810396817E-2</v>
          </cell>
          <cell r="S183">
            <v>-1.8647939181127098E-2</v>
          </cell>
          <cell r="T183">
            <v>-6.4467762641593589E-3</v>
          </cell>
          <cell r="U183">
            <v>3.9646286828217358E-4</v>
          </cell>
          <cell r="V183">
            <v>5.698021785744134E-4</v>
          </cell>
        </row>
        <row r="184">
          <cell r="B184" t="str">
            <v>Asset Turns</v>
          </cell>
          <cell r="H184">
            <v>0.96378745210285777</v>
          </cell>
          <cell r="I184">
            <v>1.6075099933901984</v>
          </cell>
          <cell r="J184">
            <v>1.2565822669842168</v>
          </cell>
          <cell r="K184">
            <v>1.3225748107123703</v>
          </cell>
          <cell r="L184">
            <v>1.3641750511555979</v>
          </cell>
          <cell r="M184">
            <v>1.201946990801986</v>
          </cell>
          <cell r="N184">
            <v>0.91081797759462335</v>
          </cell>
          <cell r="O184">
            <v>0.86448742425289604</v>
          </cell>
          <cell r="P184">
            <v>0.88431219125512228</v>
          </cell>
          <cell r="Q184">
            <v>0.95681424961724693</v>
          </cell>
          <cell r="R184">
            <v>1.1490171330758439</v>
          </cell>
          <cell r="S184">
            <v>1.3216039648569498</v>
          </cell>
          <cell r="T184">
            <v>1.5277374716094987</v>
          </cell>
          <cell r="U184">
            <v>1.4672548215401322</v>
          </cell>
          <cell r="V184">
            <v>1.349509715489722</v>
          </cell>
        </row>
        <row r="185">
          <cell r="B185" t="str">
            <v>Return on Assets</v>
          </cell>
          <cell r="H185">
            <v>4.4968684117384534E-2</v>
          </cell>
          <cell r="I185">
            <v>8.1225016524503355E-2</v>
          </cell>
          <cell r="J185">
            <v>8.6167399991926699E-2</v>
          </cell>
          <cell r="K185">
            <v>0.10139621715792056</v>
          </cell>
          <cell r="L185">
            <v>0.11455270676762629</v>
          </cell>
          <cell r="M185">
            <v>8.7423155339050332E-2</v>
          </cell>
          <cell r="N185">
            <v>4.5252088244764135E-2</v>
          </cell>
          <cell r="O185">
            <v>3.1281643854030441E-2</v>
          </cell>
          <cell r="P185">
            <v>9.7196095049298398E-3</v>
          </cell>
          <cell r="Q185">
            <v>2.0054083321923273E-2</v>
          </cell>
          <cell r="R185">
            <v>3.7578481782439409E-2</v>
          </cell>
          <cell r="S185">
            <v>7.952241495832392E-2</v>
          </cell>
          <cell r="T185">
            <v>0.11442568269498338</v>
          </cell>
          <cell r="U185">
            <v>0.11873420940344638</v>
          </cell>
          <cell r="V185">
            <v>0.1110507670367424</v>
          </cell>
        </row>
        <row r="186">
          <cell r="B186" t="str">
            <v>Return on Equity</v>
          </cell>
          <cell r="H186">
            <v>0.17916176182067875</v>
          </cell>
          <cell r="I186">
            <v>0.25606525168933969</v>
          </cell>
          <cell r="J186">
            <v>0.26554603554712408</v>
          </cell>
          <cell r="K186">
            <v>0.28265682229125128</v>
          </cell>
          <cell r="L186">
            <v>0.26161618771966094</v>
          </cell>
          <cell r="M186">
            <v>0.240288489919536</v>
          </cell>
          <cell r="N186">
            <v>0.18540533368714346</v>
          </cell>
          <cell r="O186">
            <v>0.167172119343307</v>
          </cell>
          <cell r="P186">
            <v>4.5326861277780878E-2</v>
          </cell>
          <cell r="Q186">
            <v>7.451308367811367E-2</v>
          </cell>
          <cell r="R186">
            <v>0.13568231344602177</v>
          </cell>
          <cell r="S186">
            <v>0.22788896061975461</v>
          </cell>
          <cell r="T186">
            <v>0.25584979340724007</v>
          </cell>
          <cell r="U186">
            <v>0.23406575897597237</v>
          </cell>
          <cell r="V186">
            <v>0.1971546785444746</v>
          </cell>
        </row>
        <row r="187">
          <cell r="B187" t="str">
            <v>NOPAT</v>
          </cell>
          <cell r="H187">
            <v>14.590813833002327</v>
          </cell>
          <cell r="I187">
            <v>30.756292957488629</v>
          </cell>
          <cell r="J187">
            <v>38.634999760213965</v>
          </cell>
          <cell r="K187">
            <v>55.8154925208975</v>
          </cell>
          <cell r="L187">
            <v>68.774783807330877</v>
          </cell>
          <cell r="M187">
            <v>65.495794590847609</v>
          </cell>
          <cell r="N187">
            <v>73.219870002184862</v>
          </cell>
          <cell r="O187">
            <v>81.662722538809263</v>
          </cell>
          <cell r="P187">
            <v>70.213999999999771</v>
          </cell>
          <cell r="Q187">
            <v>83.162251215558982</v>
          </cell>
          <cell r="R187">
            <v>112.3231194110553</v>
          </cell>
          <cell r="S187">
            <v>208.51400000000001</v>
          </cell>
          <cell r="T187">
            <v>289.35872245236385</v>
          </cell>
          <cell r="U187">
            <v>336.05236390558258</v>
          </cell>
          <cell r="V187">
            <v>347.30314109340702</v>
          </cell>
        </row>
        <row r="188">
          <cell r="B188" t="str">
            <v>Return on Invested Capital</v>
          </cell>
          <cell r="H188">
            <v>6.6434215277661884E-2</v>
          </cell>
          <cell r="I188">
            <v>0.16329850145206978</v>
          </cell>
          <cell r="J188">
            <v>0.14889566227532294</v>
          </cell>
          <cell r="K188">
            <v>0.17897956261871739</v>
          </cell>
          <cell r="L188">
            <v>0.19981749453011399</v>
          </cell>
          <cell r="M188">
            <v>0.1446759042622438</v>
          </cell>
          <cell r="N188">
            <v>9.7319612159237692E-2</v>
          </cell>
          <cell r="O188">
            <v>8.495082933921283E-2</v>
          </cell>
          <cell r="P188">
            <v>7.4042594475119239E-2</v>
          </cell>
          <cell r="Q188">
            <v>7.5412145067021208E-2</v>
          </cell>
          <cell r="R188">
            <v>0.10834658311747764</v>
          </cell>
          <cell r="S188">
            <v>0.19993671492952345</v>
          </cell>
          <cell r="T188">
            <v>0.25880458391101391</v>
          </cell>
          <cell r="U188">
            <v>0.24477358165783408</v>
          </cell>
          <cell r="V188">
            <v>0.21215645855083301</v>
          </cell>
        </row>
        <row r="189">
          <cell r="B189" t="str">
            <v>Average Life</v>
          </cell>
          <cell r="H189">
            <v>27.754006763711217</v>
          </cell>
          <cell r="I189">
            <v>22.767852849242608</v>
          </cell>
          <cell r="J189">
            <v>24.38458764125992</v>
          </cell>
          <cell r="K189">
            <v>22.752595333538906</v>
          </cell>
          <cell r="L189">
            <v>22.996674176590496</v>
          </cell>
          <cell r="M189">
            <v>24.095522690437601</v>
          </cell>
          <cell r="N189">
            <v>21.396055708041072</v>
          </cell>
          <cell r="O189">
            <v>18.129455512894157</v>
          </cell>
          <cell r="P189">
            <v>14.812845226647584</v>
          </cell>
          <cell r="Q189">
            <v>14.093495042987373</v>
          </cell>
          <cell r="R189">
            <v>11.851432731123023</v>
          </cell>
          <cell r="S189">
            <v>10.086675358539765</v>
          </cell>
          <cell r="T189">
            <v>10.288390243902439</v>
          </cell>
          <cell r="U189">
            <v>10.039652173913044</v>
          </cell>
          <cell r="V189">
            <v>9.9377254901960779</v>
          </cell>
        </row>
        <row r="193">
          <cell r="D193" t="str">
            <v>Fiscal</v>
          </cell>
          <cell r="E193" t="str">
            <v>Fiscal</v>
          </cell>
          <cell r="F193" t="str">
            <v>Fiscal</v>
          </cell>
          <cell r="G193" t="str">
            <v>Fiscal</v>
          </cell>
        </row>
        <row r="194">
          <cell r="D194" t="str">
            <v>1991</v>
          </cell>
          <cell r="E194" t="str">
            <v>1992</v>
          </cell>
          <cell r="F194" t="str">
            <v>1993</v>
          </cell>
          <cell r="G194" t="str">
            <v>1994</v>
          </cell>
          <cell r="H194" t="str">
            <v>1995</v>
          </cell>
          <cell r="I194" t="str">
            <v>1996</v>
          </cell>
          <cell r="J194">
            <v>1997</v>
          </cell>
          <cell r="K194">
            <v>1998</v>
          </cell>
          <cell r="L194">
            <v>1999</v>
          </cell>
          <cell r="M194">
            <v>2000</v>
          </cell>
          <cell r="N194" t="str">
            <v>2001</v>
          </cell>
          <cell r="O194" t="str">
            <v>2002</v>
          </cell>
          <cell r="P194" t="str">
            <v>2003R</v>
          </cell>
          <cell r="Q194" t="str">
            <v>2004R</v>
          </cell>
          <cell r="R194" t="str">
            <v>2005</v>
          </cell>
          <cell r="S194" t="str">
            <v>2006</v>
          </cell>
          <cell r="T194" t="str">
            <v>2007E</v>
          </cell>
          <cell r="U194" t="str">
            <v>2008E</v>
          </cell>
          <cell r="V194" t="str">
            <v>2009E</v>
          </cell>
        </row>
        <row r="195">
          <cell r="B195" t="str">
            <v>Revenues excluding Grove</v>
          </cell>
        </row>
        <row r="196">
          <cell r="B196" t="str">
            <v>Cranes (excludes Boom trucks in 2002)</v>
          </cell>
        </row>
        <row r="197">
          <cell r="B197" t="str">
            <v>Grove</v>
          </cell>
        </row>
        <row r="198">
          <cell r="B198" t="str">
            <v>Foodservice products</v>
          </cell>
        </row>
        <row r="199">
          <cell r="B199" t="str">
            <v>Marine</v>
          </cell>
        </row>
        <row r="200">
          <cell r="B200" t="str">
            <v>Total</v>
          </cell>
        </row>
        <row r="202">
          <cell r="B202" t="str">
            <v>Operating Earnings ex. Grove</v>
          </cell>
        </row>
        <row r="203">
          <cell r="B203" t="str">
            <v>Cranes (excludes Boom trucks in 2002)</v>
          </cell>
        </row>
        <row r="204">
          <cell r="B204" t="str">
            <v>Grove</v>
          </cell>
        </row>
        <row r="206">
          <cell r="B206" t="str">
            <v>Operating Margin ex. Grove</v>
          </cell>
        </row>
        <row r="207">
          <cell r="B207" t="str">
            <v>Cranes (excludes Boom trucks in 2002)</v>
          </cell>
        </row>
        <row r="208">
          <cell r="B208" t="str">
            <v>Grove</v>
          </cell>
        </row>
        <row r="210">
          <cell r="B210" t="str">
            <v>Revenues by Geography</v>
          </cell>
        </row>
        <row r="211">
          <cell r="B211" t="str">
            <v>United States</v>
          </cell>
          <cell r="M211">
            <v>581.76799999999992</v>
          </cell>
          <cell r="N211">
            <v>670.66600000000005</v>
          </cell>
          <cell r="O211">
            <v>809.02099999999996</v>
          </cell>
          <cell r="P211">
            <v>799.72</v>
          </cell>
          <cell r="Q211">
            <v>981.55</v>
          </cell>
          <cell r="R211">
            <v>1177.6679999999999</v>
          </cell>
        </row>
        <row r="212">
          <cell r="B212" t="str">
            <v>Other North America</v>
          </cell>
          <cell r="M212">
            <v>25.132000000000001</v>
          </cell>
          <cell r="N212">
            <v>17.332999999999998</v>
          </cell>
          <cell r="O212">
            <v>25.710999999999999</v>
          </cell>
          <cell r="P212">
            <v>13.173</v>
          </cell>
          <cell r="Q212">
            <v>36.377000000000002</v>
          </cell>
          <cell r="R212">
            <v>38.722000000000001</v>
          </cell>
        </row>
        <row r="213">
          <cell r="B213" t="str">
            <v>Europe</v>
          </cell>
          <cell r="M213">
            <v>17.375</v>
          </cell>
          <cell r="N213">
            <v>155.72800000000001</v>
          </cell>
          <cell r="O213">
            <v>296.59699999999998</v>
          </cell>
          <cell r="P213">
            <v>477.00099999999998</v>
          </cell>
          <cell r="Q213">
            <v>576.78</v>
          </cell>
          <cell r="R213">
            <v>679.41399999999999</v>
          </cell>
        </row>
        <row r="214">
          <cell r="B214" t="str">
            <v>Asia</v>
          </cell>
          <cell r="M214">
            <v>17.393000000000001</v>
          </cell>
          <cell r="N214">
            <v>31.263999999999999</v>
          </cell>
          <cell r="O214">
            <v>68.39</v>
          </cell>
          <cell r="P214">
            <v>84.066000000000003</v>
          </cell>
          <cell r="Q214">
            <v>106.095</v>
          </cell>
          <cell r="R214">
            <v>118.24</v>
          </cell>
        </row>
        <row r="215">
          <cell r="B215" t="str">
            <v>Middle East</v>
          </cell>
          <cell r="M215">
            <v>5.4790000000000001</v>
          </cell>
          <cell r="N215">
            <v>6.9050000000000002</v>
          </cell>
          <cell r="O215">
            <v>18.885000000000002</v>
          </cell>
          <cell r="P215">
            <v>59.881</v>
          </cell>
          <cell r="Q215">
            <v>70.980999999999995</v>
          </cell>
          <cell r="R215">
            <v>112.932</v>
          </cell>
        </row>
        <row r="216">
          <cell r="B216" t="str">
            <v>Central and South America</v>
          </cell>
          <cell r="M216">
            <v>4.8730000000000002</v>
          </cell>
          <cell r="N216">
            <v>6.468</v>
          </cell>
          <cell r="O216">
            <v>7.41</v>
          </cell>
          <cell r="P216">
            <v>10.882999999999999</v>
          </cell>
          <cell r="Q216">
            <v>24.206</v>
          </cell>
          <cell r="R216">
            <v>34.813000000000002</v>
          </cell>
        </row>
        <row r="217">
          <cell r="B217" t="str">
            <v>Africa</v>
          </cell>
          <cell r="M217">
            <v>3.2770000000000001</v>
          </cell>
          <cell r="N217">
            <v>6.18</v>
          </cell>
          <cell r="O217">
            <v>7.2910000000000004</v>
          </cell>
          <cell r="P217">
            <v>7.9059999999999997</v>
          </cell>
          <cell r="Q217">
            <v>15.843</v>
          </cell>
          <cell r="R217">
            <v>37.274000000000001</v>
          </cell>
        </row>
        <row r="218">
          <cell r="B218" t="str">
            <v>South Pacific &amp; Carribean</v>
          </cell>
          <cell r="M218">
            <v>5.9</v>
          </cell>
          <cell r="N218">
            <v>6.8719999999999999</v>
          </cell>
          <cell r="O218">
            <v>13.275</v>
          </cell>
          <cell r="P218">
            <v>2.9889999999999999</v>
          </cell>
          <cell r="Q218">
            <v>4.8259999999999996</v>
          </cell>
          <cell r="R218">
            <v>8.0489999999999995</v>
          </cell>
        </row>
        <row r="219">
          <cell r="B219" t="str">
            <v>Australia</v>
          </cell>
          <cell r="M219">
            <v>0</v>
          </cell>
          <cell r="N219">
            <v>2.6019999999999999</v>
          </cell>
          <cell r="O219">
            <v>6.5359999999999996</v>
          </cell>
          <cell r="P219">
            <v>12.471</v>
          </cell>
          <cell r="Q219">
            <v>28.21</v>
          </cell>
          <cell r="R219">
            <v>46.984999999999999</v>
          </cell>
        </row>
        <row r="220">
          <cell r="B220" t="str">
            <v>Total</v>
          </cell>
          <cell r="M220">
            <v>661.197</v>
          </cell>
          <cell r="N220">
            <v>904.01799999999992</v>
          </cell>
          <cell r="O220">
            <v>1253.1160000000002</v>
          </cell>
          <cell r="P220">
            <v>1468.0900000000001</v>
          </cell>
          <cell r="Q220">
            <v>1844.8679999999999</v>
          </cell>
          <cell r="R220">
            <v>2254.0969999999998</v>
          </cell>
        </row>
        <row r="222">
          <cell r="B222" t="str">
            <v>Revenues by Geography - Abridged</v>
          </cell>
        </row>
        <row r="223">
          <cell r="B223" t="str">
            <v>North America</v>
          </cell>
          <cell r="M223">
            <v>606.89999999999986</v>
          </cell>
          <cell r="N223">
            <v>687.99900000000002</v>
          </cell>
          <cell r="O223">
            <v>834.73199999999997</v>
          </cell>
          <cell r="P223">
            <v>812.89300000000003</v>
          </cell>
          <cell r="Q223">
            <v>1017.9269999999999</v>
          </cell>
          <cell r="R223">
            <v>1216.3899999999999</v>
          </cell>
        </row>
        <row r="224">
          <cell r="B224" t="str">
            <v>Europe</v>
          </cell>
          <cell r="M224">
            <v>17.375</v>
          </cell>
          <cell r="N224">
            <v>155.72800000000001</v>
          </cell>
          <cell r="O224">
            <v>296.59699999999998</v>
          </cell>
          <cell r="P224">
            <v>477.00099999999998</v>
          </cell>
          <cell r="Q224">
            <v>576.78</v>
          </cell>
          <cell r="R224">
            <v>679.41399999999999</v>
          </cell>
        </row>
        <row r="225">
          <cell r="B225" t="str">
            <v>Asia Pacific</v>
          </cell>
          <cell r="M225">
            <v>17.393000000000001</v>
          </cell>
          <cell r="N225">
            <v>33.866</v>
          </cell>
          <cell r="O225">
            <v>74.926000000000002</v>
          </cell>
          <cell r="P225">
            <v>96.537000000000006</v>
          </cell>
          <cell r="Q225">
            <v>134.30500000000001</v>
          </cell>
          <cell r="R225">
            <v>165.22499999999999</v>
          </cell>
        </row>
        <row r="226">
          <cell r="B226" t="str">
            <v>South America</v>
          </cell>
          <cell r="M226">
            <v>4.8730000000000002</v>
          </cell>
          <cell r="N226">
            <v>6.468</v>
          </cell>
          <cell r="O226">
            <v>7.41</v>
          </cell>
          <cell r="P226">
            <v>10.882999999999999</v>
          </cell>
          <cell r="Q226">
            <v>24.206</v>
          </cell>
          <cell r="R226">
            <v>34.813000000000002</v>
          </cell>
        </row>
        <row r="227">
          <cell r="B227" t="str">
            <v>Rest of World</v>
          </cell>
          <cell r="M227">
            <v>14.656000000000137</v>
          </cell>
          <cell r="N227">
            <v>19.956999999999883</v>
          </cell>
          <cell r="O227">
            <v>39.451000000000263</v>
          </cell>
          <cell r="P227">
            <v>70.776000000000138</v>
          </cell>
          <cell r="Q227">
            <v>91.650000000000048</v>
          </cell>
          <cell r="R227">
            <v>158.25499999999988</v>
          </cell>
        </row>
        <row r="228">
          <cell r="B228" t="str">
            <v>Total</v>
          </cell>
          <cell r="M228">
            <v>661.197</v>
          </cell>
          <cell r="N228">
            <v>904.01799999999992</v>
          </cell>
          <cell r="O228">
            <v>1253.1160000000002</v>
          </cell>
          <cell r="P228">
            <v>1468.0900000000001</v>
          </cell>
          <cell r="Q228">
            <v>1844.8679999999999</v>
          </cell>
          <cell r="R228">
            <v>2254.0969999999998</v>
          </cell>
        </row>
        <row r="230">
          <cell r="B230" t="str">
            <v>Assets by Segment</v>
          </cell>
        </row>
        <row r="231">
          <cell r="B231" t="str">
            <v>Cranes and related products</v>
          </cell>
          <cell r="D231">
            <v>136.995</v>
          </cell>
          <cell r="E231">
            <v>138.416</v>
          </cell>
          <cell r="F231">
            <v>105.75</v>
          </cell>
          <cell r="G231">
            <v>93.822999999999993</v>
          </cell>
          <cell r="H231">
            <v>109.11799999999999</v>
          </cell>
          <cell r="I231">
            <v>88.174000000000007</v>
          </cell>
          <cell r="J231">
            <v>100.59099999999999</v>
          </cell>
          <cell r="K231">
            <v>178.47</v>
          </cell>
          <cell r="L231">
            <v>165.97399999999999</v>
          </cell>
          <cell r="M231">
            <v>171.86699999999999</v>
          </cell>
          <cell r="N231">
            <v>577.91999999999996</v>
          </cell>
          <cell r="O231">
            <v>1046.2940000000001</v>
          </cell>
          <cell r="P231">
            <v>1151.751</v>
          </cell>
          <cell r="Q231">
            <v>1279.665</v>
          </cell>
          <cell r="R231">
            <v>1224.6790000000001</v>
          </cell>
        </row>
        <row r="232">
          <cell r="B232" t="str">
            <v>Foodservice products</v>
          </cell>
          <cell r="D232">
            <v>28.018999999999998</v>
          </cell>
          <cell r="E232">
            <v>25.608000000000001</v>
          </cell>
          <cell r="F232">
            <v>29.526</v>
          </cell>
          <cell r="G232">
            <v>31.46</v>
          </cell>
          <cell r="H232">
            <v>90.126000000000005</v>
          </cell>
          <cell r="I232">
            <v>90.936999999999998</v>
          </cell>
          <cell r="J232">
            <v>249.38399999999999</v>
          </cell>
          <cell r="K232">
            <v>254.506</v>
          </cell>
          <cell r="L232">
            <v>314.98200000000003</v>
          </cell>
          <cell r="M232">
            <v>359.19600000000003</v>
          </cell>
          <cell r="N232">
            <v>368.363</v>
          </cell>
          <cell r="O232">
            <v>320.83999999999997</v>
          </cell>
          <cell r="P232">
            <v>290.58600000000001</v>
          </cell>
          <cell r="Q232">
            <v>302.86500000000001</v>
          </cell>
          <cell r="R232">
            <v>313.24900000000002</v>
          </cell>
        </row>
        <row r="233">
          <cell r="B233" t="str">
            <v>Marine</v>
          </cell>
          <cell r="D233">
            <v>18.009</v>
          </cell>
          <cell r="E233">
            <v>19.253</v>
          </cell>
          <cell r="F233">
            <v>16.72</v>
          </cell>
          <cell r="G233">
            <v>16.725999999999999</v>
          </cell>
          <cell r="H233">
            <v>11.369</v>
          </cell>
          <cell r="I233">
            <v>10.648</v>
          </cell>
          <cell r="J233">
            <v>6.4260000000000002</v>
          </cell>
          <cell r="K233">
            <v>7.0229999999999997</v>
          </cell>
          <cell r="L233">
            <v>10.162000000000001</v>
          </cell>
          <cell r="M233">
            <v>75.757000000000005</v>
          </cell>
          <cell r="N233">
            <v>77.290999999999997</v>
          </cell>
          <cell r="O233">
            <v>93.983000000000004</v>
          </cell>
          <cell r="P233">
            <v>91.519000000000005</v>
          </cell>
          <cell r="Q233">
            <v>110.336</v>
          </cell>
          <cell r="R233">
            <v>123.291</v>
          </cell>
        </row>
        <row r="234">
          <cell r="B234" t="str">
            <v>Corporate</v>
          </cell>
          <cell r="D234">
            <v>35.982999999999997</v>
          </cell>
          <cell r="E234">
            <v>41.829000000000001</v>
          </cell>
          <cell r="F234">
            <v>56.015000000000001</v>
          </cell>
          <cell r="G234">
            <v>43.838999999999999</v>
          </cell>
          <cell r="H234">
            <v>114.30200000000001</v>
          </cell>
          <cell r="I234">
            <v>127.95099999999999</v>
          </cell>
          <cell r="J234">
            <v>39.966999999999999</v>
          </cell>
          <cell r="K234">
            <v>41.015000000000001</v>
          </cell>
          <cell r="L234">
            <v>39.122</v>
          </cell>
          <cell r="M234">
            <v>35.71</v>
          </cell>
          <cell r="N234">
            <v>57.238</v>
          </cell>
          <cell r="O234">
            <v>139.529</v>
          </cell>
          <cell r="P234">
            <v>126.29300000000001</v>
          </cell>
          <cell r="Q234">
            <v>235.27</v>
          </cell>
          <cell r="R234">
            <v>300.55799999999999</v>
          </cell>
        </row>
        <row r="235">
          <cell r="B235" t="str">
            <v>Total</v>
          </cell>
          <cell r="D235">
            <v>219.00600000000003</v>
          </cell>
          <cell r="E235">
            <v>225.10599999999999</v>
          </cell>
          <cell r="F235">
            <v>208.01100000000002</v>
          </cell>
          <cell r="G235">
            <v>185.84799999999998</v>
          </cell>
          <cell r="H235">
            <v>324.91500000000002</v>
          </cell>
          <cell r="I235">
            <v>317.70999999999998</v>
          </cell>
          <cell r="J235">
            <v>396.36799999999994</v>
          </cell>
          <cell r="K235">
            <v>481.01400000000001</v>
          </cell>
          <cell r="L235">
            <v>530.24</v>
          </cell>
          <cell r="M235">
            <v>642.53</v>
          </cell>
          <cell r="N235">
            <v>1080.8119999999999</v>
          </cell>
          <cell r="O235">
            <v>1600.646</v>
          </cell>
          <cell r="P235">
            <v>1660.1489999999999</v>
          </cell>
          <cell r="Q235">
            <v>1928.136</v>
          </cell>
          <cell r="R235">
            <v>1961.777</v>
          </cell>
        </row>
        <row r="237">
          <cell r="B237" t="str">
            <v>Return on Assets</v>
          </cell>
        </row>
        <row r="238">
          <cell r="B238" t="str">
            <v>Cranes and related products</v>
          </cell>
          <cell r="D238">
            <v>5.5491076316653891E-2</v>
          </cell>
          <cell r="E238">
            <v>-6.1409085654837593E-3</v>
          </cell>
          <cell r="F238">
            <v>-1.8543735224586289E-2</v>
          </cell>
          <cell r="G238">
            <v>2.424778572418277E-2</v>
          </cell>
          <cell r="H238">
            <v>2.9133598489708389E-2</v>
          </cell>
          <cell r="I238">
            <v>0.25610724249778843</v>
          </cell>
          <cell r="J238">
            <v>0.29596087125090714</v>
          </cell>
          <cell r="K238">
            <v>0.23800638762817278</v>
          </cell>
          <cell r="L238">
            <v>0.32291202236494876</v>
          </cell>
          <cell r="M238">
            <v>0.30478800467803596</v>
          </cell>
          <cell r="N238">
            <v>0.10841292912513845</v>
          </cell>
          <cell r="O238">
            <v>5.3152364440587442E-2</v>
          </cell>
          <cell r="P238">
            <v>2.9135637824495055E-2</v>
          </cell>
          <cell r="Q238">
            <v>4.5189170603243817E-2</v>
          </cell>
          <cell r="R238">
            <v>9.4299812440647696E-2</v>
          </cell>
        </row>
        <row r="239">
          <cell r="B239" t="str">
            <v>Foodservice products</v>
          </cell>
          <cell r="D239">
            <v>0.61972233127520615</v>
          </cell>
          <cell r="E239">
            <v>0.68669946891596378</v>
          </cell>
          <cell r="F239">
            <v>0.62016527806001487</v>
          </cell>
          <cell r="G239">
            <v>0.68776223776223777</v>
          </cell>
          <cell r="H239">
            <v>0.25219137651732015</v>
          </cell>
          <cell r="I239">
            <v>0.3737642543739072</v>
          </cell>
          <cell r="J239">
            <v>0.14734706316363522</v>
          </cell>
          <cell r="K239">
            <v>0.20805010490911807</v>
          </cell>
          <cell r="L239">
            <v>0.20754201827406007</v>
          </cell>
          <cell r="M239">
            <v>0.14531342219846544</v>
          </cell>
          <cell r="N239">
            <v>0.13629490475427772</v>
          </cell>
          <cell r="O239">
            <v>0.15686323401072189</v>
          </cell>
          <cell r="P239">
            <v>0.23987735128326901</v>
          </cell>
          <cell r="Q239">
            <v>0.18563056147128257</v>
          </cell>
          <cell r="R239">
            <v>0.18544352894981309</v>
          </cell>
        </row>
        <row r="240">
          <cell r="B240" t="str">
            <v>Marine</v>
          </cell>
          <cell r="D240">
            <v>-5.4028541284913099E-2</v>
          </cell>
          <cell r="E240">
            <v>1.443930815976731E-2</v>
          </cell>
          <cell r="F240">
            <v>3.5466507177033493E-2</v>
          </cell>
          <cell r="G240">
            <v>0.1462991749372235</v>
          </cell>
          <cell r="H240">
            <v>0.35394493798926907</v>
          </cell>
          <cell r="I240">
            <v>0.58198722764838473</v>
          </cell>
          <cell r="J240">
            <v>0.87892934951758472</v>
          </cell>
          <cell r="K240">
            <v>0.99359248184536519</v>
          </cell>
          <cell r="L240">
            <v>0.71806730958472731</v>
          </cell>
          <cell r="M240">
            <v>8.9892683184392197E-2</v>
          </cell>
          <cell r="N240">
            <v>0.23205806626903522</v>
          </cell>
          <cell r="O240">
            <v>0.22146558420139811</v>
          </cell>
          <cell r="P240">
            <v>5.190179088495285E-2</v>
          </cell>
          <cell r="Q240">
            <v>0.14950696055684454</v>
          </cell>
          <cell r="R240">
            <v>6.6184879674915506E-3</v>
          </cell>
        </row>
        <row r="241">
          <cell r="B241" t="str">
            <v>Total</v>
          </cell>
          <cell r="D241">
            <v>8.3372145055386607E-2</v>
          </cell>
          <cell r="E241">
            <v>4.65025365827655E-2</v>
          </cell>
          <cell r="F241">
            <v>4.0127685555090838E-2</v>
          </cell>
          <cell r="G241">
            <v>0.11345292927553702</v>
          </cell>
          <cell r="H241">
            <v>7.1187849129772385E-2</v>
          </cell>
          <cell r="I241">
            <v>0.16395454974662416</v>
          </cell>
          <cell r="J241">
            <v>0.15472490211116946</v>
          </cell>
          <cell r="K241">
            <v>0.18386367132765366</v>
          </cell>
          <cell r="L241">
            <v>0.20588035606517802</v>
          </cell>
          <cell r="M241">
            <v>0.16230681835867589</v>
          </cell>
          <cell r="N241">
            <v>0.10777545030958208</v>
          </cell>
          <cell r="O241">
            <v>7.8940002973799356E-2</v>
          </cell>
          <cell r="P241">
            <v>4.2293794111251323E-2</v>
          </cell>
          <cell r="Q241">
            <v>5.5058356879390175E-2</v>
          </cell>
          <cell r="R241">
            <v>7.4693504919264575E-2</v>
          </cell>
        </row>
        <row r="243">
          <cell r="B243" t="str">
            <v>Depreciation by Segment</v>
          </cell>
        </row>
        <row r="244">
          <cell r="B244" t="str">
            <v>Cranes and related products</v>
          </cell>
          <cell r="D244">
            <v>3.6909999999999998</v>
          </cell>
          <cell r="E244">
            <v>4.0529999999999999</v>
          </cell>
          <cell r="F244">
            <v>3.875</v>
          </cell>
          <cell r="G244">
            <v>4.2110000000000003</v>
          </cell>
          <cell r="H244">
            <v>4.1619999999999999</v>
          </cell>
          <cell r="I244">
            <v>4.26</v>
          </cell>
          <cell r="J244">
            <v>2.7189999999999999</v>
          </cell>
          <cell r="K244">
            <v>2.7290000000000001</v>
          </cell>
          <cell r="L244">
            <v>2.613</v>
          </cell>
          <cell r="M244">
            <v>2.1179999999999999</v>
          </cell>
          <cell r="N244">
            <v>10.926</v>
          </cell>
          <cell r="O244">
            <v>24.225999999999999</v>
          </cell>
          <cell r="P244">
            <v>36.776000000000003</v>
          </cell>
          <cell r="Q244">
            <v>42.889000000000003</v>
          </cell>
          <cell r="R244">
            <v>51.798000000000002</v>
          </cell>
        </row>
        <row r="245">
          <cell r="B245" t="str">
            <v>Foodservice products</v>
          </cell>
          <cell r="D245">
            <v>0.81200000000000006</v>
          </cell>
          <cell r="E245">
            <v>1.0900000000000001</v>
          </cell>
          <cell r="F245">
            <v>1.1870000000000001</v>
          </cell>
          <cell r="G245">
            <v>1.32</v>
          </cell>
          <cell r="H245">
            <v>1.6060000000000001</v>
          </cell>
          <cell r="I245">
            <v>3.3769999999999998</v>
          </cell>
          <cell r="J245">
            <v>3.613</v>
          </cell>
          <cell r="K245">
            <v>4.9059999999999997</v>
          </cell>
          <cell r="L245">
            <v>4.8609999999999998</v>
          </cell>
          <cell r="M245">
            <v>5.7480000000000002</v>
          </cell>
          <cell r="N245">
            <v>6.5720000000000001</v>
          </cell>
          <cell r="O245">
            <v>6.5069999999999997</v>
          </cell>
          <cell r="P245">
            <v>5.8840000000000003</v>
          </cell>
          <cell r="Q245">
            <v>4.9409999999999998</v>
          </cell>
          <cell r="R245">
            <v>6.0640000000000001</v>
          </cell>
        </row>
        <row r="246">
          <cell r="B246" t="str">
            <v>Marine</v>
          </cell>
          <cell r="D246">
            <v>0.79200000000000004</v>
          </cell>
          <cell r="E246">
            <v>0.78500000000000003</v>
          </cell>
          <cell r="F246">
            <v>0.75600000000000001</v>
          </cell>
          <cell r="G246">
            <v>0.68100000000000005</v>
          </cell>
          <cell r="H246">
            <v>0.60799999999999998</v>
          </cell>
          <cell r="I246">
            <v>0.6</v>
          </cell>
          <cell r="J246">
            <v>0.25600000000000001</v>
          </cell>
          <cell r="K246">
            <v>0.33300000000000002</v>
          </cell>
          <cell r="L246">
            <v>0.41499999999999998</v>
          </cell>
          <cell r="M246">
            <v>0.26600000000000001</v>
          </cell>
          <cell r="N246">
            <v>0.85</v>
          </cell>
          <cell r="O246">
            <v>1.008</v>
          </cell>
          <cell r="P246">
            <v>0.89700000000000002</v>
          </cell>
          <cell r="Q246">
            <v>0.92900000000000005</v>
          </cell>
          <cell r="R246">
            <v>0.95099999999999996</v>
          </cell>
        </row>
        <row r="247">
          <cell r="B247" t="str">
            <v>Corporate</v>
          </cell>
          <cell r="D247">
            <v>0.23400000000000001</v>
          </cell>
          <cell r="E247">
            <v>0.19600000000000001</v>
          </cell>
          <cell r="F247">
            <v>4.3999999999999997E-2</v>
          </cell>
          <cell r="G247">
            <v>6.0999999999999999E-2</v>
          </cell>
          <cell r="H247">
            <v>0.08</v>
          </cell>
          <cell r="I247">
            <v>8.1000000000000003E-2</v>
          </cell>
          <cell r="J247">
            <v>0.40500000000000003</v>
          </cell>
          <cell r="K247">
            <v>0.40500000000000003</v>
          </cell>
          <cell r="L247">
            <v>0.38400000000000001</v>
          </cell>
          <cell r="M247">
            <v>0.35199999999999998</v>
          </cell>
          <cell r="N247">
            <v>0.66800000000000004</v>
          </cell>
          <cell r="O247">
            <v>0.61499999999999999</v>
          </cell>
          <cell r="P247">
            <v>1.1599999999999999</v>
          </cell>
          <cell r="Q247">
            <v>1.3720000000000001</v>
          </cell>
          <cell r="R247">
            <v>1.631</v>
          </cell>
        </row>
        <row r="248">
          <cell r="B248" t="str">
            <v>Total</v>
          </cell>
          <cell r="D248">
            <v>5.5289999999999999</v>
          </cell>
          <cell r="E248">
            <v>6.1239999999999997</v>
          </cell>
          <cell r="F248">
            <v>5.8620000000000001</v>
          </cell>
          <cell r="G248">
            <v>6.2730000000000006</v>
          </cell>
          <cell r="H248">
            <v>6.4559999999999995</v>
          </cell>
          <cell r="I248">
            <v>8.3179999999999996</v>
          </cell>
          <cell r="J248">
            <v>6.9930000000000003</v>
          </cell>
          <cell r="K248">
            <v>8.3729999999999993</v>
          </cell>
          <cell r="L248">
            <v>8.2729999999999997</v>
          </cell>
          <cell r="M248">
            <v>8.484</v>
          </cell>
          <cell r="N248">
            <v>19.016000000000002</v>
          </cell>
          <cell r="O248">
            <v>32.355999999999995</v>
          </cell>
          <cell r="P248">
            <v>44.716999999999999</v>
          </cell>
          <cell r="Q248">
            <v>50.131000000000007</v>
          </cell>
          <cell r="R248">
            <v>60.444000000000003</v>
          </cell>
        </row>
        <row r="250">
          <cell r="B250" t="str">
            <v>EBITDA by Segment</v>
          </cell>
        </row>
        <row r="251">
          <cell r="B251" t="str">
            <v>Cranes and related products</v>
          </cell>
          <cell r="D251">
            <v>11.292999999999999</v>
          </cell>
          <cell r="E251">
            <v>3.2029999999999998</v>
          </cell>
          <cell r="F251">
            <v>1.9139999999999999</v>
          </cell>
          <cell r="G251">
            <v>6.4860000000000007</v>
          </cell>
          <cell r="H251">
            <v>7.3409999999999993</v>
          </cell>
          <cell r="I251">
            <v>26.841999999999999</v>
          </cell>
          <cell r="J251">
            <v>32.49</v>
          </cell>
          <cell r="K251">
            <v>45.205999999999996</v>
          </cell>
          <cell r="L251">
            <v>56.207999999999998</v>
          </cell>
          <cell r="M251">
            <v>54.501000000000005</v>
          </cell>
          <cell r="N251">
            <v>73.58</v>
          </cell>
          <cell r="O251">
            <v>79.838999999999999</v>
          </cell>
          <cell r="P251">
            <v>70.332999999999998</v>
          </cell>
          <cell r="Q251">
            <v>100.71600000000001</v>
          </cell>
          <cell r="R251">
            <v>167.285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odel"/>
      <sheetName val="EPS Power"/>
      <sheetName val="EV"/>
      <sheetName val="A vs. E"/>
      <sheetName val="BPF"/>
      <sheetName val="DBT"/>
      <sheetName val="Charts"/>
      <sheetName val="GPS - Bucyrus International"/>
      <sheetName val="Module1"/>
    </sheetNames>
    <sheetDataSet>
      <sheetData sheetId="0" refreshError="1">
        <row r="123">
          <cell r="A123" t="str">
            <v>% of Sales</v>
          </cell>
        </row>
        <row r="124">
          <cell r="A124" t="str">
            <v>Top Customer - BHP Billiton</v>
          </cell>
          <cell r="C124">
            <v>0.19</v>
          </cell>
          <cell r="D124">
            <v>0.19</v>
          </cell>
          <cell r="E124">
            <v>0.16</v>
          </cell>
          <cell r="F124">
            <v>0.11</v>
          </cell>
          <cell r="G124">
            <v>0.11</v>
          </cell>
          <cell r="H124">
            <v>0.12</v>
          </cell>
          <cell r="I124">
            <v>0.17</v>
          </cell>
          <cell r="J124">
            <v>0.12</v>
          </cell>
          <cell r="K124">
            <v>0.14000000000000001</v>
          </cell>
          <cell r="L124">
            <v>0.13</v>
          </cell>
        </row>
        <row r="125">
          <cell r="A125" t="str">
            <v>Top 5 Customers</v>
          </cell>
          <cell r="G125">
            <v>0.3</v>
          </cell>
          <cell r="H125">
            <v>0.41</v>
          </cell>
          <cell r="I125">
            <v>0.43</v>
          </cell>
          <cell r="J125">
            <v>0.36</v>
          </cell>
          <cell r="K125">
            <v>0.38</v>
          </cell>
          <cell r="L125">
            <v>0.4</v>
          </cell>
        </row>
        <row r="129">
          <cell r="A129" t="str">
            <v>BUCYRUS</v>
          </cell>
        </row>
        <row r="130">
          <cell r="A130" t="str">
            <v>Statement of Cash Flows</v>
          </cell>
        </row>
        <row r="131">
          <cell r="A131" t="str">
            <v>in millions, except per share items</v>
          </cell>
          <cell r="C131" t="str">
            <v>1997</v>
          </cell>
          <cell r="D131" t="str">
            <v>1998</v>
          </cell>
          <cell r="E131" t="str">
            <v>1999</v>
          </cell>
          <cell r="F131" t="str">
            <v>2000</v>
          </cell>
          <cell r="G131" t="str">
            <v>2001</v>
          </cell>
          <cell r="H131" t="str">
            <v>2002</v>
          </cell>
          <cell r="I131" t="str">
            <v>2003</v>
          </cell>
          <cell r="J131" t="str">
            <v>2004</v>
          </cell>
          <cell r="K131" t="str">
            <v>2005</v>
          </cell>
          <cell r="L131" t="str">
            <v>2006</v>
          </cell>
          <cell r="M131" t="str">
            <v>06 DBT</v>
          </cell>
          <cell r="N131" t="str">
            <v>Adjust</v>
          </cell>
          <cell r="O131" t="str">
            <v>2006 PF</v>
          </cell>
          <cell r="P131" t="str">
            <v>07 BUCY</v>
          </cell>
          <cell r="Q131" t="str">
            <v>07 DBT</v>
          </cell>
          <cell r="R131" t="str">
            <v>Adjust</v>
          </cell>
          <cell r="S131" t="str">
            <v>07E-PF</v>
          </cell>
          <cell r="T131" t="str">
            <v>2007E</v>
          </cell>
          <cell r="U131" t="str">
            <v>2008E</v>
          </cell>
          <cell r="V131" t="str">
            <v>2009E</v>
          </cell>
        </row>
        <row r="132">
          <cell r="A132" t="str">
            <v>Cash From Operations</v>
          </cell>
        </row>
        <row r="133">
          <cell r="A133" t="str">
            <v>Net Income</v>
          </cell>
          <cell r="D133">
            <v>-8.2639999999999993</v>
          </cell>
          <cell r="E133">
            <v>-22.574999999999999</v>
          </cell>
          <cell r="F133">
            <v>-32.796999999999997</v>
          </cell>
          <cell r="G133">
            <v>-10.462999999999999</v>
          </cell>
          <cell r="H133">
            <v>-10.786</v>
          </cell>
          <cell r="I133">
            <v>-3.581</v>
          </cell>
          <cell r="J133">
            <v>6.0839999999999996</v>
          </cell>
          <cell r="K133">
            <v>53.558999999999997</v>
          </cell>
          <cell r="L133">
            <v>70.343999999999994</v>
          </cell>
          <cell r="P133">
            <v>91.255999999999972</v>
          </cell>
          <cell r="T133">
            <v>136.13399999999999</v>
          </cell>
          <cell r="U133">
            <v>200.38360000000003</v>
          </cell>
          <cell r="V133">
            <v>253.47775000000007</v>
          </cell>
        </row>
        <row r="134">
          <cell r="A134" t="str">
            <v xml:space="preserve">Depreciation </v>
          </cell>
          <cell r="D134">
            <v>10.331</v>
          </cell>
          <cell r="E134">
            <v>11.2</v>
          </cell>
          <cell r="F134">
            <v>11.393000000000001</v>
          </cell>
          <cell r="G134">
            <v>11.24</v>
          </cell>
          <cell r="H134">
            <v>10.666</v>
          </cell>
          <cell r="I134">
            <v>10.831</v>
          </cell>
          <cell r="J134">
            <v>11.061</v>
          </cell>
          <cell r="K134">
            <v>11.680999999999999</v>
          </cell>
          <cell r="L134">
            <v>12.891999999999999</v>
          </cell>
          <cell r="P134">
            <v>17</v>
          </cell>
          <cell r="T134">
            <v>25.437999999999999</v>
          </cell>
          <cell r="U134">
            <v>36</v>
          </cell>
          <cell r="V134">
            <v>40</v>
          </cell>
        </row>
        <row r="135">
          <cell r="A135" t="str">
            <v>Amortization</v>
          </cell>
          <cell r="D135">
            <v>5.7009999999999996</v>
          </cell>
          <cell r="E135">
            <v>5.6479999999999997</v>
          </cell>
          <cell r="F135">
            <v>5.8209999999999997</v>
          </cell>
          <cell r="G135">
            <v>5.4139999999999997</v>
          </cell>
          <cell r="H135">
            <v>4.7480000000000002</v>
          </cell>
          <cell r="I135">
            <v>2.8879999999999999</v>
          </cell>
          <cell r="J135">
            <v>3.194</v>
          </cell>
          <cell r="K135">
            <v>2.7879999999999998</v>
          </cell>
          <cell r="L135">
            <v>2.827</v>
          </cell>
          <cell r="P135">
            <v>3</v>
          </cell>
          <cell r="T135">
            <v>31.574999999999999</v>
          </cell>
          <cell r="U135">
            <v>3</v>
          </cell>
          <cell r="V135">
            <v>3</v>
          </cell>
        </row>
        <row r="136">
          <cell r="A136" t="str">
            <v>Stock Comp Expense</v>
          </cell>
          <cell r="D136">
            <v>0</v>
          </cell>
          <cell r="E136">
            <v>0</v>
          </cell>
          <cell r="F136">
            <v>0</v>
          </cell>
          <cell r="G136">
            <v>0</v>
          </cell>
          <cell r="H136">
            <v>0</v>
          </cell>
          <cell r="I136">
            <v>1.792</v>
          </cell>
          <cell r="J136">
            <v>10.076000000000001</v>
          </cell>
          <cell r="K136">
            <v>0.18</v>
          </cell>
          <cell r="L136">
            <v>4.2839999999999998</v>
          </cell>
          <cell r="P136">
            <v>0</v>
          </cell>
          <cell r="T136">
            <v>6.1710000000000003</v>
          </cell>
          <cell r="U136">
            <v>0</v>
          </cell>
          <cell r="V136">
            <v>0</v>
          </cell>
        </row>
        <row r="137">
          <cell r="A137" t="str">
            <v>Director's Fee Stock Issuance</v>
          </cell>
          <cell r="D137">
            <v>0</v>
          </cell>
          <cell r="E137">
            <v>0</v>
          </cell>
          <cell r="F137">
            <v>0</v>
          </cell>
          <cell r="G137">
            <v>0</v>
          </cell>
          <cell r="H137">
            <v>0</v>
          </cell>
          <cell r="I137">
            <v>0</v>
          </cell>
          <cell r="J137">
            <v>0</v>
          </cell>
          <cell r="K137">
            <v>7.0000000000000007E-2</v>
          </cell>
          <cell r="L137">
            <v>8.1000000000000003E-2</v>
          </cell>
          <cell r="P137">
            <v>0</v>
          </cell>
          <cell r="T137">
            <v>0.22800000000000001</v>
          </cell>
          <cell r="U137">
            <v>0</v>
          </cell>
          <cell r="V137">
            <v>0</v>
          </cell>
        </row>
        <row r="138">
          <cell r="A138" t="str">
            <v>Deferred Taxes</v>
          </cell>
          <cell r="D138">
            <v>0</v>
          </cell>
          <cell r="E138">
            <v>0</v>
          </cell>
          <cell r="F138">
            <v>0</v>
          </cell>
          <cell r="G138">
            <v>0</v>
          </cell>
          <cell r="H138">
            <v>0.85699999999999998</v>
          </cell>
          <cell r="I138">
            <v>-1.0509999999999999</v>
          </cell>
          <cell r="J138">
            <v>3.7719999999999998</v>
          </cell>
          <cell r="K138">
            <v>-9.7650000000000006</v>
          </cell>
          <cell r="L138">
            <v>0.27500000000000002</v>
          </cell>
          <cell r="P138">
            <v>0</v>
          </cell>
          <cell r="T138">
            <v>-65.548000000000002</v>
          </cell>
          <cell r="U138">
            <v>0</v>
          </cell>
          <cell r="V138">
            <v>0</v>
          </cell>
        </row>
        <row r="139">
          <cell r="A139" t="str">
            <v>Tax Benefit From Options</v>
          </cell>
          <cell r="D139">
            <v>0</v>
          </cell>
          <cell r="E139">
            <v>0</v>
          </cell>
          <cell r="F139">
            <v>0</v>
          </cell>
          <cell r="G139">
            <v>0</v>
          </cell>
          <cell r="H139">
            <v>0</v>
          </cell>
          <cell r="I139">
            <v>0</v>
          </cell>
          <cell r="J139">
            <v>0</v>
          </cell>
          <cell r="K139">
            <v>4.3159999999999998</v>
          </cell>
          <cell r="L139">
            <v>0</v>
          </cell>
          <cell r="P139">
            <v>0</v>
          </cell>
          <cell r="T139">
            <v>0</v>
          </cell>
          <cell r="U139">
            <v>0</v>
          </cell>
          <cell r="V139">
            <v>0</v>
          </cell>
        </row>
        <row r="140">
          <cell r="A140" t="str">
            <v>Loss on Sale of PP&amp;E</v>
          </cell>
          <cell r="D140">
            <v>1.0999999999999999E-2</v>
          </cell>
          <cell r="E140">
            <v>0.02</v>
          </cell>
          <cell r="F140">
            <v>7.0000000000000001E-3</v>
          </cell>
          <cell r="G140">
            <v>0.75</v>
          </cell>
          <cell r="H140">
            <v>0.65500000000000003</v>
          </cell>
          <cell r="I140">
            <v>0.626</v>
          </cell>
          <cell r="J140">
            <v>0.28699999999999998</v>
          </cell>
          <cell r="K140">
            <v>0.27300000000000002</v>
          </cell>
          <cell r="L140">
            <v>0.14000000000000001</v>
          </cell>
          <cell r="P140">
            <v>0</v>
          </cell>
          <cell r="T140">
            <v>0.55200000000000005</v>
          </cell>
          <cell r="U140">
            <v>0</v>
          </cell>
          <cell r="V140">
            <v>0</v>
          </cell>
        </row>
        <row r="141">
          <cell r="A141" t="str">
            <v>Other</v>
          </cell>
          <cell r="D141">
            <v>0</v>
          </cell>
          <cell r="E141">
            <v>4.3719999999999999</v>
          </cell>
          <cell r="F141">
            <v>0</v>
          </cell>
          <cell r="G141">
            <v>-8.7040000000000006</v>
          </cell>
          <cell r="H141">
            <v>0</v>
          </cell>
          <cell r="I141">
            <v>0</v>
          </cell>
          <cell r="J141">
            <v>7.9180000000000001</v>
          </cell>
          <cell r="K141">
            <v>0</v>
          </cell>
          <cell r="L141">
            <v>0.8</v>
          </cell>
          <cell r="P141">
            <v>0</v>
          </cell>
          <cell r="T141">
            <v>0</v>
          </cell>
          <cell r="U141">
            <v>0</v>
          </cell>
          <cell r="V141">
            <v>0</v>
          </cell>
        </row>
        <row r="142">
          <cell r="A142" t="str">
            <v>Funds From Operations</v>
          </cell>
          <cell r="D142">
            <v>7.7789999999999999</v>
          </cell>
          <cell r="E142">
            <v>-1.3350000000000009</v>
          </cell>
          <cell r="F142">
            <v>-15.575999999999997</v>
          </cell>
          <cell r="G142">
            <v>-1.7629999999999999</v>
          </cell>
          <cell r="H142">
            <v>6.1400000000000015</v>
          </cell>
          <cell r="I142">
            <v>11.504999999999999</v>
          </cell>
          <cell r="J142">
            <v>42.391999999999996</v>
          </cell>
          <cell r="K142">
            <v>63.101999999999997</v>
          </cell>
          <cell r="L142">
            <v>91.643000000000001</v>
          </cell>
          <cell r="P142">
            <v>111.25599999999997</v>
          </cell>
          <cell r="T142">
            <v>134.54999999999995</v>
          </cell>
          <cell r="U142">
            <v>239.38360000000003</v>
          </cell>
          <cell r="V142">
            <v>296.47775000000007</v>
          </cell>
        </row>
        <row r="144">
          <cell r="A144" t="str">
            <v>Working Capital</v>
          </cell>
          <cell r="D144">
            <v>-31.925000000000001</v>
          </cell>
          <cell r="E144">
            <v>-3.4189999999999992</v>
          </cell>
          <cell r="F144">
            <v>14.977000000000004</v>
          </cell>
          <cell r="G144">
            <v>0.45399999999999974</v>
          </cell>
          <cell r="H144">
            <v>3.5650000000000017</v>
          </cell>
          <cell r="I144">
            <v>11.433</v>
          </cell>
          <cell r="J144">
            <v>-26.728999999999999</v>
          </cell>
          <cell r="K144">
            <v>-12.743999999999996</v>
          </cell>
          <cell r="L144">
            <v>-40.712999999999994</v>
          </cell>
          <cell r="P144">
            <v>-52.43700000000004</v>
          </cell>
          <cell r="T144">
            <v>-40.941000000000003</v>
          </cell>
          <cell r="U144">
            <v>-62.132222222222268</v>
          </cell>
          <cell r="V144">
            <v>-43.487023809523862</v>
          </cell>
        </row>
        <row r="145">
          <cell r="A145" t="str">
            <v>Receivables</v>
          </cell>
          <cell r="D145">
            <v>-13.597</v>
          </cell>
          <cell r="E145">
            <v>0.13400000000000001</v>
          </cell>
          <cell r="F145">
            <v>-7.4999999999999997E-2</v>
          </cell>
          <cell r="G145">
            <v>3.86</v>
          </cell>
          <cell r="H145">
            <v>1.329</v>
          </cell>
          <cell r="I145">
            <v>-13.247</v>
          </cell>
          <cell r="J145">
            <v>-15.023</v>
          </cell>
          <cell r="K145">
            <v>-64.728999999999999</v>
          </cell>
          <cell r="L145">
            <v>-6.4429999999999996</v>
          </cell>
          <cell r="P145">
            <v>-37.465000000000003</v>
          </cell>
          <cell r="T145">
            <v>-19.518999999999998</v>
          </cell>
          <cell r="U145">
            <v>-150.08266666666674</v>
          </cell>
          <cell r="V145">
            <v>-44.444444444444343</v>
          </cell>
        </row>
        <row r="146">
          <cell r="A146" t="str">
            <v xml:space="preserve">Inventories </v>
          </cell>
          <cell r="D146">
            <v>-2.8239999999999998</v>
          </cell>
          <cell r="E146">
            <v>-11.539</v>
          </cell>
          <cell r="F146">
            <v>19.972000000000001</v>
          </cell>
          <cell r="G146">
            <v>-5.843</v>
          </cell>
          <cell r="H146">
            <v>-10.952999999999999</v>
          </cell>
          <cell r="I146">
            <v>8.5579999999999998</v>
          </cell>
          <cell r="J146">
            <v>8.7260000000000009</v>
          </cell>
          <cell r="K146">
            <v>-21.904</v>
          </cell>
          <cell r="L146">
            <v>-42.433</v>
          </cell>
          <cell r="P146">
            <v>-41.523000000000053</v>
          </cell>
          <cell r="T146">
            <v>-35.695999999999998</v>
          </cell>
          <cell r="U146">
            <v>-158.73055555555544</v>
          </cell>
          <cell r="V146">
            <v>-64.049801587301772</v>
          </cell>
        </row>
        <row r="147">
          <cell r="A147" t="str">
            <v>Other Current Assets</v>
          </cell>
          <cell r="D147">
            <v>-1.167</v>
          </cell>
          <cell r="E147">
            <v>0.55100000000000005</v>
          </cell>
          <cell r="F147">
            <v>-0.95299999999999996</v>
          </cell>
          <cell r="G147">
            <v>-1.2E-2</v>
          </cell>
          <cell r="H147">
            <v>-1.6890000000000001</v>
          </cell>
          <cell r="I147">
            <v>0.46100000000000002</v>
          </cell>
          <cell r="J147">
            <v>5.4729999999999999</v>
          </cell>
          <cell r="K147">
            <v>-1.1120000000000001</v>
          </cell>
          <cell r="L147">
            <v>-8.84</v>
          </cell>
          <cell r="P147">
            <v>0</v>
          </cell>
          <cell r="T147">
            <v>-26.948</v>
          </cell>
          <cell r="U147">
            <v>29.317999999999998</v>
          </cell>
          <cell r="V147">
            <v>-10</v>
          </cell>
        </row>
        <row r="148">
          <cell r="A148" t="str">
            <v>Other Assets</v>
          </cell>
          <cell r="D148">
            <v>-1.7709999999999999</v>
          </cell>
          <cell r="E148">
            <v>-0.81699999999999995</v>
          </cell>
          <cell r="F148">
            <v>-1.65</v>
          </cell>
          <cell r="G148">
            <v>-1.431</v>
          </cell>
          <cell r="H148">
            <v>1.2210000000000001</v>
          </cell>
          <cell r="I148">
            <v>2.2570000000000001</v>
          </cell>
          <cell r="J148">
            <v>-3.3090000000000002</v>
          </cell>
          <cell r="K148">
            <v>1.5740000000000001</v>
          </cell>
          <cell r="L148">
            <v>-0.41399999999999998</v>
          </cell>
          <cell r="P148">
            <v>0</v>
          </cell>
          <cell r="T148">
            <v>-42.267000000000003</v>
          </cell>
          <cell r="U148">
            <v>0</v>
          </cell>
          <cell r="V148">
            <v>0</v>
          </cell>
        </row>
        <row r="149">
          <cell r="A149" t="str">
            <v>Current Liabilities, excl taxes</v>
          </cell>
          <cell r="D149">
            <v>-7.5250000000000004</v>
          </cell>
          <cell r="E149">
            <v>11.801</v>
          </cell>
          <cell r="F149">
            <v>-4.92</v>
          </cell>
          <cell r="G149">
            <v>0.157</v>
          </cell>
          <cell r="H149">
            <v>9.6180000000000003</v>
          </cell>
          <cell r="I149">
            <v>6.8460000000000001</v>
          </cell>
          <cell r="J149">
            <v>-14.849</v>
          </cell>
          <cell r="K149">
            <v>72.751999999999995</v>
          </cell>
          <cell r="L149">
            <v>13.848000000000001</v>
          </cell>
          <cell r="P149">
            <v>26.551000000000016</v>
          </cell>
          <cell r="T149">
            <v>-62.21</v>
          </cell>
          <cell r="U149">
            <v>193.27699999999993</v>
          </cell>
          <cell r="V149">
            <v>50.007222222222254</v>
          </cell>
        </row>
        <row r="150">
          <cell r="A150" t="str">
            <v>Income Taxes</v>
          </cell>
          <cell r="D150">
            <v>-1.28</v>
          </cell>
          <cell r="E150">
            <v>0.21299999999999999</v>
          </cell>
          <cell r="F150">
            <v>1.0069999999999999</v>
          </cell>
          <cell r="G150">
            <v>-0.54600000000000004</v>
          </cell>
          <cell r="H150">
            <v>1.976</v>
          </cell>
          <cell r="I150">
            <v>0.41899999999999998</v>
          </cell>
          <cell r="J150">
            <v>-1.3759999999999999</v>
          </cell>
          <cell r="K150">
            <v>7.7080000000000002</v>
          </cell>
          <cell r="L150">
            <v>-1.171</v>
          </cell>
          <cell r="P150">
            <v>0</v>
          </cell>
          <cell r="T150">
            <v>50.156999999999996</v>
          </cell>
          <cell r="U150">
            <v>10.263999999999996</v>
          </cell>
          <cell r="V150">
            <v>5</v>
          </cell>
        </row>
        <row r="151">
          <cell r="A151" t="str">
            <v>LT Deferred Taxes</v>
          </cell>
          <cell r="D151">
            <v>-3.7610000000000001</v>
          </cell>
          <cell r="E151">
            <v>-3.762</v>
          </cell>
          <cell r="F151">
            <v>1.5960000000000001</v>
          </cell>
          <cell r="G151">
            <v>4.2690000000000001</v>
          </cell>
          <cell r="H151">
            <v>2.0630000000000002</v>
          </cell>
          <cell r="I151">
            <v>6.1390000000000002</v>
          </cell>
          <cell r="J151">
            <v>-6.3710000000000004</v>
          </cell>
          <cell r="K151">
            <v>-7.0330000000000004</v>
          </cell>
          <cell r="L151">
            <v>4.74</v>
          </cell>
          <cell r="P151">
            <v>0</v>
          </cell>
          <cell r="T151">
            <v>95.542000000000002</v>
          </cell>
          <cell r="U151">
            <v>13.822000000000003</v>
          </cell>
          <cell r="V151">
            <v>20</v>
          </cell>
        </row>
        <row r="152">
          <cell r="A152" t="str">
            <v>Cash From Operations</v>
          </cell>
          <cell r="D152">
            <v>-24.146000000000001</v>
          </cell>
          <cell r="E152">
            <v>-4.7539999999999996</v>
          </cell>
          <cell r="F152">
            <v>-0.59899999999999309</v>
          </cell>
          <cell r="G152">
            <v>-1.3090000000000002</v>
          </cell>
          <cell r="H152">
            <v>9.7050000000000036</v>
          </cell>
          <cell r="I152">
            <v>22.937999999999999</v>
          </cell>
          <cell r="J152">
            <v>15.662999999999997</v>
          </cell>
          <cell r="K152">
            <v>50.358000000000004</v>
          </cell>
          <cell r="L152">
            <v>50.930000000000007</v>
          </cell>
          <cell r="P152">
            <v>58.818999999999932</v>
          </cell>
          <cell r="T152">
            <v>93.608999999999952</v>
          </cell>
          <cell r="U152">
            <v>177.25137777777775</v>
          </cell>
          <cell r="V152">
            <v>252.99072619047621</v>
          </cell>
        </row>
        <row r="154">
          <cell r="A154" t="str">
            <v>Cash From Investing</v>
          </cell>
        </row>
        <row r="155">
          <cell r="A155" t="str">
            <v>Net PP&amp;E Purchases</v>
          </cell>
          <cell r="D155">
            <v>-11.375</v>
          </cell>
          <cell r="E155">
            <v>-6.577</v>
          </cell>
          <cell r="F155">
            <v>-2.0519999999999996</v>
          </cell>
          <cell r="G155">
            <v>-3.5909999999999997</v>
          </cell>
          <cell r="H155">
            <v>-4.7119999999999997</v>
          </cell>
          <cell r="I155">
            <v>-4.21</v>
          </cell>
          <cell r="J155">
            <v>-6.18</v>
          </cell>
          <cell r="K155">
            <v>-21.859000000000002</v>
          </cell>
          <cell r="L155">
            <v>-70.789000000000001</v>
          </cell>
          <cell r="P155">
            <v>-60</v>
          </cell>
          <cell r="T155">
            <v>-94.344999999999999</v>
          </cell>
          <cell r="U155">
            <v>-100</v>
          </cell>
          <cell r="V155">
            <v>-100</v>
          </cell>
        </row>
        <row r="156">
          <cell r="A156" t="str">
            <v>Acquisitions</v>
          </cell>
          <cell r="D156">
            <v>0</v>
          </cell>
          <cell r="E156">
            <v>-7.05</v>
          </cell>
          <cell r="F156">
            <v>0</v>
          </cell>
          <cell r="G156">
            <v>0</v>
          </cell>
          <cell r="H156">
            <v>-0.2</v>
          </cell>
          <cell r="I156">
            <v>0</v>
          </cell>
          <cell r="J156">
            <v>0</v>
          </cell>
          <cell r="K156">
            <v>0</v>
          </cell>
          <cell r="L156">
            <v>0</v>
          </cell>
          <cell r="P156">
            <v>0</v>
          </cell>
          <cell r="T156">
            <v>-707.61</v>
          </cell>
          <cell r="U156">
            <v>0</v>
          </cell>
          <cell r="V156">
            <v>0</v>
          </cell>
        </row>
        <row r="157">
          <cell r="A157" t="str">
            <v>Other</v>
          </cell>
          <cell r="D157">
            <v>0.57999999999999996</v>
          </cell>
          <cell r="E157">
            <v>0.38700000000000001</v>
          </cell>
          <cell r="F157">
            <v>-0.46100000000000002</v>
          </cell>
          <cell r="G157">
            <v>5.6980000000000004</v>
          </cell>
          <cell r="H157">
            <v>8.7279999999999998</v>
          </cell>
          <cell r="I157">
            <v>0.90700000000000003</v>
          </cell>
          <cell r="J157">
            <v>-0.52600000000000002</v>
          </cell>
          <cell r="K157">
            <v>-0.25</v>
          </cell>
          <cell r="L157">
            <v>0.186</v>
          </cell>
          <cell r="P157">
            <v>0</v>
          </cell>
          <cell r="T157">
            <v>26.491</v>
          </cell>
          <cell r="U157">
            <v>0</v>
          </cell>
          <cell r="V157">
            <v>0</v>
          </cell>
        </row>
        <row r="158">
          <cell r="A158" t="str">
            <v>Cash From Investing</v>
          </cell>
          <cell r="D158">
            <v>-10.795</v>
          </cell>
          <cell r="E158">
            <v>-13.239999999999998</v>
          </cell>
          <cell r="F158">
            <v>-2.5129999999999995</v>
          </cell>
          <cell r="G158">
            <v>2.1070000000000007</v>
          </cell>
          <cell r="H158">
            <v>3.8159999999999998</v>
          </cell>
          <cell r="I158">
            <v>-3.3029999999999999</v>
          </cell>
          <cell r="J158">
            <v>-6.7059999999999995</v>
          </cell>
          <cell r="K158">
            <v>-22.109000000000002</v>
          </cell>
          <cell r="L158">
            <v>-70.602999999999994</v>
          </cell>
          <cell r="P158">
            <v>-60</v>
          </cell>
          <cell r="T158">
            <v>-775.46400000000006</v>
          </cell>
          <cell r="U158">
            <v>-100</v>
          </cell>
          <cell r="V158">
            <v>-100</v>
          </cell>
        </row>
        <row r="160">
          <cell r="A160" t="str">
            <v>Cash From Financing</v>
          </cell>
        </row>
        <row r="161">
          <cell r="A161" t="str">
            <v>Net Borrowings Under Revolver</v>
          </cell>
          <cell r="D161">
            <v>27.734999999999999</v>
          </cell>
          <cell r="E161">
            <v>9.4</v>
          </cell>
          <cell r="F161">
            <v>5.0999999999999996</v>
          </cell>
          <cell r="G161">
            <v>-1.052</v>
          </cell>
          <cell r="H161">
            <v>-14.808999999999999</v>
          </cell>
          <cell r="I161">
            <v>-16.603000000000002</v>
          </cell>
          <cell r="J161">
            <v>-37.42</v>
          </cell>
          <cell r="K161">
            <v>63.49</v>
          </cell>
          <cell r="L161">
            <v>15.298999999999999</v>
          </cell>
          <cell r="P161">
            <v>0</v>
          </cell>
          <cell r="T161">
            <v>-63.996000000000002</v>
          </cell>
          <cell r="U161">
            <v>0</v>
          </cell>
          <cell r="V161">
            <v>0</v>
          </cell>
        </row>
        <row r="162">
          <cell r="A162" t="str">
            <v>Net Bank Borrowings/LTD</v>
          </cell>
          <cell r="D162">
            <v>0.63000000000000012</v>
          </cell>
          <cell r="E162">
            <v>8.7449999999999992</v>
          </cell>
          <cell r="F162">
            <v>-2.4009999999999998</v>
          </cell>
          <cell r="G162">
            <v>-0.13300000000000001</v>
          </cell>
          <cell r="H162">
            <v>5.2999999999999999E-2</v>
          </cell>
          <cell r="I162">
            <v>-0.93300000000000005</v>
          </cell>
          <cell r="J162">
            <v>-51.379999999999995</v>
          </cell>
          <cell r="K162">
            <v>-98.427999999999997</v>
          </cell>
          <cell r="L162">
            <v>-1.016</v>
          </cell>
          <cell r="P162">
            <v>0</v>
          </cell>
          <cell r="T162">
            <v>477.55700000000002</v>
          </cell>
          <cell r="U162">
            <v>-50</v>
          </cell>
          <cell r="V162">
            <v>-100</v>
          </cell>
        </row>
        <row r="163">
          <cell r="A163" t="str">
            <v>Common Stock Issuance</v>
          </cell>
          <cell r="D163">
            <v>0.88</v>
          </cell>
          <cell r="E163">
            <v>-0.16500000000000001</v>
          </cell>
          <cell r="F163">
            <v>-0.13100000000000001</v>
          </cell>
          <cell r="G163">
            <v>0</v>
          </cell>
          <cell r="H163">
            <v>0</v>
          </cell>
          <cell r="I163">
            <v>7.1999999999999995E-2</v>
          </cell>
          <cell r="J163">
            <v>129.791</v>
          </cell>
          <cell r="K163">
            <v>3.8959999999999999</v>
          </cell>
          <cell r="L163">
            <v>0.75600000000000001</v>
          </cell>
          <cell r="P163">
            <v>0</v>
          </cell>
          <cell r="T163">
            <v>336.28899999999999</v>
          </cell>
          <cell r="U163">
            <v>0</v>
          </cell>
          <cell r="V163">
            <v>0</v>
          </cell>
        </row>
        <row r="164">
          <cell r="A164" t="str">
            <v>Dividends</v>
          </cell>
          <cell r="D164">
            <v>0</v>
          </cell>
          <cell r="E164">
            <v>0</v>
          </cell>
          <cell r="F164">
            <v>0</v>
          </cell>
          <cell r="G164">
            <v>0</v>
          </cell>
          <cell r="H164">
            <v>0</v>
          </cell>
          <cell r="I164">
            <v>0</v>
          </cell>
          <cell r="J164">
            <v>-1.151</v>
          </cell>
          <cell r="K164">
            <v>-4.6660000000000004</v>
          </cell>
          <cell r="L164">
            <v>-5.8920000000000003</v>
          </cell>
          <cell r="P164">
            <v>-8</v>
          </cell>
          <cell r="T164">
            <v>-6.8680000000000003</v>
          </cell>
          <cell r="U164">
            <v>-9</v>
          </cell>
          <cell r="V164">
            <v>-10</v>
          </cell>
        </row>
        <row r="165">
          <cell r="A165" t="str">
            <v>Other</v>
          </cell>
          <cell r="D165">
            <v>-0.29299999999999998</v>
          </cell>
          <cell r="E165">
            <v>0</v>
          </cell>
          <cell r="F165">
            <v>0</v>
          </cell>
          <cell r="G165">
            <v>1.093</v>
          </cell>
          <cell r="H165">
            <v>-2.0470000000000002</v>
          </cell>
          <cell r="I165">
            <v>-1.526</v>
          </cell>
          <cell r="J165">
            <v>-34.652000000000001</v>
          </cell>
          <cell r="K165">
            <v>-0.59099999999999997</v>
          </cell>
          <cell r="L165">
            <v>6.0750000000000002</v>
          </cell>
          <cell r="P165">
            <v>0</v>
          </cell>
          <cell r="T165">
            <v>-15.379000000000001</v>
          </cell>
          <cell r="U165">
            <v>0</v>
          </cell>
          <cell r="V165">
            <v>0</v>
          </cell>
        </row>
        <row r="166">
          <cell r="A166" t="str">
            <v>Cash From Financing</v>
          </cell>
          <cell r="D166">
            <v>28.951999999999998</v>
          </cell>
          <cell r="E166">
            <v>17.98</v>
          </cell>
          <cell r="F166">
            <v>2.5679999999999996</v>
          </cell>
          <cell r="G166">
            <v>-9.2000000000000082E-2</v>
          </cell>
          <cell r="H166">
            <v>-16.802999999999997</v>
          </cell>
          <cell r="I166">
            <v>-18.990000000000002</v>
          </cell>
          <cell r="J166">
            <v>5.1879999999999953</v>
          </cell>
          <cell r="K166">
            <v>-36.298999999999999</v>
          </cell>
          <cell r="L166">
            <v>15.221999999999998</v>
          </cell>
          <cell r="P166">
            <v>-8</v>
          </cell>
          <cell r="T166">
            <v>727.60299999999995</v>
          </cell>
          <cell r="U166">
            <v>-59</v>
          </cell>
          <cell r="V166">
            <v>-110</v>
          </cell>
        </row>
        <row r="168">
          <cell r="A168" t="str">
            <v>Effect of Exchange Rates</v>
          </cell>
          <cell r="D168">
            <v>-0.26100000000000001</v>
          </cell>
          <cell r="E168">
            <v>-0.438</v>
          </cell>
          <cell r="F168">
            <v>-0.877</v>
          </cell>
          <cell r="G168">
            <v>-0.436</v>
          </cell>
          <cell r="H168">
            <v>0.253</v>
          </cell>
          <cell r="I168">
            <v>1.2410000000000001</v>
          </cell>
          <cell r="J168">
            <v>0.39700000000000002</v>
          </cell>
          <cell r="K168">
            <v>-0.11600000000000001</v>
          </cell>
          <cell r="L168">
            <v>1.663</v>
          </cell>
          <cell r="P168">
            <v>0</v>
          </cell>
          <cell r="T168">
            <v>5.8090000000000002</v>
          </cell>
          <cell r="U168">
            <v>0</v>
          </cell>
          <cell r="V168">
            <v>0</v>
          </cell>
        </row>
        <row r="170">
          <cell r="A170" t="str">
            <v>Beginning Cash</v>
          </cell>
          <cell r="D170">
            <v>15.071</v>
          </cell>
          <cell r="E170">
            <v>8.8209999999999997</v>
          </cell>
          <cell r="F170">
            <v>8.3689999999999998</v>
          </cell>
          <cell r="G170">
            <v>6.9480000000000004</v>
          </cell>
          <cell r="H170">
            <v>7.218</v>
          </cell>
          <cell r="I170">
            <v>4.1890000000000001</v>
          </cell>
          <cell r="J170">
            <v>6.0750000000000002</v>
          </cell>
          <cell r="K170">
            <v>20.617000000000001</v>
          </cell>
          <cell r="L170">
            <v>12.451000000000001</v>
          </cell>
          <cell r="P170">
            <v>9.5749999999999993</v>
          </cell>
          <cell r="T170">
            <v>9.5749999999999993</v>
          </cell>
          <cell r="U170">
            <v>61.112000000000002</v>
          </cell>
          <cell r="V170">
            <v>79.363377777777742</v>
          </cell>
        </row>
        <row r="171">
          <cell r="A171" t="str">
            <v>Cash Increase (decr.)</v>
          </cell>
          <cell r="D171">
            <v>-6.25</v>
          </cell>
          <cell r="E171">
            <v>-0.4519999999999964</v>
          </cell>
          <cell r="F171">
            <v>-1.4209999999999929</v>
          </cell>
          <cell r="G171">
            <v>0.27000000000000046</v>
          </cell>
          <cell r="H171">
            <v>-3.0289999999999946</v>
          </cell>
          <cell r="I171">
            <v>1.8859999999999957</v>
          </cell>
          <cell r="J171">
            <v>14.541999999999993</v>
          </cell>
          <cell r="K171">
            <v>-8.1659999999999968</v>
          </cell>
          <cell r="L171">
            <v>-2.7879999999999896</v>
          </cell>
          <cell r="P171">
            <v>-9.1810000000000684</v>
          </cell>
          <cell r="T171">
            <v>51.537000000000006</v>
          </cell>
          <cell r="U171">
            <v>18.251377777777748</v>
          </cell>
          <cell r="V171">
            <v>42.990726190476209</v>
          </cell>
        </row>
        <row r="172">
          <cell r="A172" t="str">
            <v>Ending Cash</v>
          </cell>
          <cell r="C172">
            <v>15.071</v>
          </cell>
          <cell r="D172">
            <v>8.8209999999999997</v>
          </cell>
          <cell r="E172">
            <v>8.3690000000000033</v>
          </cell>
          <cell r="F172">
            <v>6.9480000000000066</v>
          </cell>
          <cell r="G172">
            <v>7.2180000000000009</v>
          </cell>
          <cell r="H172">
            <v>4.1890000000000054</v>
          </cell>
          <cell r="I172">
            <v>6.0749999999999957</v>
          </cell>
          <cell r="J172">
            <v>20.616999999999994</v>
          </cell>
          <cell r="K172">
            <v>12.451000000000004</v>
          </cell>
          <cell r="L172">
            <v>9.6630000000000109</v>
          </cell>
          <cell r="P172">
            <v>0.39399999999993085</v>
          </cell>
          <cell r="T172">
            <v>61.112000000000002</v>
          </cell>
          <cell r="U172">
            <v>79.363377777777742</v>
          </cell>
          <cell r="V172">
            <v>122.35410396825395</v>
          </cell>
        </row>
        <row r="174">
          <cell r="A174" t="str">
            <v>Parent Company Debt</v>
          </cell>
          <cell r="C174">
            <v>175.46199999999999</v>
          </cell>
          <cell r="D174">
            <v>203.827</v>
          </cell>
          <cell r="E174">
            <v>221.97199999999998</v>
          </cell>
          <cell r="F174">
            <v>224.67099999999999</v>
          </cell>
          <cell r="G174">
            <v>223.48599999999999</v>
          </cell>
          <cell r="H174">
            <v>208.73</v>
          </cell>
          <cell r="I174">
            <v>191.76900000000001</v>
          </cell>
          <cell r="J174">
            <v>103.252</v>
          </cell>
          <cell r="K174">
            <v>68.313999999999993</v>
          </cell>
          <cell r="L174">
            <v>82.597000000000008</v>
          </cell>
          <cell r="M174">
            <v>51.343000000000004</v>
          </cell>
          <cell r="N174">
            <v>408.46800000000007</v>
          </cell>
          <cell r="O174">
            <v>542.40800000000013</v>
          </cell>
          <cell r="P174">
            <v>82.597000000000008</v>
          </cell>
          <cell r="T174">
            <v>536.06899999999996</v>
          </cell>
          <cell r="U174">
            <v>486.06900000000002</v>
          </cell>
          <cell r="V174">
            <v>386.06900000000002</v>
          </cell>
        </row>
        <row r="175">
          <cell r="A175" t="str">
            <v xml:space="preserve">Equity </v>
          </cell>
          <cell r="C175">
            <v>132.25300000000001</v>
          </cell>
          <cell r="D175">
            <v>120.23899999999998</v>
          </cell>
          <cell r="E175">
            <v>94.275999999999982</v>
          </cell>
          <cell r="F175">
            <v>46.041999999999973</v>
          </cell>
          <cell r="G175">
            <v>17.297999999999995</v>
          </cell>
          <cell r="H175">
            <v>-8.0050000000000097</v>
          </cell>
          <cell r="I175">
            <v>9.673000000000016</v>
          </cell>
          <cell r="J175">
            <v>167.06800000000004</v>
          </cell>
          <cell r="K175">
            <v>220.9</v>
          </cell>
          <cell r="L175">
            <v>295.99600000000004</v>
          </cell>
          <cell r="M175">
            <v>207.57299999999998</v>
          </cell>
          <cell r="N175">
            <v>100.60900000000001</v>
          </cell>
          <cell r="O175">
            <v>604.178</v>
          </cell>
          <cell r="P175">
            <v>379.25200000000001</v>
          </cell>
          <cell r="T175">
            <v>810.85</v>
          </cell>
          <cell r="U175">
            <v>1002.2336</v>
          </cell>
          <cell r="V175">
            <v>1245.71135</v>
          </cell>
        </row>
        <row r="176">
          <cell r="A176" t="str">
            <v>Total Capital</v>
          </cell>
          <cell r="C176">
            <v>307.71500000000003</v>
          </cell>
          <cell r="D176">
            <v>324.06599999999997</v>
          </cell>
          <cell r="E176">
            <v>316.24799999999993</v>
          </cell>
          <cell r="F176">
            <v>270.71299999999997</v>
          </cell>
          <cell r="G176">
            <v>240.78399999999999</v>
          </cell>
          <cell r="H176">
            <v>200.72499999999997</v>
          </cell>
          <cell r="I176">
            <v>201.44200000000001</v>
          </cell>
          <cell r="J176">
            <v>270.32000000000005</v>
          </cell>
          <cell r="K176">
            <v>289.214</v>
          </cell>
          <cell r="L176">
            <v>378.59300000000007</v>
          </cell>
          <cell r="M176">
            <v>258.916</v>
          </cell>
          <cell r="N176">
            <v>509.07700000000011</v>
          </cell>
          <cell r="O176">
            <v>1146.5860000000002</v>
          </cell>
          <cell r="P176">
            <v>461.84900000000005</v>
          </cell>
          <cell r="T176">
            <v>1346.9189999999999</v>
          </cell>
          <cell r="U176">
            <v>1488.3026</v>
          </cell>
          <cell r="V176">
            <v>1631.78035</v>
          </cell>
        </row>
        <row r="177">
          <cell r="A177" t="str">
            <v>Debt as % Total Capital</v>
          </cell>
          <cell r="C177">
            <v>0.57020944705327969</v>
          </cell>
          <cell r="D177">
            <v>0.62896755599168075</v>
          </cell>
          <cell r="E177">
            <v>0.70189218587943647</v>
          </cell>
          <cell r="F177">
            <v>0.8299232028014909</v>
          </cell>
          <cell r="G177">
            <v>0.92815967838394575</v>
          </cell>
          <cell r="H177">
            <v>1.0398804334288207</v>
          </cell>
          <cell r="I177">
            <v>0.95198121543670133</v>
          </cell>
          <cell r="J177">
            <v>0.3819621189701094</v>
          </cell>
          <cell r="K177">
            <v>0.23620571618248076</v>
          </cell>
          <cell r="L177">
            <v>0.21816832323893995</v>
          </cell>
          <cell r="M177">
            <v>0.19829983469542248</v>
          </cell>
          <cell r="N177">
            <v>0.80236977903146278</v>
          </cell>
          <cell r="O177">
            <v>0.47306351202613672</v>
          </cell>
          <cell r="P177">
            <v>0.17883983726282832</v>
          </cell>
          <cell r="T177">
            <v>0.39799646452385035</v>
          </cell>
          <cell r="U177">
            <v>0.32659285819966988</v>
          </cell>
          <cell r="V177">
            <v>0.23659373027748495</v>
          </cell>
        </row>
        <row r="178">
          <cell r="A178" t="str">
            <v>Book Value Per Share</v>
          </cell>
          <cell r="D178" t="str">
            <v>n/a</v>
          </cell>
          <cell r="E178" t="str">
            <v>n/a</v>
          </cell>
          <cell r="F178" t="str">
            <v>n/a</v>
          </cell>
          <cell r="G178" t="str">
            <v>n/a</v>
          </cell>
          <cell r="H178">
            <v>-0.69700821955976677</v>
          </cell>
          <cell r="I178">
            <v>0.82602410593330189</v>
          </cell>
          <cell r="J178">
            <v>6.8974941735768374</v>
          </cell>
          <cell r="K178">
            <v>7.0696739248118892</v>
          </cell>
          <cell r="L178">
            <v>9.3848523455837238</v>
          </cell>
          <cell r="P178">
            <v>12.039746031746033</v>
          </cell>
          <cell r="T178">
            <v>22.915049163568909</v>
          </cell>
          <cell r="U178">
            <v>26.236481675392668</v>
          </cell>
          <cell r="V178">
            <v>31.941316666666669</v>
          </cell>
        </row>
        <row r="179">
          <cell r="A179" t="str">
            <v>Return on Average Equity</v>
          </cell>
          <cell r="D179" t="str">
            <v>n/a</v>
          </cell>
          <cell r="E179" t="str">
            <v>n/a</v>
          </cell>
          <cell r="F179" t="str">
            <v>n/a</v>
          </cell>
          <cell r="G179" t="str">
            <v>n/a</v>
          </cell>
          <cell r="H179" t="str">
            <v>n/a</v>
          </cell>
          <cell r="I179" t="str">
            <v>n/a</v>
          </cell>
          <cell r="J179">
            <v>0.12265857950334066</v>
          </cell>
          <cell r="K179">
            <v>0.27610009072913255</v>
          </cell>
          <cell r="L179">
            <v>0.27217854268556907</v>
          </cell>
          <cell r="M179">
            <v>0.29917647829790989</v>
          </cell>
          <cell r="O179">
            <v>0.34347682349419062</v>
          </cell>
          <cell r="P179">
            <v>0.28740092012637874</v>
          </cell>
          <cell r="T179">
            <v>0.18474718973667811</v>
          </cell>
          <cell r="U179">
            <v>0.27420564625233473</v>
          </cell>
          <cell r="V179">
            <v>0.22551953507580341</v>
          </cell>
        </row>
        <row r="180">
          <cell r="A180" t="str">
            <v>Operating Free Cash Flow</v>
          </cell>
          <cell r="D180">
            <v>-35.521000000000001</v>
          </cell>
          <cell r="E180">
            <v>-11.331</v>
          </cell>
          <cell r="F180">
            <v>-2.6509999999999927</v>
          </cell>
          <cell r="G180">
            <v>-4.9000000000000004</v>
          </cell>
          <cell r="H180">
            <v>4.9930000000000039</v>
          </cell>
          <cell r="I180">
            <v>18.727999999999998</v>
          </cell>
          <cell r="J180">
            <v>9.482999999999997</v>
          </cell>
          <cell r="K180">
            <v>28.499000000000002</v>
          </cell>
          <cell r="L180">
            <v>-19.858999999999995</v>
          </cell>
          <cell r="T180">
            <v>-0.73600000000004684</v>
          </cell>
          <cell r="U180">
            <v>77.251377777777748</v>
          </cell>
          <cell r="V180">
            <v>152.99072619047621</v>
          </cell>
        </row>
        <row r="183">
          <cell r="A183" t="str">
            <v>BUCYRUS</v>
          </cell>
        </row>
        <row r="184">
          <cell r="A184" t="str">
            <v>Balance Sheet</v>
          </cell>
        </row>
        <row r="185">
          <cell r="A185" t="str">
            <v>in millions, except per share items</v>
          </cell>
          <cell r="C185" t="str">
            <v>1997</v>
          </cell>
          <cell r="D185" t="str">
            <v>1998</v>
          </cell>
          <cell r="E185" t="str">
            <v>1999</v>
          </cell>
          <cell r="F185" t="str">
            <v>2000</v>
          </cell>
          <cell r="G185" t="str">
            <v>2001</v>
          </cell>
          <cell r="H185" t="str">
            <v>2002</v>
          </cell>
          <cell r="I185" t="str">
            <v>2003</v>
          </cell>
          <cell r="J185" t="str">
            <v>2004</v>
          </cell>
          <cell r="K185" t="str">
            <v>2005</v>
          </cell>
          <cell r="L185" t="str">
            <v>2006</v>
          </cell>
          <cell r="M185" t="str">
            <v>06 DBT</v>
          </cell>
          <cell r="N185" t="str">
            <v>Adjust</v>
          </cell>
          <cell r="O185" t="str">
            <v>2006 PF</v>
          </cell>
          <cell r="P185" t="str">
            <v>07 BUCY</v>
          </cell>
          <cell r="Q185" t="str">
            <v>07 DBT</v>
          </cell>
          <cell r="R185" t="str">
            <v>Adjust</v>
          </cell>
          <cell r="S185" t="str">
            <v>07E-PF</v>
          </cell>
          <cell r="T185" t="str">
            <v>2007</v>
          </cell>
          <cell r="U185" t="str">
            <v>2008E</v>
          </cell>
          <cell r="V185" t="str">
            <v>2009E</v>
          </cell>
        </row>
        <row r="186">
          <cell r="A186" t="str">
            <v>Current Assets</v>
          </cell>
        </row>
        <row r="187">
          <cell r="A187" t="str">
            <v>Cash &amp; M. S.</v>
          </cell>
          <cell r="C187">
            <v>15.071</v>
          </cell>
          <cell r="D187">
            <v>8.8209999999999997</v>
          </cell>
          <cell r="E187">
            <v>8.3689999999999998</v>
          </cell>
          <cell r="F187">
            <v>6.9480000000000004</v>
          </cell>
          <cell r="G187">
            <v>7.218</v>
          </cell>
          <cell r="H187">
            <v>4.1890000000000001</v>
          </cell>
          <cell r="I187">
            <v>6.0750000000000002</v>
          </cell>
          <cell r="J187">
            <v>20.617000000000001</v>
          </cell>
          <cell r="K187">
            <v>12.451000000000001</v>
          </cell>
          <cell r="L187">
            <v>9.5749999999999993</v>
          </cell>
          <cell r="M187">
            <v>22.536000000000001</v>
          </cell>
          <cell r="N187">
            <v>-14.725</v>
          </cell>
          <cell r="O187">
            <v>17.386000000000003</v>
          </cell>
          <cell r="P187">
            <v>0.39399999999993085</v>
          </cell>
          <cell r="T187">
            <v>61.112000000000002</v>
          </cell>
          <cell r="U187">
            <v>79.363377777777742</v>
          </cell>
          <cell r="V187">
            <v>122.35410396825395</v>
          </cell>
        </row>
        <row r="188">
          <cell r="A188" t="str">
            <v>Receivables</v>
          </cell>
          <cell r="C188">
            <v>49.442999999999998</v>
          </cell>
          <cell r="D188">
            <v>61.726999999999997</v>
          </cell>
          <cell r="E188">
            <v>61.023000000000003</v>
          </cell>
          <cell r="F188">
            <v>58.796999999999997</v>
          </cell>
          <cell r="G188">
            <v>55.554000000000002</v>
          </cell>
          <cell r="H188">
            <v>52.77</v>
          </cell>
          <cell r="I188">
            <v>73.111000000000004</v>
          </cell>
          <cell r="J188">
            <v>90.802000000000007</v>
          </cell>
          <cell r="K188">
            <v>155.547</v>
          </cell>
          <cell r="L188">
            <v>162.535</v>
          </cell>
          <cell r="M188">
            <v>330.887</v>
          </cell>
          <cell r="N188">
            <v>-106.79900000000001</v>
          </cell>
          <cell r="O188">
            <v>386.62300000000005</v>
          </cell>
          <cell r="P188">
            <v>200</v>
          </cell>
          <cell r="T188">
            <v>416.584</v>
          </cell>
          <cell r="U188">
            <v>566.66666666666674</v>
          </cell>
          <cell r="V188">
            <v>611.11111111111109</v>
          </cell>
        </row>
        <row r="189">
          <cell r="A189" t="str">
            <v>Inventories</v>
          </cell>
          <cell r="C189">
            <v>115.015</v>
          </cell>
          <cell r="D189">
            <v>113.226</v>
          </cell>
          <cell r="E189">
            <v>125.13200000000001</v>
          </cell>
          <cell r="F189">
            <v>101.126</v>
          </cell>
          <cell r="G189">
            <v>102.0008</v>
          </cell>
          <cell r="H189">
            <v>114.312</v>
          </cell>
          <cell r="I189">
            <v>115.898</v>
          </cell>
          <cell r="J189">
            <v>110.815</v>
          </cell>
          <cell r="K189">
            <v>133.476</v>
          </cell>
          <cell r="L189">
            <v>176.27699999999999</v>
          </cell>
          <cell r="M189">
            <v>243.495</v>
          </cell>
          <cell r="N189">
            <v>39.505000000000003</v>
          </cell>
          <cell r="O189">
            <v>459.27699999999999</v>
          </cell>
          <cell r="P189">
            <v>217.80000000000004</v>
          </cell>
          <cell r="T189">
            <v>494.42500000000001</v>
          </cell>
          <cell r="U189">
            <v>653.15555555555545</v>
          </cell>
          <cell r="V189">
            <v>717.20535714285722</v>
          </cell>
        </row>
        <row r="190">
          <cell r="A190" t="str">
            <v>Deferred Income Taxes</v>
          </cell>
          <cell r="C190" t="str">
            <v>n/a</v>
          </cell>
          <cell r="D190" t="str">
            <v>n/a</v>
          </cell>
          <cell r="E190" t="str">
            <v>n/a</v>
          </cell>
          <cell r="F190" t="str">
            <v>n/a</v>
          </cell>
          <cell r="G190" t="str">
            <v>n/a</v>
          </cell>
          <cell r="H190" t="str">
            <v>n/a</v>
          </cell>
          <cell r="I190">
            <v>0.94</v>
          </cell>
          <cell r="J190">
            <v>9.6069999999999993</v>
          </cell>
          <cell r="K190">
            <v>18.363</v>
          </cell>
          <cell r="L190">
            <v>11.725</v>
          </cell>
          <cell r="O190">
            <v>11.725</v>
          </cell>
          <cell r="P190">
            <v>11.725</v>
          </cell>
          <cell r="T190">
            <v>43.28</v>
          </cell>
          <cell r="U190">
            <v>20</v>
          </cell>
          <cell r="V190">
            <v>25</v>
          </cell>
        </row>
        <row r="191">
          <cell r="A191" t="str">
            <v>Prepaid Expenses and Other</v>
          </cell>
          <cell r="C191">
            <v>4.4960000000000004</v>
          </cell>
          <cell r="D191">
            <v>6.3810000000000002</v>
          </cell>
          <cell r="E191">
            <v>5.5019999999999998</v>
          </cell>
          <cell r="F191">
            <v>5.9930000000000003</v>
          </cell>
          <cell r="G191">
            <v>5.827</v>
          </cell>
          <cell r="H191">
            <v>6.1859999999999928</v>
          </cell>
          <cell r="I191">
            <v>7.2690000000000001</v>
          </cell>
          <cell r="J191">
            <v>7.2050000000000001</v>
          </cell>
          <cell r="K191">
            <v>6.9820000000000002</v>
          </cell>
          <cell r="L191">
            <v>16.408000000000001</v>
          </cell>
          <cell r="M191">
            <v>11.907</v>
          </cell>
          <cell r="N191">
            <v>0</v>
          </cell>
          <cell r="O191">
            <v>28.315000000000001</v>
          </cell>
          <cell r="P191">
            <v>16.408000000000001</v>
          </cell>
          <cell r="T191">
            <v>41.037999999999997</v>
          </cell>
          <cell r="U191">
            <v>35</v>
          </cell>
          <cell r="V191">
            <v>40</v>
          </cell>
        </row>
        <row r="192">
          <cell r="A192" t="str">
            <v>Total Current Assets</v>
          </cell>
          <cell r="C192">
            <v>184.02500000000001</v>
          </cell>
          <cell r="D192">
            <v>190.155</v>
          </cell>
          <cell r="E192">
            <v>200.02600000000001</v>
          </cell>
          <cell r="F192">
            <v>172.864</v>
          </cell>
          <cell r="G192">
            <v>170.59980000000002</v>
          </cell>
          <cell r="H192">
            <v>177.45699999999999</v>
          </cell>
          <cell r="I192">
            <v>203.29300000000001</v>
          </cell>
          <cell r="J192">
            <v>239.04600000000002</v>
          </cell>
          <cell r="K192">
            <v>326.81900000000002</v>
          </cell>
          <cell r="L192">
            <v>376.52</v>
          </cell>
          <cell r="M192">
            <v>608.82500000000005</v>
          </cell>
          <cell r="N192">
            <v>-82.019000000000005</v>
          </cell>
          <cell r="O192">
            <v>903.32600000000014</v>
          </cell>
          <cell r="P192">
            <v>446.327</v>
          </cell>
          <cell r="T192">
            <v>1056.4390000000001</v>
          </cell>
          <cell r="U192">
            <v>1354.1855999999998</v>
          </cell>
          <cell r="V192">
            <v>1515.6705722222223</v>
          </cell>
        </row>
        <row r="194">
          <cell r="A194" t="str">
            <v>PP&amp;E, Gross</v>
          </cell>
          <cell r="C194">
            <v>99.338999999999999</v>
          </cell>
          <cell r="D194">
            <v>110.96</v>
          </cell>
          <cell r="E194">
            <v>115.376</v>
          </cell>
          <cell r="F194">
            <v>115.21599999999999</v>
          </cell>
          <cell r="G194">
            <v>115.73</v>
          </cell>
          <cell r="H194">
            <v>106.565</v>
          </cell>
          <cell r="I194">
            <v>112.955</v>
          </cell>
          <cell r="J194">
            <v>120.724</v>
          </cell>
          <cell r="K194">
            <v>140.93799999999999</v>
          </cell>
          <cell r="L194">
            <v>210.60399999999998</v>
          </cell>
          <cell r="P194">
            <v>270.60399999999998</v>
          </cell>
        </row>
        <row r="195">
          <cell r="A195" t="str">
            <v>Accumulated Depreciation</v>
          </cell>
          <cell r="C195">
            <v>-1.7150000000000001</v>
          </cell>
          <cell r="D195">
            <v>-10.33</v>
          </cell>
          <cell r="E195">
            <v>-19.571000000000002</v>
          </cell>
          <cell r="F195">
            <v>-28.663</v>
          </cell>
          <cell r="G195">
            <v>-38.527000000000001</v>
          </cell>
          <cell r="H195">
            <v>-44.085999999999999</v>
          </cell>
          <cell r="I195">
            <v>-55.521999999999998</v>
          </cell>
          <cell r="J195">
            <v>-67.043999999999997</v>
          </cell>
          <cell r="K195">
            <v>-76.783000000000001</v>
          </cell>
          <cell r="L195">
            <v>-85.454999999999998</v>
          </cell>
          <cell r="P195">
            <v>-102.455</v>
          </cell>
        </row>
        <row r="196">
          <cell r="A196" t="str">
            <v>PP&amp;E, Net</v>
          </cell>
          <cell r="C196">
            <v>97.623999999999995</v>
          </cell>
          <cell r="D196">
            <v>100.63</v>
          </cell>
          <cell r="E196">
            <v>95.805000000000007</v>
          </cell>
          <cell r="F196">
            <v>86.552999999999997</v>
          </cell>
          <cell r="G196">
            <v>77.203000000000003</v>
          </cell>
          <cell r="H196">
            <v>62.478999999999999</v>
          </cell>
          <cell r="I196">
            <v>57.433</v>
          </cell>
          <cell r="J196">
            <v>53.680000000000007</v>
          </cell>
          <cell r="K196">
            <v>64.154999999999987</v>
          </cell>
          <cell r="L196">
            <v>125.14899999999999</v>
          </cell>
          <cell r="M196">
            <v>142.57400000000001</v>
          </cell>
          <cell r="N196">
            <v>55.526000000000003</v>
          </cell>
          <cell r="O196">
            <v>323.24900000000002</v>
          </cell>
          <cell r="P196">
            <v>168.149</v>
          </cell>
          <cell r="T196">
            <v>411.12700000000001</v>
          </cell>
          <cell r="U196">
            <v>475.12700000000001</v>
          </cell>
          <cell r="V196">
            <v>535.12699999999995</v>
          </cell>
        </row>
        <row r="197">
          <cell r="A197" t="str">
            <v>Goodwill</v>
          </cell>
          <cell r="C197">
            <v>65.929000000000002</v>
          </cell>
          <cell r="D197">
            <v>71.834999999999994</v>
          </cell>
          <cell r="E197">
            <v>69.334999999999994</v>
          </cell>
          <cell r="F197">
            <v>57.820999999999998</v>
          </cell>
          <cell r="G197">
            <v>55.66</v>
          </cell>
          <cell r="H197">
            <v>55.86</v>
          </cell>
          <cell r="I197">
            <v>55.86</v>
          </cell>
          <cell r="J197">
            <v>47.305999999999997</v>
          </cell>
          <cell r="K197">
            <v>47.305999999999997</v>
          </cell>
          <cell r="L197">
            <v>47.305999999999997</v>
          </cell>
          <cell r="M197">
            <v>4.2039999999999997</v>
          </cell>
          <cell r="N197">
            <v>597.96500000000003</v>
          </cell>
          <cell r="O197">
            <v>649.47500000000002</v>
          </cell>
          <cell r="P197">
            <v>47.305999999999997</v>
          </cell>
          <cell r="T197">
            <v>317.238</v>
          </cell>
          <cell r="U197">
            <v>317.238</v>
          </cell>
          <cell r="V197">
            <v>317.238</v>
          </cell>
        </row>
        <row r="198">
          <cell r="A198" t="str">
            <v>Intangibles - Net</v>
          </cell>
          <cell r="C198">
            <v>44.795999999999999</v>
          </cell>
          <cell r="D198">
            <v>42.573</v>
          </cell>
          <cell r="E198">
            <v>40.356999999999999</v>
          </cell>
          <cell r="F198">
            <v>38.18</v>
          </cell>
          <cell r="G198">
            <v>39.600999999999999</v>
          </cell>
          <cell r="H198">
            <v>37.661999999999999</v>
          </cell>
          <cell r="I198">
            <v>35.723999999999997</v>
          </cell>
          <cell r="J198">
            <v>36.935000000000002</v>
          </cell>
          <cell r="K198">
            <v>34.564999999999998</v>
          </cell>
          <cell r="L198">
            <v>28.097000000000001</v>
          </cell>
          <cell r="M198">
            <v>0</v>
          </cell>
          <cell r="N198">
            <v>0</v>
          </cell>
          <cell r="O198">
            <v>28.097000000000001</v>
          </cell>
          <cell r="P198">
            <v>25.097000000000001</v>
          </cell>
          <cell r="T198">
            <v>245.11199999999999</v>
          </cell>
          <cell r="U198">
            <v>242.11199999999999</v>
          </cell>
          <cell r="V198">
            <v>239.11199999999999</v>
          </cell>
        </row>
        <row r="199">
          <cell r="A199" t="str">
            <v>Deferred Income Taxes</v>
          </cell>
          <cell r="C199" t="str">
            <v>n/a</v>
          </cell>
          <cell r="D199" t="str">
            <v>n/a</v>
          </cell>
          <cell r="E199" t="str">
            <v>n/a</v>
          </cell>
          <cell r="F199" t="str">
            <v>n/a</v>
          </cell>
          <cell r="G199" t="str">
            <v>n/a</v>
          </cell>
          <cell r="H199" t="str">
            <v>n/a</v>
          </cell>
          <cell r="I199">
            <v>1.6359999999999999</v>
          </cell>
          <cell r="J199">
            <v>7.6509999999999998</v>
          </cell>
          <cell r="K199">
            <v>10.355</v>
          </cell>
          <cell r="L199">
            <v>16.117000000000001</v>
          </cell>
          <cell r="M199">
            <v>0</v>
          </cell>
          <cell r="N199">
            <v>0</v>
          </cell>
          <cell r="O199">
            <v>16.117000000000001</v>
          </cell>
          <cell r="P199">
            <v>16.117000000000001</v>
          </cell>
          <cell r="T199">
            <v>43.097999999999999</v>
          </cell>
          <cell r="U199">
            <v>43.097999999999999</v>
          </cell>
          <cell r="V199">
            <v>43.097999999999999</v>
          </cell>
        </row>
        <row r="200">
          <cell r="A200" t="str">
            <v>Other Assets</v>
          </cell>
          <cell r="C200">
            <v>13.733000000000001</v>
          </cell>
          <cell r="D200">
            <v>12.001999999999999</v>
          </cell>
          <cell r="E200">
            <v>11.464</v>
          </cell>
          <cell r="F200">
            <v>12.348000000000001</v>
          </cell>
          <cell r="G200">
            <v>12.674000000000001</v>
          </cell>
          <cell r="H200">
            <v>13.42</v>
          </cell>
          <cell r="I200">
            <v>8.1969999999999992</v>
          </cell>
          <cell r="J200">
            <v>8.1910000000000007</v>
          </cell>
          <cell r="K200">
            <v>8.7669999999999995</v>
          </cell>
          <cell r="L200">
            <v>7.5229999999999997</v>
          </cell>
          <cell r="M200">
            <v>30.375</v>
          </cell>
          <cell r="N200">
            <v>15.4</v>
          </cell>
          <cell r="O200">
            <v>53.297999999999995</v>
          </cell>
          <cell r="P200">
            <v>7.5229999999999997</v>
          </cell>
          <cell r="T200">
            <v>38.987000000000002</v>
          </cell>
          <cell r="U200">
            <v>38.987000000000002</v>
          </cell>
          <cell r="V200">
            <v>38.987000000000002</v>
          </cell>
        </row>
        <row r="201">
          <cell r="A201" t="str">
            <v>Total Assets</v>
          </cell>
          <cell r="C201">
            <v>406.10699999999997</v>
          </cell>
          <cell r="D201">
            <v>417.19499999999999</v>
          </cell>
          <cell r="E201">
            <v>416.98699999999997</v>
          </cell>
          <cell r="F201">
            <v>367.76600000000002</v>
          </cell>
          <cell r="G201">
            <v>355.73779999999999</v>
          </cell>
          <cell r="H201">
            <v>346.87799999999999</v>
          </cell>
          <cell r="I201">
            <v>362.14300000000003</v>
          </cell>
          <cell r="J201">
            <v>392.80900000000003</v>
          </cell>
          <cell r="K201">
            <v>491.96699999999998</v>
          </cell>
          <cell r="L201">
            <v>600.71199999999999</v>
          </cell>
          <cell r="M201">
            <v>785.97800000000007</v>
          </cell>
          <cell r="N201">
            <v>586.87199999999996</v>
          </cell>
          <cell r="O201">
            <v>1973.5619999999999</v>
          </cell>
          <cell r="P201">
            <v>710.51900000000001</v>
          </cell>
          <cell r="T201">
            <v>2112.0010000000002</v>
          </cell>
          <cell r="U201">
            <v>2470.7475999999997</v>
          </cell>
          <cell r="V201">
            <v>2689.2325722222222</v>
          </cell>
        </row>
        <row r="203">
          <cell r="A203" t="str">
            <v>Current Liabilities</v>
          </cell>
        </row>
        <row r="204">
          <cell r="A204" t="str">
            <v>ST Debt + Current Portions</v>
          </cell>
          <cell r="C204">
            <v>0.85</v>
          </cell>
          <cell r="D204">
            <v>1.5190000000000001</v>
          </cell>
          <cell r="E204">
            <v>7.9630000000000001</v>
          </cell>
          <cell r="F204">
            <v>6.8579999999999997</v>
          </cell>
          <cell r="G204">
            <v>1.298</v>
          </cell>
          <cell r="H204">
            <v>0.92599999999999993</v>
          </cell>
          <cell r="I204">
            <v>37.795999999999999</v>
          </cell>
          <cell r="J204">
            <v>6.3420000000000005</v>
          </cell>
          <cell r="K204">
            <v>1.339</v>
          </cell>
          <cell r="L204">
            <v>0.33099999999999996</v>
          </cell>
          <cell r="M204">
            <v>0</v>
          </cell>
          <cell r="N204">
            <v>0</v>
          </cell>
          <cell r="O204">
            <v>0.33099999999999996</v>
          </cell>
          <cell r="P204">
            <v>0.33099999999999996</v>
          </cell>
          <cell r="T204">
            <v>9.3480000000000008</v>
          </cell>
          <cell r="U204">
            <v>9.3480000000000008</v>
          </cell>
          <cell r="V204">
            <v>9.3480000000000008</v>
          </cell>
        </row>
        <row r="205">
          <cell r="A205" t="str">
            <v>A/P and Accrued Expenses</v>
          </cell>
          <cell r="C205">
            <v>51.905999999999999</v>
          </cell>
          <cell r="D205">
            <v>54.95</v>
          </cell>
          <cell r="E205">
            <v>64.64</v>
          </cell>
          <cell r="F205">
            <v>57.527999999999999</v>
          </cell>
          <cell r="G205">
            <v>47.76</v>
          </cell>
          <cell r="H205">
            <v>59.216000000000001</v>
          </cell>
          <cell r="I205">
            <v>59.591000000000001</v>
          </cell>
          <cell r="J205">
            <v>59.445999999999998</v>
          </cell>
          <cell r="K205">
            <v>106.747</v>
          </cell>
          <cell r="L205">
            <v>127.72399999999999</v>
          </cell>
          <cell r="M205">
            <v>161.23099999999999</v>
          </cell>
          <cell r="N205">
            <v>0</v>
          </cell>
          <cell r="O205">
            <v>288.95499999999998</v>
          </cell>
          <cell r="P205">
            <v>154.27500000000001</v>
          </cell>
          <cell r="T205">
            <v>289.21300000000002</v>
          </cell>
          <cell r="U205">
            <v>440.87999999999994</v>
          </cell>
          <cell r="V205">
            <v>490.88722222222219</v>
          </cell>
        </row>
        <row r="206">
          <cell r="A206" t="str">
            <v>Liabilities to Cust. On Contracts</v>
          </cell>
          <cell r="C206">
            <v>8.3160000000000007</v>
          </cell>
          <cell r="D206">
            <v>3.1680000000000001</v>
          </cell>
          <cell r="E206">
            <v>4.8760000000000003</v>
          </cell>
          <cell r="F206">
            <v>5.4589999999999996</v>
          </cell>
          <cell r="G206">
            <v>6.008</v>
          </cell>
          <cell r="H206">
            <v>7.85</v>
          </cell>
          <cell r="I206">
            <v>19.03</v>
          </cell>
          <cell r="J206">
            <v>8.2210000000000001</v>
          </cell>
          <cell r="K206">
            <v>35.238999999999997</v>
          </cell>
          <cell r="L206">
            <v>32.232999999999997</v>
          </cell>
          <cell r="M206">
            <v>164.666</v>
          </cell>
          <cell r="N206">
            <v>0</v>
          </cell>
          <cell r="O206">
            <v>196.899</v>
          </cell>
          <cell r="P206">
            <v>32.232999999999997</v>
          </cell>
          <cell r="T206">
            <v>158.38999999999999</v>
          </cell>
          <cell r="U206">
            <v>200</v>
          </cell>
          <cell r="V206">
            <v>200</v>
          </cell>
        </row>
        <row r="207">
          <cell r="A207" t="str">
            <v>Income Taxes</v>
          </cell>
          <cell r="C207">
            <v>2.0699999999999998</v>
          </cell>
          <cell r="D207">
            <v>0.95</v>
          </cell>
          <cell r="E207">
            <v>0.35299999999999998</v>
          </cell>
          <cell r="F207">
            <v>1.677</v>
          </cell>
          <cell r="G207">
            <v>1.2050000000000001</v>
          </cell>
          <cell r="H207">
            <v>3.4430000000000001</v>
          </cell>
          <cell r="I207">
            <v>4.3140000000000001</v>
          </cell>
          <cell r="J207">
            <v>2.88</v>
          </cell>
          <cell r="K207">
            <v>11.943</v>
          </cell>
          <cell r="L207">
            <v>9.9779999999999998</v>
          </cell>
          <cell r="M207">
            <v>48.685000000000002</v>
          </cell>
          <cell r="N207">
            <v>-32.405000000000001</v>
          </cell>
          <cell r="O207">
            <v>26.258000000000003</v>
          </cell>
          <cell r="P207">
            <v>9.9779999999999998</v>
          </cell>
          <cell r="T207">
            <v>64.736000000000004</v>
          </cell>
          <cell r="U207">
            <v>75</v>
          </cell>
          <cell r="V207">
            <v>80</v>
          </cell>
        </row>
        <row r="208">
          <cell r="A208" t="str">
            <v>Total Current Liabilities</v>
          </cell>
          <cell r="C208">
            <v>63.142000000000003</v>
          </cell>
          <cell r="D208">
            <v>60.587000000000003</v>
          </cell>
          <cell r="E208">
            <v>77.831999999999994</v>
          </cell>
          <cell r="F208">
            <v>71.522000000000006</v>
          </cell>
          <cell r="G208">
            <v>56.271000000000001</v>
          </cell>
          <cell r="H208">
            <v>71.435000000000002</v>
          </cell>
          <cell r="I208">
            <v>120.73099999999999</v>
          </cell>
          <cell r="J208">
            <v>76.888999999999996</v>
          </cell>
          <cell r="K208">
            <v>155.268</v>
          </cell>
          <cell r="L208">
            <v>170.26599999999999</v>
          </cell>
          <cell r="M208">
            <v>374.58199999999999</v>
          </cell>
          <cell r="N208">
            <v>-32.405000000000001</v>
          </cell>
          <cell r="O208">
            <v>528.55999999999995</v>
          </cell>
          <cell r="P208">
            <v>196.81700000000001</v>
          </cell>
          <cell r="T208">
            <v>521.68700000000001</v>
          </cell>
          <cell r="U208">
            <v>725.22799999999995</v>
          </cell>
          <cell r="V208">
            <v>780.23522222222221</v>
          </cell>
        </row>
        <row r="210">
          <cell r="A210" t="str">
            <v>Postretirement</v>
          </cell>
          <cell r="C210">
            <v>14.654999999999999</v>
          </cell>
          <cell r="D210">
            <v>14.188000000000001</v>
          </cell>
          <cell r="E210">
            <v>13.984</v>
          </cell>
          <cell r="F210">
            <v>13.869</v>
          </cell>
          <cell r="G210">
            <v>13.276999999999999</v>
          </cell>
          <cell r="H210">
            <v>12.750999999999999</v>
          </cell>
          <cell r="I210">
            <v>13.13</v>
          </cell>
          <cell r="J210">
            <v>13.7</v>
          </cell>
          <cell r="K210">
            <v>14.257</v>
          </cell>
          <cell r="L210">
            <v>17.312999999999999</v>
          </cell>
          <cell r="M210">
            <v>0</v>
          </cell>
          <cell r="N210">
            <v>0</v>
          </cell>
          <cell r="O210">
            <v>17.312999999999999</v>
          </cell>
          <cell r="P210">
            <v>17.312999999999999</v>
          </cell>
          <cell r="T210">
            <v>16.009</v>
          </cell>
          <cell r="U210">
            <v>16.009</v>
          </cell>
          <cell r="V210">
            <v>16.009</v>
          </cell>
        </row>
        <row r="211">
          <cell r="A211" t="str">
            <v>Pension and Other</v>
          </cell>
          <cell r="C211">
            <v>17.585000000000001</v>
          </cell>
          <cell r="D211">
            <v>14.585000000000001</v>
          </cell>
          <cell r="E211">
            <v>12.645</v>
          </cell>
          <cell r="F211">
            <v>10.375</v>
          </cell>
          <cell r="G211">
            <v>33.774999999999999</v>
          </cell>
          <cell r="H211">
            <v>40.219000000000001</v>
          </cell>
          <cell r="I211">
            <v>33.249000000000002</v>
          </cell>
          <cell r="J211">
            <v>38.241999999999997</v>
          </cell>
          <cell r="K211">
            <v>34.567</v>
          </cell>
          <cell r="L211">
            <v>34.871000000000002</v>
          </cell>
          <cell r="M211">
            <v>0</v>
          </cell>
          <cell r="N211">
            <v>0</v>
          </cell>
          <cell r="O211">
            <v>34.871000000000002</v>
          </cell>
          <cell r="P211">
            <v>34.871000000000002</v>
          </cell>
          <cell r="T211">
            <v>150.55600000000001</v>
          </cell>
          <cell r="U211">
            <v>150.55600000000001</v>
          </cell>
          <cell r="V211">
            <v>150.55600000000001</v>
          </cell>
        </row>
        <row r="212">
          <cell r="A212" t="str">
            <v>Deferred Taxes and Other</v>
          </cell>
          <cell r="C212">
            <v>3.85</v>
          </cell>
          <cell r="D212">
            <v>5.4139999999999997</v>
          </cell>
          <cell r="E212">
            <v>4.367</v>
          </cell>
          <cell r="F212">
            <v>8.2710000000000008</v>
          </cell>
          <cell r="G212">
            <v>13.061999999999999</v>
          </cell>
          <cell r="H212">
            <v>22.8</v>
          </cell>
          <cell r="I212">
            <v>31.337</v>
          </cell>
          <cell r="J212">
            <v>0</v>
          </cell>
          <cell r="K212">
            <v>0</v>
          </cell>
          <cell r="L212">
            <v>0.36699999999999999</v>
          </cell>
          <cell r="M212">
            <v>152.47999999999999</v>
          </cell>
          <cell r="N212">
            <v>112</v>
          </cell>
          <cell r="O212">
            <v>264.84699999999998</v>
          </cell>
          <cell r="P212">
            <v>0.36699999999999999</v>
          </cell>
          <cell r="T212">
            <v>86.177999999999997</v>
          </cell>
          <cell r="U212">
            <v>100</v>
          </cell>
          <cell r="V212">
            <v>120</v>
          </cell>
        </row>
        <row r="213">
          <cell r="A213" t="str">
            <v>LT Debt</v>
          </cell>
          <cell r="C213">
            <v>174.61199999999999</v>
          </cell>
          <cell r="D213">
            <v>202.30799999999999</v>
          </cell>
          <cell r="E213">
            <v>214.00899999999999</v>
          </cell>
          <cell r="F213">
            <v>217.81299999999999</v>
          </cell>
          <cell r="G213">
            <v>222.18799999999999</v>
          </cell>
          <cell r="H213">
            <v>207.804</v>
          </cell>
          <cell r="I213">
            <v>153.97300000000001</v>
          </cell>
          <cell r="J213">
            <v>96.91</v>
          </cell>
          <cell r="K213">
            <v>66.974999999999994</v>
          </cell>
          <cell r="L213">
            <v>82.266000000000005</v>
          </cell>
          <cell r="M213">
            <v>51.343000000000004</v>
          </cell>
          <cell r="N213">
            <v>408.46800000000007</v>
          </cell>
          <cell r="O213">
            <v>542.07700000000011</v>
          </cell>
          <cell r="P213">
            <v>82.266000000000005</v>
          </cell>
          <cell r="T213">
            <v>526.721</v>
          </cell>
          <cell r="U213">
            <v>476.721</v>
          </cell>
          <cell r="V213">
            <v>376.721</v>
          </cell>
        </row>
        <row r="214">
          <cell r="A214" t="str">
            <v>Total Liabilities</v>
          </cell>
          <cell r="C214">
            <v>273.84399999999999</v>
          </cell>
          <cell r="D214">
            <v>297.08199999999999</v>
          </cell>
          <cell r="E214">
            <v>322.83699999999999</v>
          </cell>
          <cell r="F214">
            <v>321.84999999999997</v>
          </cell>
          <cell r="G214">
            <v>338.57299999999998</v>
          </cell>
          <cell r="H214">
            <v>355.00900000000001</v>
          </cell>
          <cell r="I214">
            <v>352.42</v>
          </cell>
          <cell r="J214">
            <v>225.74099999999999</v>
          </cell>
          <cell r="K214">
            <v>271.06700000000001</v>
          </cell>
          <cell r="L214">
            <v>305.08299999999997</v>
          </cell>
          <cell r="M214">
            <v>578.40499999999997</v>
          </cell>
          <cell r="N214">
            <v>488.0630000000001</v>
          </cell>
          <cell r="O214">
            <v>1387.6680000000001</v>
          </cell>
          <cell r="P214">
            <v>331.63400000000001</v>
          </cell>
          <cell r="T214">
            <v>1301.1509999999998</v>
          </cell>
          <cell r="U214">
            <v>1468.5140000000001</v>
          </cell>
          <cell r="V214">
            <v>1443.5212222222221</v>
          </cell>
        </row>
        <row r="216">
          <cell r="A216" t="str">
            <v>CS + APIC</v>
          </cell>
          <cell r="C216">
            <v>143.03</v>
          </cell>
          <cell r="D216">
            <v>144.43599999999998</v>
          </cell>
          <cell r="E216">
            <v>144.59099999999998</v>
          </cell>
          <cell r="F216">
            <v>144.59099999999998</v>
          </cell>
          <cell r="G216">
            <v>147.85499999999999</v>
          </cell>
          <cell r="H216">
            <v>147.85499999999999</v>
          </cell>
          <cell r="I216">
            <v>149.59300000000002</v>
          </cell>
          <cell r="J216">
            <v>290.13100000000003</v>
          </cell>
          <cell r="K216">
            <v>298.38900000000001</v>
          </cell>
          <cell r="L216">
            <v>307.298</v>
          </cell>
          <cell r="M216">
            <v>81.984999999999999</v>
          </cell>
          <cell r="N216">
            <v>226.197</v>
          </cell>
          <cell r="O216">
            <v>615.48</v>
          </cell>
          <cell r="P216">
            <v>307.298</v>
          </cell>
        </row>
        <row r="217">
          <cell r="A217" t="str">
            <v>Unearned Restricted Stock</v>
          </cell>
          <cell r="C217">
            <v>0</v>
          </cell>
          <cell r="D217">
            <v>0</v>
          </cell>
          <cell r="E217">
            <v>0</v>
          </cell>
          <cell r="F217">
            <v>0</v>
          </cell>
          <cell r="G217">
            <v>0</v>
          </cell>
          <cell r="H217">
            <v>0</v>
          </cell>
          <cell r="I217">
            <v>0</v>
          </cell>
          <cell r="J217">
            <v>-0.67100000000000004</v>
          </cell>
          <cell r="K217">
            <v>-0.46600000000000003</v>
          </cell>
          <cell r="L217">
            <v>0</v>
          </cell>
          <cell r="M217">
            <v>0</v>
          </cell>
          <cell r="N217">
            <v>0</v>
          </cell>
          <cell r="O217">
            <v>0</v>
          </cell>
          <cell r="P217">
            <v>0</v>
          </cell>
        </row>
        <row r="218">
          <cell r="A218" t="str">
            <v>Treasury Stock</v>
          </cell>
          <cell r="C218">
            <v>0</v>
          </cell>
          <cell r="D218">
            <v>0</v>
          </cell>
          <cell r="E218">
            <v>-0.19600000000000001</v>
          </cell>
          <cell r="F218">
            <v>-0.85099999999999998</v>
          </cell>
          <cell r="G218">
            <v>-0.85099999999999998</v>
          </cell>
          <cell r="H218">
            <v>-0.85099999999999998</v>
          </cell>
          <cell r="I218">
            <v>-0.85099999999999998</v>
          </cell>
          <cell r="J218">
            <v>-0.85099999999999998</v>
          </cell>
          <cell r="K218">
            <v>-0.85099999999999998</v>
          </cell>
          <cell r="L218">
            <v>-0.85099999999999998</v>
          </cell>
          <cell r="M218">
            <v>0</v>
          </cell>
          <cell r="N218">
            <v>0</v>
          </cell>
          <cell r="O218">
            <v>-0.85099999999999998</v>
          </cell>
          <cell r="P218">
            <v>-0.85099999999999998</v>
          </cell>
        </row>
        <row r="219">
          <cell r="A219" t="str">
            <v>Retained Earnings</v>
          </cell>
          <cell r="C219">
            <v>-7.1580000000000004</v>
          </cell>
          <cell r="D219">
            <v>-15.422000000000001</v>
          </cell>
          <cell r="E219">
            <v>-37.997</v>
          </cell>
          <cell r="F219">
            <v>-79.953000000000003</v>
          </cell>
          <cell r="G219">
            <v>-90.415999999999997</v>
          </cell>
          <cell r="H219">
            <v>-101.202</v>
          </cell>
          <cell r="I219">
            <v>-104.783</v>
          </cell>
          <cell r="J219">
            <v>-99.85</v>
          </cell>
          <cell r="K219">
            <v>-50.963000000000001</v>
          </cell>
          <cell r="L219">
            <v>13.451000000000001</v>
          </cell>
          <cell r="M219">
            <v>125.196</v>
          </cell>
          <cell r="N219">
            <v>-125.196</v>
          </cell>
          <cell r="O219">
            <v>13.450999999999993</v>
          </cell>
          <cell r="P219">
            <v>96.706999999999965</v>
          </cell>
        </row>
        <row r="220">
          <cell r="A220" t="str">
            <v>Accumulated Other</v>
          </cell>
          <cell r="C220">
            <v>-3.6190000000000002</v>
          </cell>
          <cell r="D220">
            <v>-8.7750000000000004</v>
          </cell>
          <cell r="E220">
            <v>-12.122</v>
          </cell>
          <cell r="F220">
            <v>-17.745000000000001</v>
          </cell>
          <cell r="G220">
            <v>-39.29</v>
          </cell>
          <cell r="H220">
            <v>-53.807000000000002</v>
          </cell>
          <cell r="I220">
            <v>-34.286000000000001</v>
          </cell>
          <cell r="J220">
            <v>-21.690999999999999</v>
          </cell>
          <cell r="K220">
            <v>-25.209</v>
          </cell>
          <cell r="L220">
            <v>-23.902000000000001</v>
          </cell>
          <cell r="M220">
            <v>0.39200000000000002</v>
          </cell>
          <cell r="N220">
            <v>-0.39200000000000002</v>
          </cell>
          <cell r="O220">
            <v>-23.902000000000001</v>
          </cell>
          <cell r="P220">
            <v>-23.902000000000001</v>
          </cell>
        </row>
        <row r="221">
          <cell r="A221" t="str">
            <v>Total Equity</v>
          </cell>
          <cell r="C221">
            <v>132.25300000000001</v>
          </cell>
          <cell r="D221">
            <v>120.23899999999998</v>
          </cell>
          <cell r="E221">
            <v>94.275999999999982</v>
          </cell>
          <cell r="F221">
            <v>46.041999999999973</v>
          </cell>
          <cell r="G221">
            <v>17.297999999999995</v>
          </cell>
          <cell r="H221">
            <v>-8.0050000000000097</v>
          </cell>
          <cell r="I221">
            <v>9.673000000000016</v>
          </cell>
          <cell r="J221">
            <v>167.06800000000004</v>
          </cell>
          <cell r="K221">
            <v>220.9</v>
          </cell>
          <cell r="L221">
            <v>295.99600000000004</v>
          </cell>
          <cell r="M221">
            <v>207.57299999999998</v>
          </cell>
          <cell r="N221">
            <v>100.60900000000001</v>
          </cell>
          <cell r="O221">
            <v>604.178</v>
          </cell>
          <cell r="P221">
            <v>379.25200000000001</v>
          </cell>
          <cell r="T221">
            <v>810.85</v>
          </cell>
          <cell r="U221">
            <v>1002.2336</v>
          </cell>
          <cell r="V221">
            <v>1245.71135</v>
          </cell>
        </row>
        <row r="223">
          <cell r="A223" t="str">
            <v>Total Liabilities + SE</v>
          </cell>
          <cell r="C223">
            <v>406.09699999999998</v>
          </cell>
          <cell r="D223">
            <v>417.32099999999997</v>
          </cell>
          <cell r="E223">
            <v>417.11299999999994</v>
          </cell>
          <cell r="F223">
            <v>367.89199999999994</v>
          </cell>
          <cell r="G223">
            <v>355.87099999999998</v>
          </cell>
          <cell r="H223">
            <v>347.00400000000002</v>
          </cell>
          <cell r="I223">
            <v>362.09300000000002</v>
          </cell>
          <cell r="J223">
            <v>392.80900000000003</v>
          </cell>
          <cell r="K223">
            <v>491.96699999999998</v>
          </cell>
          <cell r="L223">
            <v>601.07899999999995</v>
          </cell>
          <cell r="M223">
            <v>785.97799999999995</v>
          </cell>
          <cell r="N223">
            <v>588.67200000000014</v>
          </cell>
          <cell r="O223">
            <v>1991.846</v>
          </cell>
          <cell r="P223">
            <v>710.88599999999997</v>
          </cell>
          <cell r="T223">
            <v>2112.0009999999997</v>
          </cell>
          <cell r="U223">
            <v>2470.7476000000001</v>
          </cell>
          <cell r="V223">
            <v>2689.2325722222222</v>
          </cell>
        </row>
        <row r="224">
          <cell r="A224" t="str">
            <v>Check</v>
          </cell>
          <cell r="C224">
            <v>-9.9999999999909051E-3</v>
          </cell>
          <cell r="D224">
            <v>0.12599999999997635</v>
          </cell>
          <cell r="E224">
            <v>0.12599999999997635</v>
          </cell>
          <cell r="F224">
            <v>0.12599999999991951</v>
          </cell>
          <cell r="G224">
            <v>0.13319999999998799</v>
          </cell>
          <cell r="H224">
            <v>0.1260000000000332</v>
          </cell>
          <cell r="I224">
            <v>-5.0000000000011369E-2</v>
          </cell>
          <cell r="J224">
            <v>0</v>
          </cell>
          <cell r="K224">
            <v>0</v>
          </cell>
          <cell r="L224">
            <v>0.3669999999999618</v>
          </cell>
          <cell r="M224">
            <v>0</v>
          </cell>
          <cell r="N224">
            <v>1.8000000000001819</v>
          </cell>
          <cell r="O224">
            <v>18.284000000000106</v>
          </cell>
          <cell r="P224">
            <v>0.3669999999999618</v>
          </cell>
          <cell r="T224">
            <v>0</v>
          </cell>
          <cell r="U224">
            <v>0</v>
          </cell>
          <cell r="V224">
            <v>0</v>
          </cell>
        </row>
        <row r="226">
          <cell r="A226" t="str">
            <v>Short-term Debt</v>
          </cell>
          <cell r="C226">
            <v>0.85</v>
          </cell>
          <cell r="D226">
            <v>1.5190000000000001</v>
          </cell>
          <cell r="E226">
            <v>7.9630000000000001</v>
          </cell>
          <cell r="F226">
            <v>6.8579999999999997</v>
          </cell>
          <cell r="G226">
            <v>1.298</v>
          </cell>
          <cell r="H226">
            <v>0.92599999999999993</v>
          </cell>
          <cell r="I226">
            <v>37.795999999999999</v>
          </cell>
          <cell r="J226">
            <v>6.3420000000000005</v>
          </cell>
          <cell r="K226">
            <v>1.339</v>
          </cell>
          <cell r="L226">
            <v>0.33099999999999996</v>
          </cell>
          <cell r="M226">
            <v>0</v>
          </cell>
          <cell r="O226">
            <v>0.33099999999999996</v>
          </cell>
          <cell r="P226">
            <v>0.33099999999999996</v>
          </cell>
          <cell r="T226">
            <v>9.3480000000000008</v>
          </cell>
          <cell r="U226">
            <v>9.3480000000000008</v>
          </cell>
          <cell r="V226">
            <v>9.3480000000000008</v>
          </cell>
        </row>
        <row r="227">
          <cell r="A227" t="str">
            <v>Long-term Debt</v>
          </cell>
          <cell r="C227">
            <v>207.804</v>
          </cell>
          <cell r="D227">
            <v>207.804</v>
          </cell>
          <cell r="E227">
            <v>207.804</v>
          </cell>
          <cell r="F227">
            <v>207.804</v>
          </cell>
          <cell r="G227">
            <v>207.804</v>
          </cell>
          <cell r="H227">
            <v>207.804</v>
          </cell>
          <cell r="I227">
            <v>153.97300000000001</v>
          </cell>
          <cell r="J227">
            <v>96.91</v>
          </cell>
          <cell r="K227">
            <v>66.974999999999994</v>
          </cell>
          <cell r="L227">
            <v>82.266000000000005</v>
          </cell>
          <cell r="M227">
            <v>51.343000000000004</v>
          </cell>
          <cell r="O227">
            <v>542.07700000000011</v>
          </cell>
          <cell r="P227">
            <v>82.266000000000005</v>
          </cell>
          <cell r="T227">
            <v>526.721</v>
          </cell>
          <cell r="U227">
            <v>476.721</v>
          </cell>
          <cell r="V227">
            <v>376.721</v>
          </cell>
        </row>
        <row r="228">
          <cell r="A228" t="str">
            <v xml:space="preserve">   Total Debt</v>
          </cell>
          <cell r="C228">
            <v>208.654</v>
          </cell>
          <cell r="D228">
            <v>209.32300000000001</v>
          </cell>
          <cell r="E228">
            <v>215.767</v>
          </cell>
          <cell r="F228">
            <v>214.66200000000001</v>
          </cell>
          <cell r="G228">
            <v>209.102</v>
          </cell>
          <cell r="H228">
            <v>208.73</v>
          </cell>
          <cell r="I228">
            <v>191.76900000000001</v>
          </cell>
          <cell r="J228">
            <v>103.252</v>
          </cell>
          <cell r="K228">
            <v>68.313999999999993</v>
          </cell>
          <cell r="L228">
            <v>82.597000000000008</v>
          </cell>
          <cell r="M228">
            <v>51.343000000000004</v>
          </cell>
          <cell r="O228">
            <v>542.40800000000013</v>
          </cell>
          <cell r="P228">
            <v>82.597000000000008</v>
          </cell>
          <cell r="T228">
            <v>536.06899999999996</v>
          </cell>
          <cell r="U228">
            <v>486.06900000000002</v>
          </cell>
          <cell r="V228">
            <v>386.06900000000002</v>
          </cell>
        </row>
        <row r="229">
          <cell r="A229" t="str">
            <v>Total Debt/Cap.</v>
          </cell>
          <cell r="C229">
            <v>0.61205548727365522</v>
          </cell>
          <cell r="D229">
            <v>0.63515514531408357</v>
          </cell>
          <cell r="E229">
            <v>0.69592604896740129</v>
          </cell>
          <cell r="F229">
            <v>0.82339358045906486</v>
          </cell>
          <cell r="G229">
            <v>0.92359540636042403</v>
          </cell>
          <cell r="H229">
            <v>1.0398804334288207</v>
          </cell>
          <cell r="I229">
            <v>0.95198121543670133</v>
          </cell>
          <cell r="J229">
            <v>0.3819621189701094</v>
          </cell>
          <cell r="K229">
            <v>0.23620571618248076</v>
          </cell>
          <cell r="L229">
            <v>0.21816832323893995</v>
          </cell>
          <cell r="M229">
            <v>0.19829983469542248</v>
          </cell>
          <cell r="O229">
            <v>0.47306351202613672</v>
          </cell>
          <cell r="P229">
            <v>0.17883983726282832</v>
          </cell>
          <cell r="T229">
            <v>0.39799646452385035</v>
          </cell>
          <cell r="U229">
            <v>0.32659285819966988</v>
          </cell>
          <cell r="V229">
            <v>0.23659373027748495</v>
          </cell>
        </row>
        <row r="230">
          <cell r="A230" t="str">
            <v>Net Debt</v>
          </cell>
          <cell r="C230">
            <v>193.583</v>
          </cell>
          <cell r="D230">
            <v>200.50200000000001</v>
          </cell>
          <cell r="E230">
            <v>207.398</v>
          </cell>
          <cell r="F230">
            <v>207.714</v>
          </cell>
          <cell r="G230">
            <v>201.88400000000001</v>
          </cell>
          <cell r="H230">
            <v>204.541</v>
          </cell>
          <cell r="I230">
            <v>185.69400000000002</v>
          </cell>
          <cell r="J230">
            <v>82.634999999999991</v>
          </cell>
          <cell r="K230">
            <v>55.862999999999992</v>
          </cell>
          <cell r="L230">
            <v>73.022000000000006</v>
          </cell>
          <cell r="M230">
            <v>28.807000000000002</v>
          </cell>
          <cell r="O230">
            <v>525.02200000000016</v>
          </cell>
          <cell r="P230">
            <v>82.203000000000074</v>
          </cell>
          <cell r="T230">
            <v>474.95699999999994</v>
          </cell>
          <cell r="U230">
            <v>406.70562222222225</v>
          </cell>
          <cell r="V230">
            <v>263.71489603174609</v>
          </cell>
        </row>
        <row r="231">
          <cell r="A231" t="str">
            <v xml:space="preserve">  % of Total Capital</v>
          </cell>
          <cell r="C231">
            <v>0.59411176174517244</v>
          </cell>
          <cell r="D231">
            <v>0.6251212037126529</v>
          </cell>
          <cell r="E231">
            <v>0.68749046984493201</v>
          </cell>
          <cell r="F231">
            <v>0.81855798483582665</v>
          </cell>
          <cell r="G231">
            <v>0.92107928570776798</v>
          </cell>
          <cell r="H231">
            <v>1.0407304514185696</v>
          </cell>
          <cell r="I231">
            <v>0.95048805581290596</v>
          </cell>
          <cell r="J231">
            <v>0.33093314858051359</v>
          </cell>
          <cell r="K231">
            <v>0.20184417714795691</v>
          </cell>
          <cell r="L231">
            <v>0.19788194613812876</v>
          </cell>
          <cell r="M231">
            <v>0.12186733226161267</v>
          </cell>
          <cell r="O231">
            <v>0.46495040736804821</v>
          </cell>
          <cell r="P231">
            <v>0.17813871341734308</v>
          </cell>
          <cell r="T231">
            <v>0.36938436328313651</v>
          </cell>
          <cell r="U231">
            <v>0.28866087039634941</v>
          </cell>
          <cell r="V231">
            <v>0.17471201174952913</v>
          </cell>
        </row>
        <row r="232">
          <cell r="A232" t="str">
            <v>Net Debt (incl. Postretirement)</v>
          </cell>
          <cell r="C232">
            <v>225.82300000000001</v>
          </cell>
          <cell r="D232">
            <v>229.27500000000001</v>
          </cell>
          <cell r="E232">
            <v>234.02700000000002</v>
          </cell>
          <cell r="F232">
            <v>231.958</v>
          </cell>
          <cell r="G232">
            <v>248.93600000000001</v>
          </cell>
          <cell r="H232">
            <v>257.51100000000002</v>
          </cell>
          <cell r="I232">
            <v>232.07300000000001</v>
          </cell>
          <cell r="J232">
            <v>134.577</v>
          </cell>
          <cell r="K232">
            <v>104.68699999999998</v>
          </cell>
          <cell r="L232">
            <v>125.20600000000002</v>
          </cell>
          <cell r="M232">
            <v>28.807000000000002</v>
          </cell>
          <cell r="O232">
            <v>577.20600000000013</v>
          </cell>
          <cell r="P232">
            <v>134.38700000000009</v>
          </cell>
          <cell r="T232">
            <v>641.52199999999993</v>
          </cell>
          <cell r="U232">
            <v>573.2706222222223</v>
          </cell>
          <cell r="V232">
            <v>430.27989603174615</v>
          </cell>
        </row>
        <row r="233">
          <cell r="A233" t="str">
            <v xml:space="preserve">  % of Total Capital</v>
          </cell>
          <cell r="C233">
            <v>0.69305724352128062</v>
          </cell>
          <cell r="D233">
            <v>0.714829098867934</v>
          </cell>
          <cell r="E233">
            <v>0.77576125221265346</v>
          </cell>
          <cell r="F233">
            <v>0.91409858289065093</v>
          </cell>
          <cell r="G233">
            <v>1.1357501984652023</v>
          </cell>
          <cell r="H233">
            <v>1.3102485040908538</v>
          </cell>
          <cell r="I233">
            <v>1.1878822933248705</v>
          </cell>
          <cell r="J233">
            <v>0.53894827054540784</v>
          </cell>
          <cell r="K233">
            <v>0.37825504131693899</v>
          </cell>
          <cell r="L233">
            <v>0.33929510213593916</v>
          </cell>
          <cell r="M233">
            <v>0.12186733226161267</v>
          </cell>
          <cell r="O233">
            <v>0.51116365568544098</v>
          </cell>
          <cell r="P233">
            <v>0.29122449642977116</v>
          </cell>
          <cell r="T233">
            <v>0.49892557747780181</v>
          </cell>
          <cell r="U233">
            <v>0.40688101600155774</v>
          </cell>
          <cell r="V233">
            <v>0.2850618883585363</v>
          </cell>
        </row>
        <row r="235">
          <cell r="A235" t="str">
            <v>Receivables Days Sales</v>
          </cell>
          <cell r="C235">
            <v>58.039826918875548</v>
          </cell>
          <cell r="D235">
            <v>70.357968325533975</v>
          </cell>
          <cell r="E235">
            <v>68.944968380749145</v>
          </cell>
          <cell r="F235">
            <v>75.476727891229231</v>
          </cell>
          <cell r="G235">
            <v>68.826881779637688</v>
          </cell>
          <cell r="H235">
            <v>65.598519326790935</v>
          </cell>
          <cell r="I235">
            <v>77.940034646648613</v>
          </cell>
          <cell r="J235">
            <v>71.972099536313323</v>
          </cell>
          <cell r="K235">
            <v>97.378834937274149</v>
          </cell>
          <cell r="L235">
            <v>79.279994580312987</v>
          </cell>
          <cell r="M235">
            <v>101.49216140685705</v>
          </cell>
          <cell r="O235">
            <v>72.805406621227903</v>
          </cell>
          <cell r="P235">
            <v>80</v>
          </cell>
          <cell r="T235">
            <v>92.953437821334077</v>
          </cell>
          <cell r="U235">
            <v>85</v>
          </cell>
          <cell r="V235">
            <v>80</v>
          </cell>
        </row>
        <row r="236">
          <cell r="A236" t="str">
            <v>Inventory Turns</v>
          </cell>
          <cell r="C236">
            <v>2.2322653566926052</v>
          </cell>
          <cell r="D236">
            <v>2.324651581792168</v>
          </cell>
          <cell r="E236">
            <v>2.1266422657673494</v>
          </cell>
          <cell r="F236">
            <v>2.3252674880841719</v>
          </cell>
          <cell r="G236">
            <v>2.382736213833617</v>
          </cell>
          <cell r="H236">
            <v>2.0370652249982504</v>
          </cell>
          <cell r="I236">
            <v>2.3083746052563461</v>
          </cell>
          <cell r="J236">
            <v>3.2289762216306457</v>
          </cell>
          <cell r="K236">
            <v>3.2785744253648597</v>
          </cell>
          <cell r="L236">
            <v>3.1273223392728493</v>
          </cell>
          <cell r="M236">
            <v>3.558553563728208</v>
          </cell>
          <cell r="O236">
            <v>3.0872937247020857</v>
          </cell>
          <cell r="P236">
            <v>3</v>
          </cell>
          <cell r="T236">
            <v>2.4373079840218437</v>
          </cell>
          <cell r="U236">
            <v>2.7</v>
          </cell>
          <cell r="V236">
            <v>2.8</v>
          </cell>
        </row>
        <row r="237">
          <cell r="A237" t="str">
            <v>(Rec + Inv)/Sales</v>
          </cell>
          <cell r="C237">
            <v>0.53625801739289214</v>
          </cell>
          <cell r="D237">
            <v>0.5539327123398704</v>
          </cell>
          <cell r="E237">
            <v>0.58422646601911277</v>
          </cell>
          <cell r="F237">
            <v>0.57025135232471491</v>
          </cell>
          <cell r="G237">
            <v>0.54221546170365065</v>
          </cell>
          <cell r="H237">
            <v>0.57694459215878557</v>
          </cell>
          <cell r="I237">
            <v>0.55970328254786128</v>
          </cell>
          <cell r="J237">
            <v>0.44390844279656361</v>
          </cell>
          <cell r="K237">
            <v>0.50261198312471089</v>
          </cell>
          <cell r="L237">
            <v>0.45906374906849134</v>
          </cell>
          <cell r="M237">
            <v>0.48938552245927341</v>
          </cell>
          <cell r="O237">
            <v>0.44247880192286571</v>
          </cell>
          <cell r="P237">
            <v>0.46422222222222231</v>
          </cell>
          <cell r="T237">
            <v>0.56465481709021559</v>
          </cell>
          <cell r="U237">
            <v>0.50825925925925919</v>
          </cell>
          <cell r="V237">
            <v>0.48302417027417027</v>
          </cell>
        </row>
        <row r="238">
          <cell r="A238" t="str">
            <v>Payables Days COGS</v>
          </cell>
          <cell r="C238">
            <v>72.781291870501363</v>
          </cell>
          <cell r="D238">
            <v>75.156433431733475</v>
          </cell>
          <cell r="E238">
            <v>87.446216052699825</v>
          </cell>
          <cell r="F238">
            <v>88.073656679920902</v>
          </cell>
          <cell r="G238">
            <v>70.74361938932114</v>
          </cell>
          <cell r="H238">
            <v>91.547146151566821</v>
          </cell>
          <cell r="I238">
            <v>80.186442198433113</v>
          </cell>
          <cell r="J238">
            <v>59.808338852883715</v>
          </cell>
          <cell r="K238">
            <v>87.815251444776308</v>
          </cell>
          <cell r="L238">
            <v>83.407809169652168</v>
          </cell>
          <cell r="M238">
            <v>66.9865318699581</v>
          </cell>
          <cell r="O238">
            <v>73.363504224136292</v>
          </cell>
          <cell r="P238">
            <v>85</v>
          </cell>
          <cell r="T238">
            <v>86.399151581739105</v>
          </cell>
          <cell r="U238">
            <v>90</v>
          </cell>
          <cell r="V238">
            <v>88</v>
          </cell>
        </row>
        <row r="239">
          <cell r="A239" t="str">
            <v>WC/Sales</v>
          </cell>
          <cell r="C239">
            <v>0.34779915024602431</v>
          </cell>
          <cell r="D239">
            <v>0.38711617981370189</v>
          </cell>
          <cell r="E239">
            <v>0.38221789822210372</v>
          </cell>
          <cell r="F239">
            <v>0.36104306400944219</v>
          </cell>
          <cell r="G239">
            <v>0.37308242938164199</v>
          </cell>
          <cell r="H239">
            <v>0.35483325161085355</v>
          </cell>
          <cell r="I239">
            <v>0.33842076429914575</v>
          </cell>
          <cell r="J239">
            <v>0.32559788280572283</v>
          </cell>
          <cell r="K239">
            <v>0.27900396840578601</v>
          </cell>
          <cell r="L239">
            <v>0.26693313461147627</v>
          </cell>
          <cell r="M239">
            <v>0.18037880853384236</v>
          </cell>
          <cell r="O239">
            <v>0.19554434988204408</v>
          </cell>
          <cell r="P239">
            <v>0.27716333333333348</v>
          </cell>
          <cell r="T239">
            <v>0.2993620269358141</v>
          </cell>
          <cell r="U239">
            <v>0.2328925925925926</v>
          </cell>
          <cell r="V239">
            <v>0.22633790764790765</v>
          </cell>
        </row>
        <row r="240">
          <cell r="A240" t="str">
            <v>Asset Turns</v>
          </cell>
          <cell r="C240">
            <v>0.75516304816218394</v>
          </cell>
          <cell r="D240">
            <v>0.7570512590035835</v>
          </cell>
          <cell r="E240">
            <v>0.76413653183432584</v>
          </cell>
          <cell r="F240">
            <v>0.76255825715264591</v>
          </cell>
          <cell r="G240">
            <v>0.8168263254565582</v>
          </cell>
          <cell r="H240">
            <v>0.83486989662071398</v>
          </cell>
          <cell r="I240">
            <v>0.93249075641390267</v>
          </cell>
          <cell r="J240">
            <v>1.1562515115488696</v>
          </cell>
          <cell r="K240">
            <v>1.1688629521898828</v>
          </cell>
          <cell r="L240">
            <v>1.2286253645673799</v>
          </cell>
          <cell r="M240">
            <v>1.4932733486179002</v>
          </cell>
          <cell r="O240">
            <v>0.96866984670357459</v>
          </cell>
          <cell r="P240">
            <v>1.2666797087762607</v>
          </cell>
          <cell r="T240">
            <v>0.76391583147924647</v>
          </cell>
          <cell r="U240">
            <v>0.97136591370158587</v>
          </cell>
          <cell r="V240">
            <v>1.0225965684059684</v>
          </cell>
        </row>
        <row r="241">
          <cell r="A241" t="str">
            <v>Return on Assets</v>
          </cell>
          <cell r="C241">
            <v>-4.8780247570220318E-3</v>
          </cell>
          <cell r="D241">
            <v>-1.9808482843754097E-2</v>
          </cell>
          <cell r="E241">
            <v>-4.0747073649778053E-2</v>
          </cell>
          <cell r="F241">
            <v>-7.8332417896162243E-2</v>
          </cell>
          <cell r="G241">
            <v>-1.986856611807904E-2</v>
          </cell>
          <cell r="H241">
            <v>-2.9206233892031135E-2</v>
          </cell>
          <cell r="I241">
            <v>-8.1597600947692379E-3</v>
          </cell>
          <cell r="J241">
            <v>2.7594581590543926E-2</v>
          </cell>
          <cell r="K241">
            <v>0.10886705815633987</v>
          </cell>
          <cell r="L241">
            <v>0.11710104009908237</v>
          </cell>
          <cell r="M241">
            <v>9.5839832667072217E-2</v>
          </cell>
          <cell r="O241">
            <v>6.1330224234151277E-2</v>
          </cell>
          <cell r="P241">
            <v>0.12843569278231823</v>
          </cell>
          <cell r="T241">
            <v>5.205205868747223E-2</v>
          </cell>
          <cell r="U241">
            <v>8.1102416127005472E-2</v>
          </cell>
          <cell r="V241">
            <v>9.4256537206278551E-2</v>
          </cell>
        </row>
        <row r="242">
          <cell r="A242" t="str">
            <v>Return on Equity</v>
          </cell>
          <cell r="C242">
            <v>-1.4978866263902867E-2</v>
          </cell>
          <cell r="D242">
            <v>-6.8729779855121811E-2</v>
          </cell>
          <cell r="E242">
            <v>-0.18022614451185884</v>
          </cell>
          <cell r="F242">
            <v>-0.62568958776769079</v>
          </cell>
          <cell r="G242">
            <v>-0.40860215053763327</v>
          </cell>
          <cell r="H242">
            <v>1.2655840099937492</v>
          </cell>
          <cell r="I242">
            <v>-0.3054895068748073</v>
          </cell>
          <cell r="J242">
            <v>6.4880168554121473E-2</v>
          </cell>
          <cell r="K242">
            <v>0.24245812584880061</v>
          </cell>
          <cell r="L242">
            <v>0.23765186016027229</v>
          </cell>
          <cell r="M242">
            <v>0.36289883559037106</v>
          </cell>
          <cell r="O242">
            <v>0.20033665575376802</v>
          </cell>
          <cell r="P242">
            <v>0.24062101188655555</v>
          </cell>
          <cell r="T242">
            <v>0.13557871369550478</v>
          </cell>
          <cell r="U242">
            <v>0.1999370206706301</v>
          </cell>
          <cell r="V242">
            <v>0.20348032471567354</v>
          </cell>
        </row>
        <row r="243">
          <cell r="A243" t="str">
            <v>NOPAT</v>
          </cell>
          <cell r="C243">
            <v>-52.362506631291097</v>
          </cell>
          <cell r="D243">
            <v>8.8759392595120445</v>
          </cell>
          <cell r="E243">
            <v>3.7965791814946628</v>
          </cell>
          <cell r="F243">
            <v>-5.4419960377578374</v>
          </cell>
          <cell r="G243">
            <v>17.741491525423825</v>
          </cell>
          <cell r="H243">
            <v>32.608907159716885</v>
          </cell>
          <cell r="I243">
            <v>-23.805291095890663</v>
          </cell>
          <cell r="J243">
            <v>17.15154839477858</v>
          </cell>
          <cell r="K243">
            <v>57.548899531320345</v>
          </cell>
          <cell r="L243">
            <v>73.171528836071275</v>
          </cell>
          <cell r="M243">
            <v>73.486737119515155</v>
          </cell>
          <cell r="O243">
            <v>143.04694932519035</v>
          </cell>
          <cell r="P243">
            <v>93.975999999999971</v>
          </cell>
          <cell r="T243">
            <v>129.87856205734252</v>
          </cell>
          <cell r="U243">
            <v>219.14359999999999</v>
          </cell>
          <cell r="V243">
            <v>272.23775000000006</v>
          </cell>
        </row>
        <row r="244">
          <cell r="A244" t="str">
            <v>Return on Invested Capital</v>
          </cell>
          <cell r="C244">
            <v>-0.17016559683892918</v>
          </cell>
          <cell r="D244">
            <v>2.7389294956928666E-2</v>
          </cell>
          <cell r="E244">
            <v>1.200506938065905E-2</v>
          </cell>
          <cell r="F244">
            <v>-2.0102455507337431E-2</v>
          </cell>
          <cell r="G244">
            <v>7.3682186214299228E-2</v>
          </cell>
          <cell r="H244">
            <v>0.16245563412488176</v>
          </cell>
          <cell r="I244">
            <v>-0.11817441792620537</v>
          </cell>
          <cell r="J244">
            <v>6.3449054434664753E-2</v>
          </cell>
          <cell r="K244">
            <v>0.19898379584432407</v>
          </cell>
          <cell r="L244">
            <v>0.19327227084513254</v>
          </cell>
          <cell r="M244">
            <v>0.2838246269813961</v>
          </cell>
          <cell r="O244">
            <v>0.12475902315673688</v>
          </cell>
          <cell r="P244">
            <v>0.20347776004711488</v>
          </cell>
          <cell r="T244">
            <v>9.6426408757573787E-2</v>
          </cell>
          <cell r="U244">
            <v>0.14724398116350801</v>
          </cell>
          <cell r="V244">
            <v>0.16683480101963483</v>
          </cell>
        </row>
        <row r="245">
          <cell r="A245" t="str">
            <v>Average Life</v>
          </cell>
          <cell r="D245">
            <v>10.740489788016649</v>
          </cell>
          <cell r="E245">
            <v>10.301428571428573</v>
          </cell>
          <cell r="F245">
            <v>10.112876327569559</v>
          </cell>
          <cell r="G245">
            <v>10.296263345195729</v>
          </cell>
          <cell r="H245">
            <v>9.9910931933245823</v>
          </cell>
          <cell r="I245">
            <v>10.428861600960207</v>
          </cell>
          <cell r="J245">
            <v>10.91438387125938</v>
          </cell>
          <cell r="K245">
            <v>12.06557657734783</v>
          </cell>
          <cell r="L245">
            <v>16.33602233943531</v>
          </cell>
          <cell r="P245">
            <v>15.917882352941175</v>
          </cell>
        </row>
        <row r="247">
          <cell r="A247" t="str">
            <v>Inventories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arnings-model"/>
      <sheetName val="inc charges"/>
      <sheetName val="BPF"/>
      <sheetName val="Acquisitions"/>
      <sheetName val="A vs E"/>
      <sheetName val="EV"/>
      <sheetName val="WACC "/>
      <sheetName val="DCF"/>
      <sheetName val="SumofParts"/>
      <sheetName val="ROIC"/>
      <sheetName val="Segments"/>
      <sheetName val="FactSet CF"/>
      <sheetName val="Core Sales"/>
      <sheetName val="Auto"/>
      <sheetName val="mgmt"/>
      <sheetName val="Tax Rate"/>
      <sheetName val="Charts 06"/>
      <sheetName val="gsr - Eaton Corp."/>
      <sheetName val="GPS - Eaton Corp."/>
      <sheetName val="Module1"/>
      <sheetName val="Acquisitions (2)"/>
      <sheetName val="report 01"/>
      <sheetName val="Competition"/>
      <sheetName val="EPS_Reported vs Operating"/>
      <sheetName val="End Markets"/>
      <sheetName val="WACC Calculations"/>
      <sheetName val="Cash Flow Forecasts"/>
      <sheetName val="Comps"/>
      <sheetName val="Swantje Data (2000)"/>
      <sheetName val="qtrly-fax"/>
      <sheetName val="CheatSheet"/>
      <sheetName val="Valuation"/>
      <sheetName val="Peak"/>
      <sheetName val="Charts 2006"/>
      <sheetName val="corporate transactions"/>
      <sheetName val="A-V"/>
      <sheetName val="Etn"/>
      <sheetName val="Competition (2000)"/>
      <sheetName val="Swantje Data (1999)"/>
      <sheetName val="Swantje Data (old)"/>
      <sheetName val="Charts"/>
      <sheetName val="CAPCO"/>
      <sheetName val="PE&amp;YLD"/>
      <sheetName val="Prices"/>
      <sheetName val="Summary base sa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RNKMAY"/>
    </sheetNames>
    <definedNames>
      <definedName name="Autodatechange"/>
      <definedName name="Manualdatechange"/>
    </defined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EEI"/>
      <sheetName val="Nuclear Output"/>
      <sheetName val="Natural Gas Storage Levels"/>
    </sheetNames>
    <sheetDataSet>
      <sheetData sheetId="0" refreshError="1"/>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NP"/>
      <sheetName val="Cover Page"/>
      <sheetName val="EM"/>
      <sheetName val="BS"/>
      <sheetName val="CF"/>
      <sheetName val="Model Assumptions"/>
      <sheetName val="Peak OR Analysis"/>
      <sheetName val="Share Repurchase "/>
      <sheetName val="FV Options"/>
      <sheetName val="Yield Trends"/>
      <sheetName val="Volume Trends"/>
      <sheetName val="Tables"/>
      <sheetName val="Questions"/>
      <sheetName val="Off balance sheet"/>
      <sheetName val="__FDSCACHE__"/>
      <sheetName val="Exhibits"/>
      <sheetName val="1Q05 Volume Analysis"/>
      <sheetName val="Scenario Analysis 05-06"/>
      <sheetName val="OR Analysis"/>
      <sheetName val="Coal Rate Analysis"/>
      <sheetName val="2003 10K"/>
      <sheetName val="03 Revs-Vols"/>
      <sheetName val="Pensions-Hlthcare Oblig's"/>
    </sheetNames>
    <sheetDataSet>
      <sheetData sheetId="0" refreshError="1"/>
      <sheetData sheetId="1" refreshError="1"/>
      <sheetData sheetId="2" refreshError="1">
        <row r="90">
          <cell r="C90" t="str">
            <v>1Q:97</v>
          </cell>
          <cell r="D90" t="str">
            <v>1Q:98</v>
          </cell>
          <cell r="E90" t="str">
            <v>1Q:99</v>
          </cell>
          <cell r="F90" t="str">
            <v>1Q:00</v>
          </cell>
          <cell r="G90" t="str">
            <v>1Q:01</v>
          </cell>
          <cell r="H90" t="str">
            <v>1Q02</v>
          </cell>
          <cell r="I90" t="str">
            <v>1Q:03</v>
          </cell>
          <cell r="J90" t="str">
            <v>1Q:04E</v>
          </cell>
          <cell r="K90" t="str">
            <v>1Q:04E</v>
          </cell>
          <cell r="L90" t="str">
            <v>2Q:96</v>
          </cell>
          <cell r="M90" t="str">
            <v>2Q:97</v>
          </cell>
          <cell r="N90" t="str">
            <v>2Q:98</v>
          </cell>
          <cell r="O90" t="str">
            <v>2Q:99</v>
          </cell>
          <cell r="P90" t="str">
            <v>2Q:00</v>
          </cell>
          <cell r="Q90" t="str">
            <v>2Q:01</v>
          </cell>
          <cell r="R90" t="str">
            <v>2Q02</v>
          </cell>
          <cell r="S90" t="str">
            <v>2Q:03</v>
          </cell>
          <cell r="T90" t="str">
            <v>2Q:04E</v>
          </cell>
          <cell r="U90" t="str">
            <v>2Q:04</v>
          </cell>
          <cell r="V90" t="str">
            <v>3Q:96</v>
          </cell>
          <cell r="W90" t="str">
            <v>3Q:97</v>
          </cell>
          <cell r="X90" t="str">
            <v>3Q:98</v>
          </cell>
          <cell r="Y90" t="str">
            <v>3Q:99</v>
          </cell>
          <cell r="Z90" t="str">
            <v>3Q:00</v>
          </cell>
          <cell r="AA90" t="str">
            <v>3Q:01</v>
          </cell>
          <cell r="AB90" t="str">
            <v>3Q02</v>
          </cell>
          <cell r="AC90" t="str">
            <v>3Q:03</v>
          </cell>
          <cell r="AD90" t="str">
            <v>3Q:04E</v>
          </cell>
          <cell r="AE90" t="str">
            <v>3Q:03</v>
          </cell>
          <cell r="AF90" t="str">
            <v>4Q:96</v>
          </cell>
          <cell r="AG90" t="str">
            <v>4Q:97</v>
          </cell>
          <cell r="AH90" t="str">
            <v>4Q:98</v>
          </cell>
          <cell r="AI90" t="str">
            <v>4Q:99</v>
          </cell>
          <cell r="AJ90" t="str">
            <v>4Q:00</v>
          </cell>
          <cell r="AK90" t="str">
            <v>4Q:01</v>
          </cell>
          <cell r="AL90" t="str">
            <v>4Q:02</v>
          </cell>
          <cell r="AM90" t="str">
            <v>4Q:03</v>
          </cell>
          <cell r="AN90" t="str">
            <v>4Q:04E</v>
          </cell>
        </row>
        <row r="91">
          <cell r="A91" t="str">
            <v>Expenses as % of Revenue</v>
          </cell>
        </row>
        <row r="92">
          <cell r="A92" t="str">
            <v>Rail Expenses (as % of Rail Revenues)</v>
          </cell>
        </row>
        <row r="93">
          <cell r="A93" t="str">
            <v xml:space="preserve">   Salaries and Benefits</v>
          </cell>
          <cell r="B93">
            <v>0.35475996745321398</v>
          </cell>
          <cell r="C93">
            <v>0.32774092859929771</v>
          </cell>
          <cell r="D93">
            <v>0.38633178829362941</v>
          </cell>
          <cell r="E93">
            <v>0.3640028217273002</v>
          </cell>
          <cell r="F93">
            <v>0.33788395904436858</v>
          </cell>
          <cell r="G93">
            <v>0.34322193015396169</v>
          </cell>
          <cell r="H93">
            <v>0.34308790383170545</v>
          </cell>
          <cell r="I93">
            <v>0.35233918128654973</v>
          </cell>
          <cell r="J93">
            <v>0.34973208060026412</v>
          </cell>
          <cell r="K93">
            <v>0.36224887481291557</v>
          </cell>
          <cell r="L93">
            <v>0.33490380840204159</v>
          </cell>
          <cell r="M93">
            <v>0.31099195710455763</v>
          </cell>
          <cell r="N93">
            <v>0.38872939925571504</v>
          </cell>
          <cell r="O93">
            <v>0.35167919799498748</v>
          </cell>
          <cell r="P93">
            <v>0.32121661721068251</v>
          </cell>
          <cell r="Q93">
            <v>0.32791728212703103</v>
          </cell>
          <cell r="R93">
            <v>0.3235294117647059</v>
          </cell>
          <cell r="S93">
            <v>0.32895646164478232</v>
          </cell>
          <cell r="T93">
            <v>0.32834651458944975</v>
          </cell>
          <cell r="U93">
            <v>0.34598877517332455</v>
          </cell>
          <cell r="V93">
            <v>0.33033268101761254</v>
          </cell>
          <cell r="W93">
            <v>0.32978723404255317</v>
          </cell>
          <cell r="X93">
            <v>0.38111157542833263</v>
          </cell>
          <cell r="Y93">
            <v>0.34869240348692404</v>
          </cell>
          <cell r="Z93">
            <v>0.31908012935680918</v>
          </cell>
          <cell r="AA93">
            <v>0.32406730065837602</v>
          </cell>
          <cell r="AB93">
            <v>0.32245614035087722</v>
          </cell>
          <cell r="AC93">
            <v>0.33051420838971585</v>
          </cell>
          <cell r="AD93">
            <v>0.33057409078990824</v>
          </cell>
          <cell r="AE93">
            <v>0.33051420838971585</v>
          </cell>
          <cell r="AF93">
            <v>0.33215824520172349</v>
          </cell>
          <cell r="AG93">
            <v>0.38783605112384312</v>
          </cell>
          <cell r="AH93">
            <v>0.38986032074495602</v>
          </cell>
          <cell r="AI93">
            <v>0.3400559683489337</v>
          </cell>
          <cell r="AJ93">
            <v>0.32748319641523527</v>
          </cell>
          <cell r="AK93">
            <v>0.3295412844036697</v>
          </cell>
          <cell r="AL93">
            <v>0.33592920353982303</v>
          </cell>
          <cell r="AM93">
            <v>0.3369308600337268</v>
          </cell>
          <cell r="AN93">
            <v>0.33867672060454451</v>
          </cell>
        </row>
        <row r="94">
          <cell r="A94" t="str">
            <v xml:space="preserve">   Rent Expense</v>
          </cell>
          <cell r="B94">
            <v>0.11960943856794141</v>
          </cell>
          <cell r="C94">
            <v>0.12251268045259461</v>
          </cell>
          <cell r="D94">
            <v>0.15522259351083326</v>
          </cell>
          <cell r="E94">
            <v>0.12617152070946286</v>
          </cell>
          <cell r="F94">
            <v>0.11073189230185818</v>
          </cell>
          <cell r="G94">
            <v>0.11528351483289523</v>
          </cell>
          <cell r="H94">
            <v>0.1183320811419985</v>
          </cell>
          <cell r="I94">
            <v>0.11330409356725146</v>
          </cell>
          <cell r="J94">
            <v>0.115</v>
          </cell>
          <cell r="K94">
            <v>0.1158</v>
          </cell>
          <cell r="L94">
            <v>0.11228896741264233</v>
          </cell>
          <cell r="M94">
            <v>0.11872845653006511</v>
          </cell>
          <cell r="N94">
            <v>0.14843168527379053</v>
          </cell>
          <cell r="O94">
            <v>0.12150375939849624</v>
          </cell>
          <cell r="P94">
            <v>0.11016320474777448</v>
          </cell>
          <cell r="Q94">
            <v>0.11336779911373708</v>
          </cell>
          <cell r="R94">
            <v>0.10914245216158752</v>
          </cell>
          <cell r="S94">
            <v>0.10297166551485833</v>
          </cell>
          <cell r="T94">
            <v>0.10340000000000001</v>
          </cell>
          <cell r="U94">
            <v>0.11951138989765599</v>
          </cell>
          <cell r="V94">
            <v>0.11506849315068493</v>
          </cell>
          <cell r="W94">
            <v>0.13041765169424743</v>
          </cell>
          <cell r="X94">
            <v>0.13748432929377349</v>
          </cell>
          <cell r="Y94">
            <v>0.12146757352236805</v>
          </cell>
          <cell r="Z94">
            <v>0.11713977721882861</v>
          </cell>
          <cell r="AA94">
            <v>0.11228968544257498</v>
          </cell>
          <cell r="AB94">
            <v>0.11087719298245614</v>
          </cell>
          <cell r="AC94">
            <v>0.10419485791610285</v>
          </cell>
          <cell r="AD94">
            <v>0.104</v>
          </cell>
          <cell r="AE94">
            <v>0.10419485791610285</v>
          </cell>
          <cell r="AF94">
            <v>0.11594202898550725</v>
          </cell>
          <cell r="AG94">
            <v>0.15557514323490523</v>
          </cell>
          <cell r="AH94">
            <v>0.12664252457320227</v>
          </cell>
          <cell r="AI94">
            <v>0.11463861816076426</v>
          </cell>
          <cell r="AJ94">
            <v>0.10941000746825989</v>
          </cell>
          <cell r="AK94">
            <v>0.10752293577981652</v>
          </cell>
          <cell r="AL94">
            <v>0.10654867256637168</v>
          </cell>
          <cell r="AM94">
            <v>0.10286677908937605</v>
          </cell>
          <cell r="AN94">
            <v>0.10249999999999999</v>
          </cell>
        </row>
        <row r="95">
          <cell r="A95" t="str">
            <v xml:space="preserve">   Depreciation</v>
          </cell>
          <cell r="B95">
            <v>9.1131000813669649E-2</v>
          </cell>
          <cell r="C95">
            <v>9.364026531408505E-2</v>
          </cell>
          <cell r="D95">
            <v>0.10649994610326614</v>
          </cell>
          <cell r="E95">
            <v>0.10440391010783029</v>
          </cell>
          <cell r="F95">
            <v>0.10238907849829351</v>
          </cell>
          <cell r="G95">
            <v>0.10514457378895982</v>
          </cell>
          <cell r="H95">
            <v>0.10668670172802404</v>
          </cell>
          <cell r="I95">
            <v>0.10051169590643275</v>
          </cell>
          <cell r="J95">
            <v>9.722807651715179E-2</v>
          </cell>
          <cell r="K95">
            <v>9.6681850840926148E-2</v>
          </cell>
          <cell r="L95">
            <v>8.8731841382018062E-2</v>
          </cell>
          <cell r="M95">
            <v>9.3067790118728455E-2</v>
          </cell>
          <cell r="N95">
            <v>0.10675172780435939</v>
          </cell>
          <cell r="O95">
            <v>0.10265664160401003</v>
          </cell>
          <cell r="P95">
            <v>0.10051928783382789</v>
          </cell>
          <cell r="Q95">
            <v>0.10376661742983752</v>
          </cell>
          <cell r="R95">
            <v>0.10134656272147413</v>
          </cell>
          <cell r="S95">
            <v>8.7422252937111269E-2</v>
          </cell>
          <cell r="T95">
            <v>9.288018431162777E-2</v>
          </cell>
          <cell r="U95">
            <v>9.144932320897986E-2</v>
          </cell>
          <cell r="V95">
            <v>8.6888454011741681E-2</v>
          </cell>
          <cell r="W95">
            <v>9.5350669818754924E-2</v>
          </cell>
          <cell r="X95">
            <v>0.10572503134141245</v>
          </cell>
          <cell r="Y95">
            <v>9.9243222530893765E-2</v>
          </cell>
          <cell r="Z95">
            <v>9.8095580309019048E-2</v>
          </cell>
          <cell r="AA95">
            <v>0.10241404535479151</v>
          </cell>
          <cell r="AB95">
            <v>0.10105263157894737</v>
          </cell>
          <cell r="AC95">
            <v>9.0324763193504742E-2</v>
          </cell>
          <cell r="AD95">
            <v>9.0931328588231469E-2</v>
          </cell>
          <cell r="AE95">
            <v>9.0324763193504742E-2</v>
          </cell>
          <cell r="AF95">
            <v>8.9306698002350179E-2</v>
          </cell>
          <cell r="AG95">
            <v>0.10885852798589687</v>
          </cell>
          <cell r="AH95">
            <v>0.10719089498189344</v>
          </cell>
          <cell r="AI95">
            <v>0.10151500530734343</v>
          </cell>
          <cell r="AJ95">
            <v>0.10380881254667662</v>
          </cell>
          <cell r="AK95">
            <v>0.10458715596330276</v>
          </cell>
          <cell r="AL95">
            <v>0.10230088495575221</v>
          </cell>
          <cell r="AM95">
            <v>9.1736930860033733E-2</v>
          </cell>
          <cell r="AN95">
            <v>9.1519353730724756E-2</v>
          </cell>
        </row>
        <row r="96">
          <cell r="A96" t="str">
            <v xml:space="preserve">      Diesel Fuel Expense</v>
          </cell>
          <cell r="B96">
            <v>8.0463791700569567E-2</v>
          </cell>
          <cell r="C96">
            <v>9.5396020288724154E-2</v>
          </cell>
          <cell r="D96">
            <v>7.809421149078366E-2</v>
          </cell>
          <cell r="E96">
            <v>6.1761967147032151E-2</v>
          </cell>
          <cell r="F96">
            <v>9.9890784982935146E-2</v>
          </cell>
          <cell r="G96">
            <v>0.11148479158843411</v>
          </cell>
          <cell r="H96">
            <v>7.3557475582268966E-2</v>
          </cell>
          <cell r="I96">
            <v>0.11659356725146199</v>
          </cell>
          <cell r="J96">
            <v>0.11176664927354192</v>
          </cell>
          <cell r="K96">
            <v>0.11428660435900151</v>
          </cell>
          <cell r="L96">
            <v>9.2288967412642323E-2</v>
          </cell>
          <cell r="M96">
            <v>8.6200689391037907E-2</v>
          </cell>
          <cell r="N96">
            <v>7.7703349282296649E-2</v>
          </cell>
          <cell r="O96">
            <v>6.8940350877192982E-2</v>
          </cell>
          <cell r="P96">
            <v>9.939169139465874E-2</v>
          </cell>
          <cell r="Q96">
            <v>0.10803545051698671</v>
          </cell>
          <cell r="R96">
            <v>8.5216158752657686E-2</v>
          </cell>
          <cell r="S96">
            <v>0.1009536973047685</v>
          </cell>
          <cell r="T96">
            <v>9.629326859488925E-2</v>
          </cell>
          <cell r="U96">
            <v>0.13250577748431824</v>
          </cell>
          <cell r="V96">
            <v>8.4900195694716254E-2</v>
          </cell>
          <cell r="W96">
            <v>7.9724192277383768E-2</v>
          </cell>
          <cell r="X96">
            <v>7.1207689093188475E-2</v>
          </cell>
          <cell r="Y96">
            <v>6.6948941469489431E-2</v>
          </cell>
          <cell r="Z96">
            <v>0.10743801652892562</v>
          </cell>
          <cell r="AA96">
            <v>0.10034381858083394</v>
          </cell>
          <cell r="AB96">
            <v>8.7105263157894741E-2</v>
          </cell>
          <cell r="AC96">
            <v>0.10169147496617051</v>
          </cell>
          <cell r="AD96">
            <v>9.2790684889534403E-2</v>
          </cell>
          <cell r="AE96">
            <v>0.10169147496617051</v>
          </cell>
          <cell r="AF96">
            <v>9.5855855855855862E-2</v>
          </cell>
          <cell r="AG96">
            <v>8.7307183781401496E-2</v>
          </cell>
          <cell r="AH96">
            <v>7.3005690636316609E-2</v>
          </cell>
          <cell r="AI96">
            <v>7.4573000096497144E-2</v>
          </cell>
          <cell r="AJ96">
            <v>0.125</v>
          </cell>
          <cell r="AK96">
            <v>9.7497247706422027E-2</v>
          </cell>
          <cell r="AL96">
            <v>9.4332743362831858E-2</v>
          </cell>
          <cell r="AM96">
            <v>0.10325801011804385</v>
          </cell>
          <cell r="AN96">
            <v>9.6754273065712895E-2</v>
          </cell>
        </row>
        <row r="97">
          <cell r="A97" t="str">
            <v xml:space="preserve">      Utilities &amp; other fuel</v>
          </cell>
          <cell r="B97">
            <v>9.8535394629780306E-3</v>
          </cell>
          <cell r="C97">
            <v>1.424112368318377E-2</v>
          </cell>
          <cell r="D97">
            <v>1.2021127519672306E-2</v>
          </cell>
          <cell r="E97">
            <v>9.9905270583492863E-3</v>
          </cell>
          <cell r="F97">
            <v>1.1220326128175966E-2</v>
          </cell>
          <cell r="G97">
            <v>1.393766428839654E-2</v>
          </cell>
          <cell r="H97">
            <v>1.0965439519158527E-2</v>
          </cell>
          <cell r="I97">
            <v>1.2061403508771929E-2</v>
          </cell>
          <cell r="J97">
            <v>1.2E-2</v>
          </cell>
          <cell r="K97">
            <v>1.2E-2</v>
          </cell>
          <cell r="L97">
            <v>8.614055751864939E-3</v>
          </cell>
          <cell r="M97">
            <v>1.0697050938337805E-2</v>
          </cell>
          <cell r="N97">
            <v>8.2083997873471613E-3</v>
          </cell>
          <cell r="O97">
            <v>7.651127819548866E-3</v>
          </cell>
          <cell r="P97">
            <v>9.6587537091988203E-3</v>
          </cell>
          <cell r="Q97">
            <v>1.0502215657311669E-2</v>
          </cell>
          <cell r="R97">
            <v>9.7519489723600326E-3</v>
          </cell>
          <cell r="S97">
            <v>1.0656530753282645E-2</v>
          </cell>
          <cell r="T97">
            <v>1.0999999999999999E-2</v>
          </cell>
          <cell r="U97">
            <v>1.1105975569494896E-2</v>
          </cell>
          <cell r="V97">
            <v>8.6418786692759233E-3</v>
          </cell>
          <cell r="W97">
            <v>1.0110323089046492E-2</v>
          </cell>
          <cell r="X97">
            <v>9.4442122858336783E-3</v>
          </cell>
          <cell r="Y97">
            <v>9.3035731391895669E-3</v>
          </cell>
          <cell r="Z97">
            <v>9.7017606899029822E-3</v>
          </cell>
          <cell r="AA97">
            <v>9.751280175566944E-3</v>
          </cell>
          <cell r="AB97">
            <v>1.0087719298245614E-2</v>
          </cell>
          <cell r="AC97">
            <v>9.9458728010825368E-3</v>
          </cell>
          <cell r="AD97">
            <v>0.01</v>
          </cell>
          <cell r="AE97">
            <v>9.9458728010825368E-3</v>
          </cell>
          <cell r="AF97">
            <v>8.3352918135526834E-3</v>
          </cell>
          <cell r="AG97">
            <v>1.1855442926399297E-2</v>
          </cell>
          <cell r="AH97">
            <v>6.4562855664769764E-3</v>
          </cell>
          <cell r="AI97">
            <v>8.4145517707227679E-3</v>
          </cell>
          <cell r="AJ97">
            <v>1.1295743091859597E-2</v>
          </cell>
          <cell r="AK97">
            <v>1.0025688073394493E-2</v>
          </cell>
          <cell r="AL97">
            <v>1.0092035398230085E-2</v>
          </cell>
          <cell r="AM97">
            <v>1.006408094435075E-2</v>
          </cell>
          <cell r="AN97">
            <v>0.01</v>
          </cell>
        </row>
        <row r="98">
          <cell r="A98" t="str">
            <v xml:space="preserve">   Total Fuel &amp; Utilities Expense</v>
          </cell>
          <cell r="B98">
            <v>9.0317331163547593E-2</v>
          </cell>
          <cell r="C98">
            <v>0.10963714397190792</v>
          </cell>
          <cell r="D98">
            <v>9.0115339010455972E-2</v>
          </cell>
          <cell r="E98">
            <v>7.1752494205381434E-2</v>
          </cell>
          <cell r="F98">
            <v>0.1111111111111111</v>
          </cell>
          <cell r="G98">
            <v>0.12542245587683065</v>
          </cell>
          <cell r="H98">
            <v>8.4522915101427495E-2</v>
          </cell>
          <cell r="I98">
            <v>0.12865497076023391</v>
          </cell>
          <cell r="J98">
            <v>0.12376664927354192</v>
          </cell>
          <cell r="K98">
            <v>0.12628660435900152</v>
          </cell>
          <cell r="L98">
            <v>0.10090302316450726</v>
          </cell>
          <cell r="M98">
            <v>9.6897740329375717E-2</v>
          </cell>
          <cell r="N98">
            <v>8.59117490696438E-2</v>
          </cell>
          <cell r="O98">
            <v>7.6591478696741849E-2</v>
          </cell>
          <cell r="P98">
            <v>0.10905044510385757</v>
          </cell>
          <cell r="Q98">
            <v>0.11853766617429838</v>
          </cell>
          <cell r="R98">
            <v>9.4968107725017722E-2</v>
          </cell>
          <cell r="S98">
            <v>0.11161022805805114</v>
          </cell>
          <cell r="T98">
            <v>0.10729326859488925</v>
          </cell>
          <cell r="U98">
            <v>0.14361175305381313</v>
          </cell>
          <cell r="V98">
            <v>9.3542074363992173E-2</v>
          </cell>
          <cell r="W98">
            <v>8.9834515366430265E-2</v>
          </cell>
          <cell r="X98">
            <v>8.0651901379022145E-2</v>
          </cell>
          <cell r="Y98">
            <v>7.625251460867899E-2</v>
          </cell>
          <cell r="Z98">
            <v>0.11713977721882861</v>
          </cell>
          <cell r="AA98">
            <v>0.11009509875640087</v>
          </cell>
          <cell r="AB98">
            <v>9.7192982456140345E-2</v>
          </cell>
          <cell r="AC98">
            <v>0.11163734776725305</v>
          </cell>
          <cell r="AD98">
            <v>0.1027906848895344</v>
          </cell>
          <cell r="AE98">
            <v>0.11163734776725305</v>
          </cell>
          <cell r="AF98">
            <v>0.10419114766940854</v>
          </cell>
          <cell r="AG98">
            <v>9.9162626707800794E-2</v>
          </cell>
          <cell r="AH98">
            <v>7.9461976202793591E-2</v>
          </cell>
          <cell r="AI98">
            <v>8.2987551867219914E-2</v>
          </cell>
          <cell r="AJ98">
            <v>0.1362957430918596</v>
          </cell>
          <cell r="AK98">
            <v>0.10752293577981652</v>
          </cell>
          <cell r="AL98">
            <v>0.10442477876106195</v>
          </cell>
          <cell r="AM98">
            <v>0.1133220910623946</v>
          </cell>
          <cell r="AN98">
            <v>0.10675427306571289</v>
          </cell>
        </row>
        <row r="99">
          <cell r="A99" t="str">
            <v xml:space="preserve">   Materials and Supplies</v>
          </cell>
          <cell r="B99">
            <v>5.5736371033360453E-2</v>
          </cell>
          <cell r="C99">
            <v>5.774483027701912E-2</v>
          </cell>
          <cell r="D99">
            <v>5.7346124824835615E-2</v>
          </cell>
          <cell r="E99">
            <v>5.3612818704020959E-2</v>
          </cell>
          <cell r="F99">
            <v>5.4986727341676145E-2</v>
          </cell>
          <cell r="G99">
            <v>4.7315058205031922E-2</v>
          </cell>
          <cell r="H99">
            <v>4.5454545454545456E-2</v>
          </cell>
          <cell r="I99">
            <v>3.7646198830409358E-2</v>
          </cell>
          <cell r="J99">
            <v>3.8600000000000002E-2</v>
          </cell>
          <cell r="K99">
            <v>4.4999999999999998E-2</v>
          </cell>
          <cell r="L99">
            <v>5.3788771103258734E-2</v>
          </cell>
          <cell r="M99">
            <v>4.7108387590961316E-2</v>
          </cell>
          <cell r="N99">
            <v>5.7416267942583733E-2</v>
          </cell>
          <cell r="O99">
            <v>5.3734335839598996E-2</v>
          </cell>
          <cell r="P99">
            <v>5.2781899109792287E-2</v>
          </cell>
          <cell r="Q99">
            <v>4.9113737075332349E-2</v>
          </cell>
          <cell r="R99">
            <v>4.429482636428065E-2</v>
          </cell>
          <cell r="S99">
            <v>3.4208707671043538E-2</v>
          </cell>
          <cell r="T99">
            <v>3.3799999999999997E-2</v>
          </cell>
          <cell r="U99">
            <v>3.7636183558930343E-2</v>
          </cell>
          <cell r="V99">
            <v>5.2054794520547946E-2</v>
          </cell>
          <cell r="W99">
            <v>4.6493301812450746E-2</v>
          </cell>
          <cell r="X99">
            <v>5.4743000417885497E-2</v>
          </cell>
          <cell r="Y99">
            <v>5.2112271290353479E-2</v>
          </cell>
          <cell r="Z99">
            <v>4.8868127919511319E-2</v>
          </cell>
          <cell r="AA99">
            <v>4.4257498171177759E-2</v>
          </cell>
          <cell r="AB99">
            <v>4.175438596491228E-2</v>
          </cell>
          <cell r="AC99">
            <v>3.5182679296346414E-2</v>
          </cell>
          <cell r="AD99">
            <v>3.3500000000000002E-2</v>
          </cell>
          <cell r="AE99">
            <v>3.5182679296346414E-2</v>
          </cell>
          <cell r="AF99">
            <v>4.935370152761457E-2</v>
          </cell>
          <cell r="AG99">
            <v>5.6412516527104453E-2</v>
          </cell>
          <cell r="AH99">
            <v>4.8422141748577341E-2</v>
          </cell>
          <cell r="AI99">
            <v>5.3266428640355107E-2</v>
          </cell>
          <cell r="AJ99">
            <v>4.5556385362210607E-2</v>
          </cell>
          <cell r="AK99">
            <v>3.9266055045871558E-2</v>
          </cell>
          <cell r="AL99">
            <v>3.9292035398230091E-2</v>
          </cell>
          <cell r="AM99">
            <v>3.6424957841483981E-2</v>
          </cell>
          <cell r="AN99">
            <v>3.5999999999999997E-2</v>
          </cell>
        </row>
        <row r="100">
          <cell r="A100" t="str">
            <v xml:space="preserve">   Other Expense   </v>
          </cell>
          <cell r="B100">
            <v>0.16192026037428803</v>
          </cell>
          <cell r="C100">
            <v>0.14514241123683183</v>
          </cell>
          <cell r="D100">
            <v>0.18120081923035464</v>
          </cell>
          <cell r="E100">
            <v>0.13211730323490881</v>
          </cell>
          <cell r="F100">
            <v>0.10845657944634055</v>
          </cell>
          <cell r="G100">
            <v>0.10214044310927525</v>
          </cell>
          <cell r="H100">
            <v>0.1183320811419985</v>
          </cell>
          <cell r="I100">
            <v>0.13304093567251463</v>
          </cell>
          <cell r="J100">
            <v>0.13800000000000001</v>
          </cell>
          <cell r="K100">
            <v>0.13500000000000001</v>
          </cell>
          <cell r="L100">
            <v>0.13977228111503731</v>
          </cell>
          <cell r="M100">
            <v>0.12523937188816545</v>
          </cell>
          <cell r="N100">
            <v>0.26804891015417331</v>
          </cell>
          <cell r="O100">
            <v>0.11779448621553884</v>
          </cell>
          <cell r="P100">
            <v>0.1080860534124629</v>
          </cell>
          <cell r="Q100">
            <v>0.11078286558345643</v>
          </cell>
          <cell r="R100">
            <v>0.12005669737774628</v>
          </cell>
          <cell r="S100">
            <v>0.13303386316516932</v>
          </cell>
          <cell r="T100">
            <v>0.13300000000000001</v>
          </cell>
          <cell r="U100">
            <v>0.14328161109276988</v>
          </cell>
          <cell r="V100">
            <v>0.14285714285714285</v>
          </cell>
          <cell r="W100">
            <v>0.12174940898345153</v>
          </cell>
          <cell r="X100">
            <v>0.15054325114918513</v>
          </cell>
          <cell r="Y100">
            <v>0.10029696331066194</v>
          </cell>
          <cell r="Z100">
            <v>9.9892202659001075E-2</v>
          </cell>
          <cell r="AA100">
            <v>0.10351133869787857</v>
          </cell>
          <cell r="AB100">
            <v>0.10947368421052632</v>
          </cell>
          <cell r="AC100">
            <v>0.12787550744248985</v>
          </cell>
          <cell r="AD100">
            <v>0.128</v>
          </cell>
          <cell r="AE100">
            <v>0.12787550744248985</v>
          </cell>
          <cell r="AF100">
            <v>0.12495103799451626</v>
          </cell>
          <cell r="AG100">
            <v>0.20758043190832967</v>
          </cell>
          <cell r="AH100">
            <v>0.13792033109156751</v>
          </cell>
          <cell r="AI100">
            <v>0.10913828042072758</v>
          </cell>
          <cell r="AJ100">
            <v>0.11389096340552651</v>
          </cell>
          <cell r="AK100">
            <v>0.10825688073394496</v>
          </cell>
          <cell r="AL100">
            <v>0.11253097345132743</v>
          </cell>
          <cell r="AM100">
            <v>0.12006745362563238</v>
          </cell>
          <cell r="AN100">
            <v>0.12</v>
          </cell>
        </row>
        <row r="101">
          <cell r="A101" t="str">
            <v>Total Railway &amp; Other Expense</v>
          </cell>
          <cell r="B101">
            <v>0.87347436940602119</v>
          </cell>
          <cell r="C101">
            <v>0.85641825985173625</v>
          </cell>
          <cell r="D101">
            <v>0.97671661097337514</v>
          </cell>
          <cell r="E101">
            <v>0.8520608686889044</v>
          </cell>
          <cell r="F101">
            <v>0.82555934774364803</v>
          </cell>
          <cell r="G101">
            <v>0.83852797596695461</v>
          </cell>
          <cell r="H101">
            <v>0.81641622839969941</v>
          </cell>
          <cell r="I101">
            <v>0.86549707602339176</v>
          </cell>
          <cell r="J101">
            <v>0.86232680639095782</v>
          </cell>
          <cell r="K101">
            <v>0.88101733001284332</v>
          </cell>
          <cell r="L101">
            <v>0.83038869257950543</v>
          </cell>
          <cell r="M101">
            <v>0.79203370356185376</v>
          </cell>
          <cell r="N101">
            <v>1.0552897395002658</v>
          </cell>
          <cell r="O101">
            <v>0.82395989974937334</v>
          </cell>
          <cell r="P101">
            <v>0.80181750741839752</v>
          </cell>
          <cell r="Q101">
            <v>0.82348596750369285</v>
          </cell>
          <cell r="R101">
            <v>0.79333805811481217</v>
          </cell>
          <cell r="S101">
            <v>0.79820317899101589</v>
          </cell>
          <cell r="T101">
            <v>0.79871996749596685</v>
          </cell>
          <cell r="U101">
            <v>0.88147903598547384</v>
          </cell>
          <cell r="V101">
            <v>0.82074363992172217</v>
          </cell>
          <cell r="W101">
            <v>0.81363278171788811</v>
          </cell>
          <cell r="X101">
            <v>0.91025908900961139</v>
          </cell>
          <cell r="Y101">
            <v>0.79806494874988021</v>
          </cell>
          <cell r="Z101">
            <v>0.80021559468199788</v>
          </cell>
          <cell r="AA101">
            <v>0.79663496708119974</v>
          </cell>
          <cell r="AB101">
            <v>0.78280701754385962</v>
          </cell>
          <cell r="AC101">
            <v>0.79972936400541283</v>
          </cell>
          <cell r="AD101">
            <v>0.78979610426767399</v>
          </cell>
          <cell r="AE101">
            <v>0.79972936400541283</v>
          </cell>
          <cell r="AF101">
            <v>0.81590285938112028</v>
          </cell>
          <cell r="AG101">
            <v>1.0154252974878801</v>
          </cell>
          <cell r="AH101">
            <v>0.88949818934299019</v>
          </cell>
          <cell r="AI101">
            <v>0.80160185274534401</v>
          </cell>
          <cell r="AJ101">
            <v>0.83644510828976848</v>
          </cell>
          <cell r="AK101">
            <v>0.79669724770642203</v>
          </cell>
          <cell r="AL101">
            <v>0.8010265486725664</v>
          </cell>
          <cell r="AM101">
            <v>0.80134907251264753</v>
          </cell>
          <cell r="AN101">
            <v>0.79545034740098208</v>
          </cell>
        </row>
        <row r="102">
          <cell r="A102" t="str">
            <v>Total Rail. &amp; Other Incl. Merger Exp.</v>
          </cell>
          <cell r="B102">
            <v>0.87347436940602119</v>
          </cell>
          <cell r="C102">
            <v>0.86227077643386651</v>
          </cell>
          <cell r="D102">
            <v>0.98922065322841435</v>
          </cell>
          <cell r="E102">
            <v>0.85810742718935806</v>
          </cell>
          <cell r="F102">
            <v>0.82897231702692453</v>
          </cell>
          <cell r="G102">
            <v>0.83852797596695461</v>
          </cell>
          <cell r="H102">
            <v>0.81641622839969952</v>
          </cell>
          <cell r="I102">
            <v>0.86549707602339176</v>
          </cell>
          <cell r="J102">
            <v>0.86232680639095782</v>
          </cell>
          <cell r="K102">
            <v>0.88101733001284332</v>
          </cell>
          <cell r="L102">
            <v>0.83038869257950532</v>
          </cell>
          <cell r="M102">
            <v>0.80888548448870168</v>
          </cell>
          <cell r="N102">
            <v>1.0625199362041466</v>
          </cell>
          <cell r="O102">
            <v>0.82917293233082712</v>
          </cell>
          <cell r="P102">
            <v>0.80515578635014828</v>
          </cell>
          <cell r="Q102">
            <v>0.82348596750369274</v>
          </cell>
          <cell r="R102">
            <v>0.79333805811481228</v>
          </cell>
          <cell r="S102">
            <v>0.79820317899101589</v>
          </cell>
          <cell r="T102">
            <v>0.79871996749596685</v>
          </cell>
          <cell r="U102">
            <v>0.88147903598547372</v>
          </cell>
          <cell r="V102">
            <v>0.82074363992172217</v>
          </cell>
          <cell r="W102">
            <v>0.81993695823483059</v>
          </cell>
          <cell r="X102">
            <v>0.91527371500208943</v>
          </cell>
          <cell r="Y102">
            <v>0.80572851805728518</v>
          </cell>
          <cell r="Z102">
            <v>0.80237154150197632</v>
          </cell>
          <cell r="AA102">
            <v>0.79663496708119974</v>
          </cell>
          <cell r="AB102">
            <v>0.78280701754385962</v>
          </cell>
          <cell r="AC102">
            <v>0.79972936400541283</v>
          </cell>
          <cell r="AD102">
            <v>0.78979610426767399</v>
          </cell>
          <cell r="AE102">
            <v>0.79972936400541283</v>
          </cell>
          <cell r="AF102">
            <v>0.81590285938112028</v>
          </cell>
          <cell r="AG102">
            <v>1.0251211987659763</v>
          </cell>
          <cell r="AH102">
            <v>0.89405069839627527</v>
          </cell>
          <cell r="AI102">
            <v>0.80739168194538258</v>
          </cell>
          <cell r="AJ102">
            <v>0.83644510828976848</v>
          </cell>
          <cell r="AK102">
            <v>0.79669724770642203</v>
          </cell>
          <cell r="AL102">
            <v>0.8010265486725664</v>
          </cell>
          <cell r="AM102">
            <v>0.80134907251264753</v>
          </cell>
          <cell r="AN102">
            <v>0.79545034740098208</v>
          </cell>
        </row>
        <row r="103">
          <cell r="A103" t="str">
            <v>Overnite Exp. (as % of Overnite Rev.)</v>
          </cell>
          <cell r="B103">
            <v>1.0784313725490196</v>
          </cell>
          <cell r="C103">
            <v>1</v>
          </cell>
          <cell r="D103">
            <v>0.94941634241245132</v>
          </cell>
          <cell r="E103">
            <v>0.96047430830039526</v>
          </cell>
          <cell r="F103">
            <v>0.99628252788104088</v>
          </cell>
          <cell r="G103">
            <v>0.96785714285714286</v>
          </cell>
          <cell r="H103">
            <v>0.96599740932642486</v>
          </cell>
          <cell r="I103">
            <v>0.96307151230949584</v>
          </cell>
          <cell r="J103" t="str">
            <v>na</v>
          </cell>
          <cell r="K103" t="str">
            <v>na</v>
          </cell>
          <cell r="L103">
            <v>1.0466926070038911</v>
          </cell>
          <cell r="M103">
            <v>0.95780590717299574</v>
          </cell>
          <cell r="N103">
            <v>0.95038167938931295</v>
          </cell>
          <cell r="O103">
            <v>0.94505494505494503</v>
          </cell>
          <cell r="P103">
            <v>0.93992932862190814</v>
          </cell>
          <cell r="Q103">
            <v>0.94482758620689655</v>
          </cell>
          <cell r="R103">
            <v>0.94482966536026547</v>
          </cell>
          <cell r="S103">
            <v>0.94354838709677424</v>
          </cell>
          <cell r="T103" t="str">
            <v>na</v>
          </cell>
          <cell r="U103" t="str">
            <v>na</v>
          </cell>
          <cell r="V103">
            <v>1.0384615384615385</v>
          </cell>
          <cell r="W103">
            <v>0.94399999999999995</v>
          </cell>
          <cell r="X103">
            <v>0.953307392996109</v>
          </cell>
          <cell r="Y103">
            <v>0.97111913357400725</v>
          </cell>
          <cell r="Z103">
            <v>0.93031358885017423</v>
          </cell>
          <cell r="AA103">
            <v>0.93835616438356162</v>
          </cell>
          <cell r="AB103">
            <v>0.92677345537757427</v>
          </cell>
          <cell r="AC103" t="str">
            <v>na</v>
          </cell>
          <cell r="AD103" t="str">
            <v>na</v>
          </cell>
          <cell r="AE103" t="str">
            <v>na</v>
          </cell>
          <cell r="AF103">
            <v>1.0325581395348837</v>
          </cell>
          <cell r="AG103">
            <v>0.97551020408163269</v>
          </cell>
          <cell r="AH103">
            <v>0.93798449612403101</v>
          </cell>
          <cell r="AI103">
            <v>1.0501930501930501</v>
          </cell>
          <cell r="AJ103">
            <v>0.94160583941605835</v>
          </cell>
          <cell r="AK103">
            <v>0.95940959409594095</v>
          </cell>
          <cell r="AL103">
            <v>0.95148714987005478</v>
          </cell>
          <cell r="AM103" t="str">
            <v>na</v>
          </cell>
          <cell r="AN103" t="str">
            <v>na</v>
          </cell>
        </row>
        <row r="104">
          <cell r="A104" t="str">
            <v>Total Oper. Exp. (% of total revenue)</v>
          </cell>
          <cell r="B104">
            <v>0.89592430858806404</v>
          </cell>
          <cell r="C104">
            <v>0.87722419928825623</v>
          </cell>
          <cell r="D104">
            <v>0.98719068413391553</v>
          </cell>
          <cell r="E104">
            <v>0.86758116140832187</v>
          </cell>
          <cell r="F104">
            <v>0.84445973847212663</v>
          </cell>
          <cell r="G104">
            <v>0.85083248386000676</v>
          </cell>
          <cell r="H104">
            <v>0.83196445401911945</v>
          </cell>
          <cell r="I104">
            <v>0.87637309067273317</v>
          </cell>
          <cell r="J104">
            <v>0.86232680639095782</v>
          </cell>
          <cell r="K104">
            <v>0.88101733001284332</v>
          </cell>
          <cell r="L104">
            <v>0.85401974612129761</v>
          </cell>
          <cell r="M104">
            <v>0.82622268470343396</v>
          </cell>
          <cell r="N104">
            <v>1.0569214579546542</v>
          </cell>
          <cell r="O104">
            <v>0.84060721062618593</v>
          </cell>
          <cell r="P104">
            <v>0.81795904665995289</v>
          </cell>
          <cell r="Q104">
            <v>0.83522348232154775</v>
          </cell>
          <cell r="R104">
            <v>0.8092716491739862</v>
          </cell>
          <cell r="S104">
            <v>0.81475811390079611</v>
          </cell>
          <cell r="T104">
            <v>0.79871996749596674</v>
          </cell>
          <cell r="U104">
            <v>0.88147903598547372</v>
          </cell>
          <cell r="V104">
            <v>0.84212389380530972</v>
          </cell>
          <cell r="W104">
            <v>0.83539823008849556</v>
          </cell>
          <cell r="X104">
            <v>0.92084905660377359</v>
          </cell>
          <cell r="Y104">
            <v>0.82159868364077249</v>
          </cell>
          <cell r="Z104">
            <v>0.81433224755700329</v>
          </cell>
          <cell r="AA104">
            <v>0.81031064111037676</v>
          </cell>
          <cell r="AB104">
            <v>0.7985373171646456</v>
          </cell>
          <cell r="AC104">
            <v>0.79972936400541272</v>
          </cell>
          <cell r="AD104">
            <v>0.78979610426767421</v>
          </cell>
          <cell r="AE104">
            <v>0.79972936400541272</v>
          </cell>
          <cell r="AF104">
            <v>0.83629893238434161</v>
          </cell>
          <cell r="AG104">
            <v>1.0226474033580633</v>
          </cell>
          <cell r="AH104">
            <v>0.89828923997382448</v>
          </cell>
          <cell r="AI104">
            <v>0.82945872444951307</v>
          </cell>
          <cell r="AJ104">
            <v>0.84620596205962062</v>
          </cell>
          <cell r="AK104">
            <v>0.81192202780919442</v>
          </cell>
          <cell r="AL104">
            <v>0.81745656355437835</v>
          </cell>
          <cell r="AM104">
            <v>0.80134907251264753</v>
          </cell>
          <cell r="AN104">
            <v>0.79545034740098219</v>
          </cell>
        </row>
        <row r="105">
          <cell r="A105" t="str">
            <v>Railroad OR Improvement (y/y)</v>
          </cell>
          <cell r="C105">
            <v>170.56109554284939</v>
          </cell>
          <cell r="D105">
            <v>-1202.9835112163889</v>
          </cell>
          <cell r="E105">
            <v>1246.5574228447074</v>
          </cell>
          <cell r="F105">
            <v>265.01520945256374</v>
          </cell>
          <cell r="G105">
            <v>-129.68628223306578</v>
          </cell>
          <cell r="H105">
            <v>221.11747567255202</v>
          </cell>
          <cell r="I105">
            <v>-490.80847623692358</v>
          </cell>
          <cell r="J105">
            <v>31.702696324339421</v>
          </cell>
          <cell r="K105">
            <v>-155.20253989451561</v>
          </cell>
          <cell r="M105">
            <v>383.54989017651661</v>
          </cell>
          <cell r="N105">
            <v>-2632.5603593841206</v>
          </cell>
          <cell r="O105">
            <v>2313.2983975089251</v>
          </cell>
          <cell r="P105">
            <v>221.42392330975812</v>
          </cell>
          <cell r="Q105">
            <v>-216.68460085295328</v>
          </cell>
          <cell r="R105">
            <v>301.4790938888068</v>
          </cell>
          <cell r="S105">
            <v>-48.651208762037214</v>
          </cell>
          <cell r="T105">
            <v>-5.1678850495096018</v>
          </cell>
          <cell r="U105">
            <v>-832.75856994457945</v>
          </cell>
          <cell r="V105">
            <v>200.20757326884907</v>
          </cell>
          <cell r="W105">
            <v>71.108582038340586</v>
          </cell>
          <cell r="X105">
            <v>-966.26307291723276</v>
          </cell>
          <cell r="Y105">
            <v>1121.9414025973117</v>
          </cell>
          <cell r="Z105">
            <v>-21.506459321176674</v>
          </cell>
          <cell r="AA105">
            <v>35.806276007981367</v>
          </cell>
          <cell r="AB105">
            <v>138.27949537340123</v>
          </cell>
          <cell r="AC105">
            <v>-169.22346461553218</v>
          </cell>
          <cell r="AD105">
            <v>99.332597377388424</v>
          </cell>
          <cell r="AE105">
            <v>-169.22346461553218</v>
          </cell>
          <cell r="AF105">
            <v>-643.79868764418143</v>
          </cell>
          <cell r="AG105">
            <v>-1995.2243810675984</v>
          </cell>
          <cell r="AH105">
            <v>1259.2710814488994</v>
          </cell>
          <cell r="AI105">
            <v>878.96336597646177</v>
          </cell>
          <cell r="AJ105">
            <v>-348.43255544424466</v>
          </cell>
          <cell r="AK105">
            <v>397.47860583346448</v>
          </cell>
          <cell r="AL105">
            <v>-43.293009661443669</v>
          </cell>
          <cell r="AM105">
            <v>-3.2252384008113477</v>
          </cell>
          <cell r="AN105">
            <v>58.987251116654484</v>
          </cell>
        </row>
        <row r="106">
          <cell r="A106" t="str">
            <v>OR Improvement ex fuel (y/y)</v>
          </cell>
          <cell r="C106">
            <v>319.88338142439511</v>
          </cell>
          <cell r="D106">
            <v>-1376.0015991957941</v>
          </cell>
          <cell r="E106">
            <v>1083.2349794071927</v>
          </cell>
          <cell r="F106">
            <v>646.3033878115931</v>
          </cell>
          <cell r="G106">
            <v>-13.746216178076587</v>
          </cell>
          <cell r="H106">
            <v>-158.15568438909855</v>
          </cell>
          <cell r="I106">
            <v>-60.447559544993808</v>
          </cell>
          <cell r="J106">
            <v>-16.56648345486067</v>
          </cell>
          <cell r="K106">
            <v>-178.27216881912022</v>
          </cell>
          <cell r="M106">
            <v>322.66710996047163</v>
          </cell>
          <cell r="N106">
            <v>-2717.5337604715332</v>
          </cell>
          <cell r="O106">
            <v>2225.6684134578886</v>
          </cell>
          <cell r="P106">
            <v>525.93732848441596</v>
          </cell>
          <cell r="Q106">
            <v>-130.24700962967373</v>
          </cell>
          <cell r="R106">
            <v>73.286176245516145</v>
          </cell>
          <cell r="S106">
            <v>108.72417675907187</v>
          </cell>
          <cell r="T106">
            <v>-51.772172148302211</v>
          </cell>
          <cell r="U106">
            <v>-517.23776814908251</v>
          </cell>
          <cell r="V106">
            <v>349.81396193235815</v>
          </cell>
          <cell r="W106">
            <v>19.348547865015718</v>
          </cell>
          <cell r="X106">
            <v>-1051.4281047591855</v>
          </cell>
          <cell r="Y106">
            <v>1079.3539263603202</v>
          </cell>
          <cell r="Z106">
            <v>383.38429127318551</v>
          </cell>
          <cell r="AA106">
            <v>-35.135703472934935</v>
          </cell>
          <cell r="AB106">
            <v>5.8939411440084299</v>
          </cell>
          <cell r="AC106">
            <v>-23.36134653277422</v>
          </cell>
          <cell r="AD106">
            <v>10.324696611027084</v>
          </cell>
          <cell r="AE106">
            <v>-23.36134653277422</v>
          </cell>
          <cell r="AF106">
            <v>-279.0489379560812</v>
          </cell>
          <cell r="AG106">
            <v>-2080.7111018121427</v>
          </cell>
          <cell r="AH106">
            <v>1116.2561499980507</v>
          </cell>
          <cell r="AI106">
            <v>894.63646057826747</v>
          </cell>
          <cell r="AJ106">
            <v>155.83744359078389</v>
          </cell>
          <cell r="AK106">
            <v>122.45108289768436</v>
          </cell>
          <cell r="AL106">
            <v>-74.93805309734536</v>
          </cell>
          <cell r="AM106">
            <v>86.027429151308567</v>
          </cell>
          <cell r="AN106">
            <v>-6.0501194066542308</v>
          </cell>
        </row>
        <row r="107">
          <cell r="F107">
            <v>-1870</v>
          </cell>
          <cell r="G107">
            <v>-2007</v>
          </cell>
          <cell r="H107">
            <v>1524</v>
          </cell>
          <cell r="I107">
            <v>966</v>
          </cell>
          <cell r="J107">
            <v>600</v>
          </cell>
          <cell r="K107">
            <v>-500</v>
          </cell>
          <cell r="Q107">
            <v>-2357</v>
          </cell>
          <cell r="R107">
            <v>1717</v>
          </cell>
          <cell r="S107">
            <v>915</v>
          </cell>
          <cell r="T107">
            <v>600</v>
          </cell>
          <cell r="U107">
            <v>700</v>
          </cell>
          <cell r="V107">
            <v>700</v>
          </cell>
          <cell r="AA107">
            <v>-1594</v>
          </cell>
          <cell r="AB107">
            <v>936</v>
          </cell>
          <cell r="AC107">
            <v>1537</v>
          </cell>
          <cell r="AD107">
            <v>500</v>
          </cell>
          <cell r="AE107">
            <v>-1537</v>
          </cell>
          <cell r="AF107">
            <v>2652</v>
          </cell>
          <cell r="AG107">
            <v>500</v>
          </cell>
          <cell r="AK107">
            <v>-2243</v>
          </cell>
          <cell r="AL107">
            <v>1159</v>
          </cell>
          <cell r="AM107">
            <v>294</v>
          </cell>
          <cell r="AN107">
            <v>700</v>
          </cell>
        </row>
        <row r="108">
          <cell r="A108" t="str">
            <v>Average FTEs</v>
          </cell>
          <cell r="C108">
            <v>52209</v>
          </cell>
          <cell r="D108">
            <v>52718</v>
          </cell>
          <cell r="E108">
            <v>52637</v>
          </cell>
          <cell r="F108">
            <v>50767</v>
          </cell>
          <cell r="G108">
            <v>48760</v>
          </cell>
          <cell r="H108">
            <v>47236</v>
          </cell>
          <cell r="I108">
            <v>46270</v>
          </cell>
          <cell r="J108">
            <v>45670</v>
          </cell>
          <cell r="K108">
            <v>46770</v>
          </cell>
          <cell r="M108">
            <v>52047</v>
          </cell>
          <cell r="N108">
            <v>53714</v>
          </cell>
          <cell r="O108">
            <v>53305</v>
          </cell>
          <cell r="P108">
            <v>50948</v>
          </cell>
          <cell r="Q108">
            <v>49491</v>
          </cell>
          <cell r="R108">
            <v>47774</v>
          </cell>
          <cell r="S108">
            <v>46859</v>
          </cell>
          <cell r="T108">
            <v>46259</v>
          </cell>
          <cell r="U108">
            <v>48383</v>
          </cell>
          <cell r="V108">
            <v>49083</v>
          </cell>
          <cell r="W108">
            <v>52387</v>
          </cell>
          <cell r="X108">
            <v>53862</v>
          </cell>
          <cell r="Y108">
            <v>52728</v>
          </cell>
          <cell r="Z108">
            <v>51134</v>
          </cell>
          <cell r="AA108">
            <v>48842</v>
          </cell>
          <cell r="AB108">
            <v>47906</v>
          </cell>
          <cell r="AC108">
            <v>46369</v>
          </cell>
          <cell r="AD108">
            <v>45869</v>
          </cell>
          <cell r="AE108">
            <v>46369</v>
          </cell>
          <cell r="AF108">
            <v>49021</v>
          </cell>
          <cell r="AG108">
            <v>52379</v>
          </cell>
          <cell r="AH108">
            <v>52189</v>
          </cell>
          <cell r="AI108">
            <v>51486</v>
          </cell>
          <cell r="AJ108">
            <v>49243</v>
          </cell>
          <cell r="AK108">
            <v>47435</v>
          </cell>
          <cell r="AL108">
            <v>46276</v>
          </cell>
          <cell r="AM108">
            <v>45982</v>
          </cell>
          <cell r="AN108">
            <v>45282</v>
          </cell>
        </row>
        <row r="109">
          <cell r="A109" t="str">
            <v>Average Compensation (salary &amp; benefits)</v>
          </cell>
          <cell r="C109">
            <v>16089.180026432225</v>
          </cell>
          <cell r="D109">
            <v>16996.092416252512</v>
          </cell>
          <cell r="E109">
            <v>17155.233010999866</v>
          </cell>
          <cell r="F109">
            <v>17550.77117024839</v>
          </cell>
          <cell r="G109">
            <v>18744.872846595572</v>
          </cell>
          <cell r="H109">
            <v>19334.829367431619</v>
          </cell>
          <cell r="I109">
            <v>20834.233844823859</v>
          </cell>
          <cell r="J109">
            <v>21875.945537065054</v>
          </cell>
          <cell r="K109">
            <v>22250.961746271882</v>
          </cell>
          <cell r="M109">
            <v>15601.283455338444</v>
          </cell>
          <cell r="N109">
            <v>17016.047957701903</v>
          </cell>
          <cell r="O109">
            <v>16452.490385517307</v>
          </cell>
          <cell r="P109">
            <v>16997.723168721048</v>
          </cell>
          <cell r="Q109">
            <v>17942.65624052858</v>
          </cell>
          <cell r="R109">
            <v>19110.813413153599</v>
          </cell>
          <cell r="S109">
            <v>20316.267952794555</v>
          </cell>
          <cell r="T109">
            <v>21332.081350434284</v>
          </cell>
          <cell r="U109">
            <v>21660.500589049872</v>
          </cell>
          <cell r="V109">
            <v>22310.315606721368</v>
          </cell>
          <cell r="W109">
            <v>15977.246263385954</v>
          </cell>
          <cell r="X109">
            <v>16932.159964353348</v>
          </cell>
          <cell r="Y109">
            <v>17258.382642998029</v>
          </cell>
          <cell r="Z109">
            <v>17366.136034732273</v>
          </cell>
          <cell r="AA109">
            <v>18140.125301994187</v>
          </cell>
          <cell r="AB109">
            <v>19183.400826618796</v>
          </cell>
          <cell r="AC109">
            <v>21070.111496905261</v>
          </cell>
          <cell r="AD109">
            <v>22123.617071750527</v>
          </cell>
          <cell r="AE109">
            <v>21070.111496905261</v>
          </cell>
          <cell r="AF109">
            <v>21562.187633871199</v>
          </cell>
          <cell r="AG109">
            <v>16800.626205158555</v>
          </cell>
          <cell r="AH109">
            <v>18049.780605108357</v>
          </cell>
          <cell r="AI109">
            <v>17111.447772209922</v>
          </cell>
          <cell r="AJ109">
            <v>17809.637918079727</v>
          </cell>
          <cell r="AK109">
            <v>18931.168968061556</v>
          </cell>
          <cell r="AL109">
            <v>20507.390439968884</v>
          </cell>
          <cell r="AM109">
            <v>21725.892740637642</v>
          </cell>
          <cell r="AN109">
            <v>22812.187377669525</v>
          </cell>
        </row>
        <row r="110">
          <cell r="A110" t="str">
            <v>% change in ave. comp.</v>
          </cell>
          <cell r="D110">
            <v>5.6367844000151601E-2</v>
          </cell>
          <cell r="E110">
            <v>9.3633636985390734E-3</v>
          </cell>
          <cell r="F110">
            <v>2.3056414272828896E-2</v>
          </cell>
          <cell r="G110">
            <v>6.8036991922690637E-2</v>
          </cell>
          <cell r="H110">
            <v>3.1472953999962527E-2</v>
          </cell>
          <cell r="I110">
            <v>7.7549403146939477E-2</v>
          </cell>
          <cell r="J110">
            <v>0.05</v>
          </cell>
          <cell r="K110">
            <v>6.8000000000000005E-2</v>
          </cell>
          <cell r="N110">
            <v>9.0682571495703135E-2</v>
          </cell>
          <cell r="O110">
            <v>-3.3119180998165687E-2</v>
          </cell>
          <cell r="P110">
            <v>3.3139832963141824E-2</v>
          </cell>
          <cell r="Q110">
            <v>5.5591743813452776E-2</v>
          </cell>
          <cell r="R110">
            <v>6.5105029989172003E-2</v>
          </cell>
          <cell r="S110">
            <v>6.3077092198036144E-2</v>
          </cell>
          <cell r="T110">
            <v>0.05</v>
          </cell>
          <cell r="U110">
            <v>6.6165333090638656E-2</v>
          </cell>
          <cell r="V110">
            <v>0.03</v>
          </cell>
          <cell r="X110">
            <v>5.9767101615984419E-2</v>
          </cell>
          <cell r="Y110">
            <v>1.9266453856534804E-2</v>
          </cell>
          <cell r="Z110">
            <v>6.2435393839157527E-3</v>
          </cell>
          <cell r="AA110">
            <v>4.4568881973165109E-2</v>
          </cell>
          <cell r="AB110">
            <v>5.7512035184779986E-2</v>
          </cell>
          <cell r="AC110">
            <v>9.8351209326162703E-2</v>
          </cell>
          <cell r="AD110">
            <v>0.05</v>
          </cell>
          <cell r="AE110">
            <v>9.8351209326162703E-2</v>
          </cell>
          <cell r="AF110">
            <v>2.3354225583391619E-2</v>
          </cell>
          <cell r="AG110">
            <v>0.03</v>
          </cell>
          <cell r="AH110">
            <v>7.4351657176103148E-2</v>
          </cell>
          <cell r="AI110">
            <v>-5.1985830378064146E-2</v>
          </cell>
          <cell r="AJ110">
            <v>4.0802517423669471E-2</v>
          </cell>
          <cell r="AK110">
            <v>6.2973265101773368E-2</v>
          </cell>
          <cell r="AL110">
            <v>8.3260652026641457E-2</v>
          </cell>
          <cell r="AM110">
            <v>5.9417715980766506E-2</v>
          </cell>
          <cell r="AN110">
            <v>0.05</v>
          </cell>
        </row>
        <row r="111">
          <cell r="A111" t="str">
            <v>Salary &amp; Benefit Expense</v>
          </cell>
          <cell r="C111">
            <v>840</v>
          </cell>
          <cell r="D111">
            <v>896</v>
          </cell>
          <cell r="E111">
            <v>903</v>
          </cell>
          <cell r="F111">
            <v>891</v>
          </cell>
          <cell r="G111">
            <v>914</v>
          </cell>
          <cell r="H111">
            <v>913.3</v>
          </cell>
          <cell r="I111">
            <v>964</v>
          </cell>
          <cell r="J111">
            <v>999.07443267776091</v>
          </cell>
          <cell r="K111">
            <v>1040.6774808731359</v>
          </cell>
          <cell r="M111">
            <v>812</v>
          </cell>
          <cell r="N111">
            <v>914</v>
          </cell>
          <cell r="O111">
            <v>877</v>
          </cell>
          <cell r="P111">
            <v>866</v>
          </cell>
          <cell r="Q111">
            <v>888</v>
          </cell>
          <cell r="R111">
            <v>913</v>
          </cell>
          <cell r="S111">
            <v>952</v>
          </cell>
          <cell r="T111">
            <v>986.80075118973957</v>
          </cell>
          <cell r="U111">
            <v>1048</v>
          </cell>
          <cell r="V111">
            <v>1095.0572209247048</v>
          </cell>
          <cell r="W111">
            <v>837</v>
          </cell>
          <cell r="X111">
            <v>912</v>
          </cell>
          <cell r="Y111">
            <v>910</v>
          </cell>
          <cell r="Z111">
            <v>888</v>
          </cell>
          <cell r="AA111">
            <v>886</v>
          </cell>
          <cell r="AB111">
            <v>919</v>
          </cell>
          <cell r="AC111">
            <v>977</v>
          </cell>
          <cell r="AD111">
            <v>1014.7881914641249</v>
          </cell>
          <cell r="AE111">
            <v>977</v>
          </cell>
          <cell r="AF111">
            <v>1057</v>
          </cell>
          <cell r="AG111">
            <v>880</v>
          </cell>
          <cell r="AH111">
            <v>942</v>
          </cell>
          <cell r="AI111">
            <v>881</v>
          </cell>
          <cell r="AJ111">
            <v>877</v>
          </cell>
          <cell r="AK111">
            <v>898</v>
          </cell>
          <cell r="AL111">
            <v>949</v>
          </cell>
          <cell r="AM111">
            <v>999</v>
          </cell>
          <cell r="AN111">
            <v>1032.9814688356314</v>
          </cell>
        </row>
        <row r="112">
          <cell r="J112">
            <v>9.0909090909090828E-2</v>
          </cell>
        </row>
        <row r="113">
          <cell r="A113" t="str">
            <v>Fuel Consumption</v>
          </cell>
          <cell r="B113">
            <v>319</v>
          </cell>
          <cell r="C113">
            <v>326</v>
          </cell>
          <cell r="D113">
            <v>283</v>
          </cell>
          <cell r="E113">
            <v>304</v>
          </cell>
          <cell r="F113">
            <v>324</v>
          </cell>
          <cell r="G113">
            <v>322</v>
          </cell>
          <cell r="H113">
            <v>321</v>
          </cell>
          <cell r="I113">
            <v>319</v>
          </cell>
          <cell r="J113">
            <v>319.28212454403547</v>
          </cell>
          <cell r="K113">
            <v>328.32536908029044</v>
          </cell>
          <cell r="L113">
            <v>322</v>
          </cell>
          <cell r="M113">
            <v>317</v>
          </cell>
          <cell r="N113">
            <v>290</v>
          </cell>
          <cell r="O113">
            <v>307</v>
          </cell>
          <cell r="P113">
            <v>319</v>
          </cell>
          <cell r="Q113">
            <v>318</v>
          </cell>
          <cell r="R113">
            <v>334</v>
          </cell>
          <cell r="S113">
            <v>332</v>
          </cell>
          <cell r="T113">
            <v>332.63943699306282</v>
          </cell>
          <cell r="U113">
            <v>346</v>
          </cell>
          <cell r="V113">
            <v>319</v>
          </cell>
          <cell r="W113">
            <v>302</v>
          </cell>
          <cell r="X113">
            <v>284</v>
          </cell>
          <cell r="Y113">
            <v>312</v>
          </cell>
          <cell r="Z113">
            <v>325</v>
          </cell>
          <cell r="AA113">
            <v>319</v>
          </cell>
          <cell r="AB113">
            <v>331</v>
          </cell>
          <cell r="AC113">
            <v>334</v>
          </cell>
          <cell r="AD113">
            <v>335.11359543444905</v>
          </cell>
          <cell r="AE113">
            <v>334</v>
          </cell>
          <cell r="AF113">
            <v>322</v>
          </cell>
          <cell r="AG113">
            <v>283</v>
          </cell>
          <cell r="AH113">
            <v>294</v>
          </cell>
          <cell r="AI113">
            <v>322</v>
          </cell>
          <cell r="AJ113">
            <v>325</v>
          </cell>
          <cell r="AK113">
            <v>328</v>
          </cell>
          <cell r="AL113">
            <v>329</v>
          </cell>
          <cell r="AM113">
            <v>344</v>
          </cell>
          <cell r="AN113">
            <v>347.18296943586608</v>
          </cell>
        </row>
        <row r="114">
          <cell r="A114" t="str">
            <v>Average Price ($/gallon)</v>
          </cell>
          <cell r="B114">
            <v>0.62</v>
          </cell>
          <cell r="C114">
            <v>0.75</v>
          </cell>
          <cell r="D114">
            <v>0.64</v>
          </cell>
          <cell r="E114">
            <v>0.504</v>
          </cell>
          <cell r="F114">
            <v>0.81299999999999994</v>
          </cell>
          <cell r="G114">
            <v>0.92200000000000004</v>
          </cell>
          <cell r="H114">
            <v>0.61</v>
          </cell>
          <cell r="I114">
            <v>1</v>
          </cell>
          <cell r="J114">
            <v>1</v>
          </cell>
          <cell r="K114">
            <v>1</v>
          </cell>
          <cell r="L114">
            <v>0.73</v>
          </cell>
          <cell r="M114">
            <v>0.71</v>
          </cell>
          <cell r="N114">
            <v>0.63</v>
          </cell>
          <cell r="O114">
            <v>0.56000000000000005</v>
          </cell>
          <cell r="P114">
            <v>0.84</v>
          </cell>
          <cell r="Q114">
            <v>0.92</v>
          </cell>
          <cell r="R114">
            <v>0.72</v>
          </cell>
          <cell r="S114">
            <v>0.88</v>
          </cell>
          <cell r="T114">
            <v>0.87</v>
          </cell>
          <cell r="U114">
            <v>1.1599999999999999</v>
          </cell>
          <cell r="V114">
            <v>0.68</v>
          </cell>
          <cell r="W114">
            <v>0.67</v>
          </cell>
          <cell r="X114">
            <v>0.6</v>
          </cell>
          <cell r="Y114">
            <v>0.56000000000000005</v>
          </cell>
          <cell r="Z114">
            <v>0.92</v>
          </cell>
          <cell r="AA114">
            <v>0.86</v>
          </cell>
          <cell r="AB114">
            <v>0.75</v>
          </cell>
          <cell r="AC114">
            <v>0.9</v>
          </cell>
          <cell r="AD114">
            <v>0.85</v>
          </cell>
          <cell r="AE114">
            <v>0.9</v>
          </cell>
          <cell r="AF114">
            <v>0.76</v>
          </cell>
          <cell r="AG114">
            <v>0.7</v>
          </cell>
          <cell r="AH114">
            <v>0.6</v>
          </cell>
          <cell r="AI114">
            <v>0.6</v>
          </cell>
          <cell r="AJ114">
            <v>1.03</v>
          </cell>
          <cell r="AK114">
            <v>0.81</v>
          </cell>
          <cell r="AL114">
            <v>0.81</v>
          </cell>
          <cell r="AM114">
            <v>0.89</v>
          </cell>
          <cell r="AN114">
            <v>0.85</v>
          </cell>
        </row>
        <row r="115">
          <cell r="A115" t="str">
            <v>Total Fuel Expense (MM)</v>
          </cell>
          <cell r="B115">
            <v>197.78</v>
          </cell>
          <cell r="C115">
            <v>244.5</v>
          </cell>
          <cell r="D115">
            <v>181.12</v>
          </cell>
          <cell r="E115">
            <v>153.21600000000001</v>
          </cell>
          <cell r="F115">
            <v>263.41199999999998</v>
          </cell>
          <cell r="G115">
            <v>296.88400000000001</v>
          </cell>
          <cell r="H115">
            <v>195.81</v>
          </cell>
          <cell r="I115">
            <v>319</v>
          </cell>
          <cell r="J115">
            <v>319.28212454403547</v>
          </cell>
          <cell r="K115">
            <v>328.32536908029044</v>
          </cell>
          <cell r="L115">
            <v>235.06</v>
          </cell>
          <cell r="M115">
            <v>225.07</v>
          </cell>
          <cell r="N115">
            <v>182.7</v>
          </cell>
          <cell r="O115">
            <v>171.92000000000002</v>
          </cell>
          <cell r="P115">
            <v>267.95999999999998</v>
          </cell>
          <cell r="Q115">
            <v>292.56</v>
          </cell>
          <cell r="R115">
            <v>240.48</v>
          </cell>
          <cell r="S115">
            <v>292.16000000000003</v>
          </cell>
          <cell r="T115">
            <v>289.39631018396466</v>
          </cell>
          <cell r="U115">
            <v>401.35999999999996</v>
          </cell>
          <cell r="V115">
            <v>216.92000000000002</v>
          </cell>
          <cell r="W115">
            <v>202.34</v>
          </cell>
          <cell r="X115">
            <v>170.4</v>
          </cell>
          <cell r="Y115">
            <v>174.72000000000003</v>
          </cell>
          <cell r="Z115">
            <v>299</v>
          </cell>
          <cell r="AA115">
            <v>274.33999999999997</v>
          </cell>
          <cell r="AB115">
            <v>248.25</v>
          </cell>
          <cell r="AC115">
            <v>300.60000000000002</v>
          </cell>
          <cell r="AD115">
            <v>284.84655611928167</v>
          </cell>
          <cell r="AE115">
            <v>300.60000000000002</v>
          </cell>
          <cell r="AF115">
            <v>244.72</v>
          </cell>
          <cell r="AG115">
            <v>198.1</v>
          </cell>
          <cell r="AH115">
            <v>176.4</v>
          </cell>
          <cell r="AI115">
            <v>193.2</v>
          </cell>
          <cell r="AJ115">
            <v>334.75</v>
          </cell>
          <cell r="AK115">
            <v>265.68</v>
          </cell>
          <cell r="AL115">
            <v>266.49</v>
          </cell>
          <cell r="AM115">
            <v>306.16000000000003</v>
          </cell>
          <cell r="AN115">
            <v>295.10552402048614</v>
          </cell>
        </row>
        <row r="116">
          <cell r="J116">
            <v>6.9600000000000062</v>
          </cell>
        </row>
        <row r="117">
          <cell r="A117" t="str">
            <v>Railway Carload Statistics</v>
          </cell>
        </row>
        <row r="118">
          <cell r="A118" t="str">
            <v xml:space="preserve"> </v>
          </cell>
          <cell r="B118" t="str">
            <v>1Q:96</v>
          </cell>
          <cell r="C118" t="str">
            <v>1Q:97</v>
          </cell>
          <cell r="D118" t="str">
            <v>1Q:98</v>
          </cell>
          <cell r="E118" t="str">
            <v>1Q:99</v>
          </cell>
          <cell r="F118" t="str">
            <v>1Q:00</v>
          </cell>
          <cell r="G118" t="str">
            <v>1Q:01</v>
          </cell>
          <cell r="H118" t="str">
            <v>1Q:02</v>
          </cell>
          <cell r="I118" t="str">
            <v>1Q:03</v>
          </cell>
          <cell r="J118" t="str">
            <v>1Q:04E</v>
          </cell>
          <cell r="K118" t="str">
            <v>1Q:04E</v>
          </cell>
          <cell r="L118" t="str">
            <v>2Q:96</v>
          </cell>
          <cell r="M118" t="str">
            <v>2Q:97</v>
          </cell>
          <cell r="N118" t="str">
            <v>2Q:98</v>
          </cell>
          <cell r="O118" t="str">
            <v>2Q:99</v>
          </cell>
          <cell r="P118" t="str">
            <v>2Q:00</v>
          </cell>
          <cell r="Q118" t="str">
            <v>2Q:01</v>
          </cell>
          <cell r="R118" t="str">
            <v>2Q:02</v>
          </cell>
          <cell r="S118" t="str">
            <v>2Q:03</v>
          </cell>
          <cell r="T118" t="str">
            <v>2Q:04E</v>
          </cell>
          <cell r="U118" t="str">
            <v>2Q:04</v>
          </cell>
          <cell r="V118" t="str">
            <v>3Q:96</v>
          </cell>
          <cell r="W118" t="str">
            <v>3Q:97</v>
          </cell>
          <cell r="X118" t="str">
            <v>3Q:98</v>
          </cell>
          <cell r="Y118" t="str">
            <v>3Q:99</v>
          </cell>
          <cell r="Z118" t="str">
            <v>3Q:00</v>
          </cell>
          <cell r="AA118" t="str">
            <v>3Q:01</v>
          </cell>
          <cell r="AB118" t="str">
            <v>3Q:02</v>
          </cell>
          <cell r="AC118" t="str">
            <v>3Q:03</v>
          </cell>
          <cell r="AD118" t="str">
            <v>3Q:04E</v>
          </cell>
          <cell r="AE118" t="str">
            <v>3Q:03</v>
          </cell>
          <cell r="AF118" t="str">
            <v>4Q:96</v>
          </cell>
          <cell r="AG118" t="str">
            <v>4Q:97</v>
          </cell>
          <cell r="AH118" t="str">
            <v>4Q:98</v>
          </cell>
          <cell r="AI118" t="str">
            <v>4Q:99</v>
          </cell>
          <cell r="AJ118" t="str">
            <v>4Q:00</v>
          </cell>
          <cell r="AK118" t="str">
            <v>4Q:01</v>
          </cell>
          <cell r="AL118" t="str">
            <v>4Q:02</v>
          </cell>
          <cell r="AM118" t="str">
            <v>4Q:03</v>
          </cell>
          <cell r="AN118" t="str">
            <v>4Q:04E</v>
          </cell>
        </row>
        <row r="119">
          <cell r="A119" t="str">
            <v>Carloads</v>
          </cell>
        </row>
        <row r="120">
          <cell r="A120" t="str">
            <v xml:space="preserve">  Agricultural</v>
          </cell>
          <cell r="B120">
            <v>245737</v>
          </cell>
          <cell r="C120">
            <v>247303</v>
          </cell>
          <cell r="D120">
            <v>201431</v>
          </cell>
          <cell r="E120">
            <v>223414</v>
          </cell>
          <cell r="F120">
            <v>220988</v>
          </cell>
          <cell r="G120">
            <v>219155</v>
          </cell>
          <cell r="H120">
            <v>218507</v>
          </cell>
          <cell r="I120">
            <v>214221</v>
          </cell>
          <cell r="J120">
            <v>226003.155</v>
          </cell>
          <cell r="K120">
            <v>233500.89</v>
          </cell>
          <cell r="L120">
            <v>245153</v>
          </cell>
          <cell r="M120">
            <v>222407</v>
          </cell>
          <cell r="N120">
            <v>192143</v>
          </cell>
          <cell r="O120">
            <v>214016</v>
          </cell>
          <cell r="P120">
            <v>213250</v>
          </cell>
          <cell r="Q120">
            <v>211082</v>
          </cell>
          <cell r="R120">
            <v>210530</v>
          </cell>
          <cell r="S120">
            <v>205728</v>
          </cell>
          <cell r="T120">
            <v>216014.40000000002</v>
          </cell>
          <cell r="U120">
            <v>215033</v>
          </cell>
          <cell r="V120">
            <v>227335</v>
          </cell>
          <cell r="W120">
            <v>224641</v>
          </cell>
          <cell r="X120">
            <v>211448</v>
          </cell>
          <cell r="Y120">
            <v>232670</v>
          </cell>
          <cell r="Z120">
            <v>217236</v>
          </cell>
          <cell r="AA120">
            <v>214244</v>
          </cell>
          <cell r="AB120">
            <v>215974</v>
          </cell>
          <cell r="AC120">
            <v>224919</v>
          </cell>
          <cell r="AD120">
            <v>232791.16499999998</v>
          </cell>
          <cell r="AE120">
            <v>224996</v>
          </cell>
          <cell r="AF120">
            <v>257312</v>
          </cell>
          <cell r="AG120">
            <v>217446</v>
          </cell>
          <cell r="AH120">
            <v>234703</v>
          </cell>
          <cell r="AI120">
            <v>240907</v>
          </cell>
          <cell r="AJ120">
            <v>221356</v>
          </cell>
          <cell r="AK120">
            <v>230449</v>
          </cell>
          <cell r="AL120">
            <v>234218</v>
          </cell>
          <cell r="AM120">
            <v>237979</v>
          </cell>
          <cell r="AN120">
            <v>245118.37</v>
          </cell>
        </row>
        <row r="121">
          <cell r="A121" t="str">
            <v xml:space="preserve">  Automotive</v>
          </cell>
          <cell r="B121">
            <v>148749</v>
          </cell>
          <cell r="C121">
            <v>157472</v>
          </cell>
          <cell r="D121">
            <v>158900</v>
          </cell>
          <cell r="E121">
            <v>169938</v>
          </cell>
          <cell r="F121">
            <v>199262</v>
          </cell>
          <cell r="G121">
            <v>185447</v>
          </cell>
          <cell r="H121">
            <v>193187</v>
          </cell>
          <cell r="I121">
            <v>206662</v>
          </cell>
          <cell r="J121">
            <v>200462.13999999998</v>
          </cell>
          <cell r="K121">
            <v>194262.28</v>
          </cell>
          <cell r="L121">
            <v>168778</v>
          </cell>
          <cell r="M121">
            <v>166539</v>
          </cell>
          <cell r="N121">
            <v>164673</v>
          </cell>
          <cell r="O121">
            <v>184071</v>
          </cell>
          <cell r="P121">
            <v>213593</v>
          </cell>
          <cell r="Q121">
            <v>198828</v>
          </cell>
          <cell r="R121">
            <v>219103</v>
          </cell>
          <cell r="S121">
            <v>214232</v>
          </cell>
          <cell r="T121">
            <v>218516.64</v>
          </cell>
          <cell r="U121">
            <v>216983</v>
          </cell>
          <cell r="V121">
            <v>148259</v>
          </cell>
          <cell r="W121">
            <v>149274</v>
          </cell>
          <cell r="X121">
            <v>140396</v>
          </cell>
          <cell r="Y121">
            <v>167044</v>
          </cell>
          <cell r="Z121">
            <v>196494</v>
          </cell>
          <cell r="AA121">
            <v>177179</v>
          </cell>
          <cell r="AB121">
            <v>192640</v>
          </cell>
          <cell r="AC121">
            <v>189734</v>
          </cell>
          <cell r="AD121">
            <v>193528.68</v>
          </cell>
          <cell r="AE121">
            <v>189734</v>
          </cell>
          <cell r="AF121">
            <v>158894</v>
          </cell>
          <cell r="AG121">
            <v>167772</v>
          </cell>
          <cell r="AH121">
            <v>177118</v>
          </cell>
          <cell r="AI121">
            <v>186342</v>
          </cell>
          <cell r="AJ121">
            <v>205911</v>
          </cell>
          <cell r="AK121">
            <v>201524</v>
          </cell>
          <cell r="AL121">
            <v>213644</v>
          </cell>
          <cell r="AM121">
            <v>209160</v>
          </cell>
          <cell r="AN121">
            <v>213343.2</v>
          </cell>
        </row>
        <row r="122">
          <cell r="A122" t="str">
            <v xml:space="preserve">  Chemicals</v>
          </cell>
          <cell r="B122">
            <v>231253</v>
          </cell>
          <cell r="C122">
            <v>237218</v>
          </cell>
          <cell r="D122">
            <v>222752</v>
          </cell>
          <cell r="E122">
            <v>225042</v>
          </cell>
          <cell r="F122">
            <v>231796</v>
          </cell>
          <cell r="G122">
            <v>219403</v>
          </cell>
          <cell r="H122">
            <v>217449</v>
          </cell>
          <cell r="I122">
            <v>219453</v>
          </cell>
          <cell r="J122">
            <v>217258.47</v>
          </cell>
          <cell r="K122">
            <v>221647.53</v>
          </cell>
          <cell r="L122">
            <v>247996</v>
          </cell>
          <cell r="M122">
            <v>257370</v>
          </cell>
          <cell r="N122">
            <v>226671</v>
          </cell>
          <cell r="O122">
            <v>232540</v>
          </cell>
          <cell r="P122">
            <v>243611</v>
          </cell>
          <cell r="Q122">
            <v>221647</v>
          </cell>
          <cell r="R122">
            <v>232820</v>
          </cell>
          <cell r="S122">
            <v>225618</v>
          </cell>
          <cell r="T122">
            <v>227874.18</v>
          </cell>
          <cell r="U122">
            <v>238309</v>
          </cell>
          <cell r="V122">
            <v>255458</v>
          </cell>
          <cell r="W122">
            <v>249507</v>
          </cell>
          <cell r="X122">
            <v>231794</v>
          </cell>
          <cell r="Y122">
            <v>237949</v>
          </cell>
          <cell r="Z122">
            <v>237050</v>
          </cell>
          <cell r="AA122">
            <v>225040</v>
          </cell>
          <cell r="AB122">
            <v>230674</v>
          </cell>
          <cell r="AC122">
            <v>224686</v>
          </cell>
          <cell r="AD122">
            <v>228056.28999999998</v>
          </cell>
          <cell r="AE122">
            <v>224686</v>
          </cell>
          <cell r="AF122">
            <v>241857</v>
          </cell>
          <cell r="AG122">
            <v>227187</v>
          </cell>
          <cell r="AH122">
            <v>217931</v>
          </cell>
          <cell r="AI122">
            <v>234431</v>
          </cell>
          <cell r="AJ122">
            <v>223460</v>
          </cell>
          <cell r="AK122">
            <v>214454</v>
          </cell>
          <cell r="AL122">
            <v>222780</v>
          </cell>
          <cell r="AM122">
            <v>218491</v>
          </cell>
          <cell r="AN122">
            <v>220675.91</v>
          </cell>
        </row>
        <row r="123">
          <cell r="A123" t="str">
            <v xml:space="preserve">  Energy (Coal)</v>
          </cell>
          <cell r="B123">
            <v>417681</v>
          </cell>
          <cell r="C123">
            <v>456504</v>
          </cell>
          <cell r="D123">
            <v>442094</v>
          </cell>
          <cell r="E123">
            <v>476739</v>
          </cell>
          <cell r="F123">
            <v>479813</v>
          </cell>
          <cell r="G123">
            <v>536546</v>
          </cell>
          <cell r="H123">
            <v>545230</v>
          </cell>
          <cell r="I123">
            <v>521029</v>
          </cell>
          <cell r="J123">
            <v>524580.45000000007</v>
          </cell>
          <cell r="K123">
            <v>541774.40700000001</v>
          </cell>
          <cell r="L123">
            <v>437624</v>
          </cell>
          <cell r="M123">
            <v>435670</v>
          </cell>
          <cell r="N123">
            <v>427055</v>
          </cell>
          <cell r="O123">
            <v>448425</v>
          </cell>
          <cell r="P123">
            <v>439233</v>
          </cell>
          <cell r="Q123">
            <v>516479</v>
          </cell>
          <cell r="R123">
            <v>519852</v>
          </cell>
          <cell r="S123">
            <v>536900</v>
          </cell>
          <cell r="T123">
            <v>530507</v>
          </cell>
          <cell r="U123">
            <v>539508</v>
          </cell>
          <cell r="V123">
            <v>475276</v>
          </cell>
          <cell r="W123">
            <v>439769</v>
          </cell>
          <cell r="X123">
            <v>449436</v>
          </cell>
          <cell r="Y123">
            <v>477826</v>
          </cell>
          <cell r="Z123">
            <v>513337</v>
          </cell>
          <cell r="AA123">
            <v>549092</v>
          </cell>
          <cell r="AB123">
            <v>539915</v>
          </cell>
          <cell r="AC123">
            <v>562700</v>
          </cell>
          <cell r="AD123">
            <v>557081</v>
          </cell>
          <cell r="AE123">
            <v>562700</v>
          </cell>
          <cell r="AF123">
            <v>446549</v>
          </cell>
          <cell r="AG123">
            <v>403747</v>
          </cell>
          <cell r="AH123">
            <v>448622</v>
          </cell>
          <cell r="AI123">
            <v>469302</v>
          </cell>
          <cell r="AJ123">
            <v>498152</v>
          </cell>
          <cell r="AK123">
            <v>558482</v>
          </cell>
          <cell r="AL123">
            <v>558787</v>
          </cell>
          <cell r="AM123">
            <v>566459</v>
          </cell>
          <cell r="AN123">
            <v>560952.77</v>
          </cell>
        </row>
        <row r="124">
          <cell r="A124" t="str">
            <v xml:space="preserve">  Industrial Products</v>
          </cell>
          <cell r="B124">
            <v>413236</v>
          </cell>
          <cell r="C124">
            <v>354471</v>
          </cell>
          <cell r="D124">
            <v>313702</v>
          </cell>
          <cell r="E124">
            <v>327180</v>
          </cell>
          <cell r="F124">
            <v>354856</v>
          </cell>
          <cell r="G124">
            <v>335827</v>
          </cell>
          <cell r="H124">
            <v>322454</v>
          </cell>
          <cell r="I124">
            <v>340047</v>
          </cell>
          <cell r="J124">
            <v>353648.88</v>
          </cell>
          <cell r="K124">
            <v>357049.35</v>
          </cell>
          <cell r="L124">
            <v>456170</v>
          </cell>
          <cell r="M124">
            <v>396125</v>
          </cell>
          <cell r="N124">
            <v>342423</v>
          </cell>
          <cell r="O124">
            <v>352721</v>
          </cell>
          <cell r="P124">
            <v>375741</v>
          </cell>
          <cell r="Q124">
            <v>374243</v>
          </cell>
          <cell r="R124">
            <v>373201</v>
          </cell>
          <cell r="S124">
            <v>382539</v>
          </cell>
          <cell r="T124">
            <v>397840.56</v>
          </cell>
          <cell r="U124">
            <v>387398</v>
          </cell>
          <cell r="V124">
            <v>452676</v>
          </cell>
          <cell r="W124">
            <v>369996</v>
          </cell>
          <cell r="X124">
            <v>348980</v>
          </cell>
          <cell r="Y124">
            <v>364711</v>
          </cell>
          <cell r="Z124">
            <v>362625</v>
          </cell>
          <cell r="AA124">
            <v>367614</v>
          </cell>
          <cell r="AB124">
            <v>378475</v>
          </cell>
          <cell r="AC124">
            <v>389976</v>
          </cell>
          <cell r="AD124">
            <v>405575.04000000004</v>
          </cell>
          <cell r="AE124">
            <v>389910</v>
          </cell>
          <cell r="AF124">
            <v>414379</v>
          </cell>
          <cell r="AG124">
            <v>325825</v>
          </cell>
          <cell r="AH124">
            <v>315384</v>
          </cell>
          <cell r="AI124">
            <v>353095</v>
          </cell>
          <cell r="AJ124">
            <v>337516</v>
          </cell>
          <cell r="AK124">
            <v>327711</v>
          </cell>
          <cell r="AL124">
            <v>340335</v>
          </cell>
          <cell r="AM124">
            <v>365542</v>
          </cell>
          <cell r="AN124">
            <v>378335.97</v>
          </cell>
        </row>
        <row r="125">
          <cell r="A125" t="str">
            <v xml:space="preserve">  Intermodal </v>
          </cell>
          <cell r="B125">
            <v>643589</v>
          </cell>
          <cell r="C125">
            <v>673932</v>
          </cell>
          <cell r="D125">
            <v>599307</v>
          </cell>
          <cell r="E125">
            <v>625502</v>
          </cell>
          <cell r="F125">
            <v>687035</v>
          </cell>
          <cell r="G125">
            <v>682675</v>
          </cell>
          <cell r="H125">
            <v>681169</v>
          </cell>
          <cell r="I125">
            <v>692509</v>
          </cell>
          <cell r="J125">
            <v>720209.36</v>
          </cell>
          <cell r="K125">
            <v>709821.72499999998</v>
          </cell>
          <cell r="L125">
            <v>660448</v>
          </cell>
          <cell r="M125">
            <v>728606</v>
          </cell>
          <cell r="N125">
            <v>642532</v>
          </cell>
          <cell r="O125">
            <v>681509</v>
          </cell>
          <cell r="P125">
            <v>727441</v>
          </cell>
          <cell r="Q125">
            <v>688784</v>
          </cell>
          <cell r="R125">
            <v>770972</v>
          </cell>
          <cell r="S125">
            <v>752504</v>
          </cell>
          <cell r="T125">
            <v>782604.16</v>
          </cell>
          <cell r="U125">
            <v>770328</v>
          </cell>
          <cell r="V125">
            <v>706889</v>
          </cell>
          <cell r="W125">
            <v>737909</v>
          </cell>
          <cell r="X125">
            <v>639915</v>
          </cell>
          <cell r="Y125">
            <v>719453</v>
          </cell>
          <cell r="Z125">
            <v>766308</v>
          </cell>
          <cell r="AA125">
            <v>740955</v>
          </cell>
          <cell r="AB125">
            <v>801251</v>
          </cell>
          <cell r="AC125">
            <v>774764</v>
          </cell>
          <cell r="AD125">
            <v>813502.20000000007</v>
          </cell>
          <cell r="AE125">
            <v>774753</v>
          </cell>
          <cell r="AF125">
            <v>712420</v>
          </cell>
          <cell r="AG125">
            <v>606529</v>
          </cell>
          <cell r="AH125">
            <v>648983</v>
          </cell>
          <cell r="AI125">
            <v>711067</v>
          </cell>
          <cell r="AJ125">
            <v>735219</v>
          </cell>
          <cell r="AK125">
            <v>719200</v>
          </cell>
          <cell r="AL125">
            <v>698181</v>
          </cell>
          <cell r="AM125">
            <v>762979</v>
          </cell>
          <cell r="AN125">
            <v>785868.37</v>
          </cell>
        </row>
        <row r="126">
          <cell r="A126" t="str">
            <v>Total Carloads</v>
          </cell>
          <cell r="B126">
            <v>2100245</v>
          </cell>
          <cell r="C126">
            <v>2126900</v>
          </cell>
          <cell r="D126">
            <v>1938186</v>
          </cell>
          <cell r="E126">
            <v>2047815</v>
          </cell>
          <cell r="F126">
            <v>2173750</v>
          </cell>
          <cell r="G126">
            <v>2179053</v>
          </cell>
          <cell r="H126">
            <v>2177996</v>
          </cell>
          <cell r="I126">
            <v>2193921</v>
          </cell>
          <cell r="J126">
            <v>2242162.4550000001</v>
          </cell>
          <cell r="K126">
            <v>2258056.182</v>
          </cell>
          <cell r="L126">
            <v>2216169</v>
          </cell>
          <cell r="M126">
            <v>2206717</v>
          </cell>
          <cell r="N126">
            <v>1995497</v>
          </cell>
          <cell r="O126">
            <v>2113282</v>
          </cell>
          <cell r="P126">
            <v>2212869</v>
          </cell>
          <cell r="Q126">
            <v>2211063</v>
          </cell>
          <cell r="R126">
            <v>2326478</v>
          </cell>
          <cell r="S126">
            <v>2317521</v>
          </cell>
          <cell r="T126">
            <v>2373356.94</v>
          </cell>
          <cell r="U126">
            <v>2367559</v>
          </cell>
          <cell r="V126">
            <v>2265893</v>
          </cell>
          <cell r="W126">
            <v>2171096</v>
          </cell>
          <cell r="X126">
            <v>2021969</v>
          </cell>
          <cell r="Y126">
            <v>2199653</v>
          </cell>
          <cell r="Z126">
            <v>2293050</v>
          </cell>
          <cell r="AA126">
            <v>2274124</v>
          </cell>
          <cell r="AB126">
            <v>2358929</v>
          </cell>
          <cell r="AC126">
            <v>2366779</v>
          </cell>
          <cell r="AD126">
            <v>2430534.375</v>
          </cell>
          <cell r="AE126">
            <v>2366779</v>
          </cell>
          <cell r="AF126">
            <v>2231411</v>
          </cell>
          <cell r="AG126">
            <v>1948506</v>
          </cell>
          <cell r="AH126">
            <v>2042741</v>
          </cell>
          <cell r="AI126">
            <v>2195144</v>
          </cell>
          <cell r="AJ126">
            <v>2221614</v>
          </cell>
          <cell r="AK126">
            <v>2251820</v>
          </cell>
          <cell r="AL126">
            <v>2267945</v>
          </cell>
          <cell r="AM126">
            <v>2360610</v>
          </cell>
          <cell r="AN126">
            <v>2404294.59</v>
          </cell>
        </row>
        <row r="128">
          <cell r="A128" t="str">
            <v>Carload Growth Rates (year-over-year)</v>
          </cell>
        </row>
        <row r="129">
          <cell r="A129" t="str">
            <v xml:space="preserve">  Agricultural</v>
          </cell>
          <cell r="C129">
            <v>6.3726667127863568E-3</v>
          </cell>
          <cell r="D129">
            <v>-0.18548905593543141</v>
          </cell>
          <cell r="E129">
            <v>0.10913414519115716</v>
          </cell>
          <cell r="F129">
            <v>-1.0858764446274649E-2</v>
          </cell>
          <cell r="G129">
            <v>-8.2945680308432745E-3</v>
          </cell>
          <cell r="H129">
            <v>-2.9568113891994541E-3</v>
          </cell>
          <cell r="I129">
            <v>-1.9614932244733541E-2</v>
          </cell>
          <cell r="J129">
            <v>5.4999999999999938E-2</v>
          </cell>
          <cell r="K129">
            <v>9.000000000000008E-2</v>
          </cell>
          <cell r="M129">
            <v>-9.2782874368251611E-2</v>
          </cell>
          <cell r="N129">
            <v>-0.13607485375909933</v>
          </cell>
          <cell r="O129">
            <v>0.11383709008394782</v>
          </cell>
          <cell r="P129">
            <v>-3.5791716507177496E-3</v>
          </cell>
          <cell r="Q129">
            <v>-1.016647127784287E-2</v>
          </cell>
          <cell r="R129">
            <v>-2.6150974502799906E-3</v>
          </cell>
          <cell r="S129">
            <v>-2.2809100840735286E-2</v>
          </cell>
          <cell r="T129">
            <v>5.0000000000000044E-2</v>
          </cell>
          <cell r="U129">
            <v>4.5229623580650191E-2</v>
          </cell>
          <cell r="V129">
            <v>2.0000000000000018E-2</v>
          </cell>
          <cell r="W129">
            <v>-1.1850353003277081E-2</v>
          </cell>
          <cell r="X129">
            <v>-5.8729261354783846E-2</v>
          </cell>
          <cell r="Y129">
            <v>0.1003651015852598</v>
          </cell>
          <cell r="Z129">
            <v>-6.633429320496842E-2</v>
          </cell>
          <cell r="AA129">
            <v>-1.3773039459389791E-2</v>
          </cell>
          <cell r="AB129">
            <v>8.074905248221631E-3</v>
          </cell>
          <cell r="AC129">
            <v>4.141702241936529E-2</v>
          </cell>
          <cell r="AD129">
            <v>3.499999999999992E-2</v>
          </cell>
          <cell r="AE129">
            <v>4.1773546815820461E-2</v>
          </cell>
          <cell r="AF129">
            <v>-7.022791516293625E-2</v>
          </cell>
          <cell r="AG129">
            <v>-0.15493253326700662</v>
          </cell>
          <cell r="AH129">
            <v>7.9362232462312443E-2</v>
          </cell>
          <cell r="AI129">
            <v>2.6433407327558722E-2</v>
          </cell>
          <cell r="AJ129">
            <v>-8.1155798710705773E-2</v>
          </cell>
          <cell r="AK129">
            <v>4.1078624478216197E-2</v>
          </cell>
          <cell r="AL129">
            <v>1.6355028661439119E-2</v>
          </cell>
          <cell r="AM129">
            <v>1.6057689844503731E-2</v>
          </cell>
          <cell r="AN129">
            <v>3.0000000000000027E-2</v>
          </cell>
        </row>
        <row r="130">
          <cell r="A130" t="str">
            <v xml:space="preserve">  Automotive</v>
          </cell>
          <cell r="C130">
            <v>5.8642411041418763E-2</v>
          </cell>
          <cell r="D130">
            <v>9.0682788051208441E-3</v>
          </cell>
          <cell r="E130">
            <v>6.9465072372561387E-2</v>
          </cell>
          <cell r="F130">
            <v>0.17255705021831491</v>
          </cell>
          <cell r="G130">
            <v>-6.933083076552482E-2</v>
          </cell>
          <cell r="H130">
            <v>4.173699224037053E-2</v>
          </cell>
          <cell r="I130">
            <v>6.9751070206587329E-2</v>
          </cell>
          <cell r="J130">
            <v>-3.0000000000000027E-2</v>
          </cell>
          <cell r="K130">
            <v>-6.0000000000000053E-2</v>
          </cell>
          <cell r="M130">
            <v>-1.326594698361161E-2</v>
          </cell>
          <cell r="N130">
            <v>-1.1204582710356181E-2</v>
          </cell>
          <cell r="O130">
            <v>0.11779708877593786</v>
          </cell>
          <cell r="P130">
            <v>0.16038376496025997</v>
          </cell>
          <cell r="Q130">
            <v>-6.9126797226500836E-2</v>
          </cell>
          <cell r="R130">
            <v>0.10197255919689385</v>
          </cell>
          <cell r="S130">
            <v>-2.2231553196441878E-2</v>
          </cell>
          <cell r="T130">
            <v>2.0000000000000018E-2</v>
          </cell>
          <cell r="U130">
            <v>1.2841218865528914E-2</v>
          </cell>
          <cell r="V130">
            <v>-3.0000000000000138E-2</v>
          </cell>
          <cell r="W130">
            <v>6.8461273851840865E-3</v>
          </cell>
          <cell r="X130">
            <v>-5.9474523359727804E-2</v>
          </cell>
          <cell r="Y130">
            <v>0.18980597737827298</v>
          </cell>
          <cell r="Z130">
            <v>0.17630085486458658</v>
          </cell>
          <cell r="AA130">
            <v>-9.8298166865146031E-2</v>
          </cell>
          <cell r="AB130">
            <v>8.7262034439747449E-2</v>
          </cell>
          <cell r="AC130">
            <v>-1.5085132890365394E-2</v>
          </cell>
          <cell r="AD130">
            <v>2.0000000000000018E-2</v>
          </cell>
          <cell r="AE130">
            <v>-1.5085132890365394E-2</v>
          </cell>
          <cell r="AF130">
            <v>2.9188231945776799E-2</v>
          </cell>
          <cell r="AG130">
            <v>5.5873727138847196E-2</v>
          </cell>
          <cell r="AH130">
            <v>5.5706554132989972E-2</v>
          </cell>
          <cell r="AI130">
            <v>5.2078275499949145E-2</v>
          </cell>
          <cell r="AJ130">
            <v>0.10501658241298251</v>
          </cell>
          <cell r="AK130">
            <v>-2.1305321231017249E-2</v>
          </cell>
          <cell r="AL130">
            <v>6.0141720092892204E-2</v>
          </cell>
          <cell r="AM130">
            <v>-2.0988185954204153E-2</v>
          </cell>
          <cell r="AN130">
            <v>2.0000000000000018E-2</v>
          </cell>
        </row>
        <row r="131">
          <cell r="A131" t="str">
            <v xml:space="preserve">  Chemicals</v>
          </cell>
          <cell r="C131">
            <v>2.5794259966357203E-2</v>
          </cell>
          <cell r="D131">
            <v>-6.0981881644731839E-2</v>
          </cell>
          <cell r="E131">
            <v>1.0280491308719997E-2</v>
          </cell>
          <cell r="F131">
            <v>3.0012175505016891E-2</v>
          </cell>
          <cell r="G131">
            <v>-5.3465115877754599E-2</v>
          </cell>
          <cell r="H131">
            <v>-8.9059857887084926E-3</v>
          </cell>
          <cell r="I131">
            <v>9.2159540857856825E-3</v>
          </cell>
          <cell r="J131">
            <v>-1.0000000000000009E-2</v>
          </cell>
          <cell r="K131">
            <v>0.01</v>
          </cell>
          <cell r="M131">
            <v>3.7798996758012127E-2</v>
          </cell>
          <cell r="N131">
            <v>-0.1192796363212496</v>
          </cell>
          <cell r="O131">
            <v>2.5892152061798734E-2</v>
          </cell>
          <cell r="P131">
            <v>4.7609013503053133E-2</v>
          </cell>
          <cell r="Q131">
            <v>-9.0160132342135602E-2</v>
          </cell>
          <cell r="R131">
            <v>5.0408983654188777E-2</v>
          </cell>
          <cell r="S131">
            <v>-3.093376857658281E-2</v>
          </cell>
          <cell r="T131">
            <v>1.0000000000000009E-2</v>
          </cell>
          <cell r="U131">
            <v>5.6249944596619139E-2</v>
          </cell>
          <cell r="V131">
            <v>1.9018836888241797E-2</v>
          </cell>
          <cell r="W131">
            <v>-2.329541451040873E-2</v>
          </cell>
          <cell r="X131">
            <v>-7.0991996216539066E-2</v>
          </cell>
          <cell r="Y131">
            <v>2.6553750312777735E-2</v>
          </cell>
          <cell r="Z131">
            <v>-3.7781205216244063E-3</v>
          </cell>
          <cell r="AA131">
            <v>-5.066441678970679E-2</v>
          </cell>
          <cell r="AB131">
            <v>2.5035549235691512E-2</v>
          </cell>
          <cell r="AC131">
            <v>-2.59587122952738E-2</v>
          </cell>
          <cell r="AD131">
            <v>1.4999999999999902E-2</v>
          </cell>
          <cell r="AE131">
            <v>-2.59587122952738E-2</v>
          </cell>
          <cell r="AF131">
            <v>6.8940654958475456E-2</v>
          </cell>
          <cell r="AG131">
            <v>-6.0655676701521943E-2</v>
          </cell>
          <cell r="AH131">
            <v>-4.07417677948122E-2</v>
          </cell>
          <cell r="AI131">
            <v>7.5712037296208345E-2</v>
          </cell>
          <cell r="AJ131">
            <v>-4.6798418297921307E-2</v>
          </cell>
          <cell r="AK131">
            <v>-4.0302514991497396E-2</v>
          </cell>
          <cell r="AL131">
            <v>3.8824176746528494E-2</v>
          </cell>
          <cell r="AM131">
            <v>-1.9252177035640528E-2</v>
          </cell>
          <cell r="AN131">
            <v>1.0000000000000009E-2</v>
          </cell>
        </row>
        <row r="132">
          <cell r="A132" t="str">
            <v xml:space="preserve">  Energy (Coal)</v>
          </cell>
          <cell r="C132">
            <v>9.294892513664732E-2</v>
          </cell>
          <cell r="D132">
            <v>-3.1565988468885253E-2</v>
          </cell>
          <cell r="E132">
            <v>7.8365686935357726E-2</v>
          </cell>
          <cell r="F132">
            <v>6.4479725803847643E-3</v>
          </cell>
          <cell r="G132">
            <v>0.11823981426097241</v>
          </cell>
          <cell r="H132">
            <v>1.6185005572681543E-2</v>
          </cell>
          <cell r="I132">
            <v>-4.4386772554701692E-2</v>
          </cell>
          <cell r="J132">
            <v>6.8162232812378765E-3</v>
          </cell>
          <cell r="K132">
            <v>3.9816223281237795E-2</v>
          </cell>
          <cell r="M132">
            <v>-4.4650201999890671E-3</v>
          </cell>
          <cell r="N132">
            <v>-1.9774140978263355E-2</v>
          </cell>
          <cell r="O132">
            <v>5.0040392923628163E-2</v>
          </cell>
          <cell r="P132">
            <v>-2.0498411105536074E-2</v>
          </cell>
          <cell r="Q132">
            <v>0.1758656567243353</v>
          </cell>
          <cell r="R132">
            <v>6.5307592370649203E-3</v>
          </cell>
          <cell r="S132">
            <v>3.2793949047036364E-2</v>
          </cell>
          <cell r="T132">
            <v>-1.1907245297075764E-2</v>
          </cell>
          <cell r="U132">
            <v>4.857515365989995E-3</v>
          </cell>
          <cell r="V132">
            <v>6.4851123616331829E-2</v>
          </cell>
          <cell r="W132">
            <v>-7.4708169568839966E-2</v>
          </cell>
          <cell r="X132">
            <v>2.1981995092878348E-2</v>
          </cell>
          <cell r="Y132">
            <v>6.3168059523491582E-2</v>
          </cell>
          <cell r="Z132">
            <v>7.4317847919535662E-2</v>
          </cell>
          <cell r="AA132">
            <v>6.965209988759824E-2</v>
          </cell>
          <cell r="AB132">
            <v>-1.6713046265470988E-2</v>
          </cell>
          <cell r="AC132">
            <v>4.2201087208171728E-2</v>
          </cell>
          <cell r="AD132">
            <v>-9.9857828327705178E-3</v>
          </cell>
          <cell r="AE132">
            <v>4.2201087208171728E-2</v>
          </cell>
          <cell r="AF132">
            <v>-2.9447307623955421E-3</v>
          </cell>
          <cell r="AG132">
            <v>-9.5850623335848928E-2</v>
          </cell>
          <cell r="AH132">
            <v>0.11114633669104657</v>
          </cell>
          <cell r="AI132">
            <v>4.6096713937345823E-2</v>
          </cell>
          <cell r="AJ132">
            <v>6.1474274560943787E-2</v>
          </cell>
          <cell r="AK132">
            <v>0.12110761374038437</v>
          </cell>
          <cell r="AL132">
            <v>5.4612324121450229E-4</v>
          </cell>
          <cell r="AM132">
            <v>1.3729739596662016E-2</v>
          </cell>
          <cell r="AN132">
            <v>-9.7204387254858915E-3</v>
          </cell>
        </row>
        <row r="133">
          <cell r="A133" t="str">
            <v xml:space="preserve">  Industrial Products</v>
          </cell>
          <cell r="C133">
            <v>-0.14220687452206482</v>
          </cell>
          <cell r="D133">
            <v>-0.11501364004389636</v>
          </cell>
          <cell r="E133">
            <v>4.2964341955103791E-2</v>
          </cell>
          <cell r="F133">
            <v>8.458952258695529E-2</v>
          </cell>
          <cell r="G133">
            <v>-5.3624568839191089E-2</v>
          </cell>
          <cell r="H133">
            <v>-3.9821098363145291E-2</v>
          </cell>
          <cell r="I133">
            <v>5.455972014612942E-2</v>
          </cell>
          <cell r="J133">
            <v>4.0000000000000036E-2</v>
          </cell>
          <cell r="K133">
            <v>0.05</v>
          </cell>
          <cell r="M133">
            <v>-0.13162855952824604</v>
          </cell>
          <cell r="N133">
            <v>-0.13556831808141367</v>
          </cell>
          <cell r="O133">
            <v>3.0073914427477089E-2</v>
          </cell>
          <cell r="P133">
            <v>6.5264047221458288E-2</v>
          </cell>
          <cell r="Q133">
            <v>-3.9867887720530515E-3</v>
          </cell>
          <cell r="R133">
            <v>-2.7842872144568931E-3</v>
          </cell>
          <cell r="S133">
            <v>2.5021369181754682E-2</v>
          </cell>
          <cell r="T133">
            <v>4.0000000000000036E-2</v>
          </cell>
          <cell r="U133">
            <v>1.2701972870740041E-2</v>
          </cell>
          <cell r="V133">
            <v>2.0000000000000018E-2</v>
          </cell>
          <cell r="W133">
            <v>-0.18264719136866103</v>
          </cell>
          <cell r="X133">
            <v>-5.6800614060692589E-2</v>
          </cell>
          <cell r="Y133">
            <v>4.5077081781190964E-2</v>
          </cell>
          <cell r="Z133">
            <v>-5.7195971604914186E-3</v>
          </cell>
          <cell r="AA133">
            <v>1.3758014477766256E-2</v>
          </cell>
          <cell r="AB133">
            <v>2.954457664833221E-2</v>
          </cell>
          <cell r="AC133">
            <v>3.0387740273465802E-2</v>
          </cell>
          <cell r="AD133">
            <v>4.0000000000000036E-2</v>
          </cell>
          <cell r="AE133">
            <v>3.0213356232247746E-2</v>
          </cell>
          <cell r="AF133">
            <v>1.1497525069887882E-2</v>
          </cell>
          <cell r="AG133">
            <v>-0.21370291448167011</v>
          </cell>
          <cell r="AH133">
            <v>-3.204480933016185E-2</v>
          </cell>
          <cell r="AI133">
            <v>0.1195716967252618</v>
          </cell>
          <cell r="AJ133">
            <v>-4.4121270479616004E-2</v>
          </cell>
          <cell r="AK133">
            <v>-2.9050474644164992E-2</v>
          </cell>
          <cell r="AL133">
            <v>3.8521746294753578E-2</v>
          </cell>
          <cell r="AM133">
            <v>7.4065259229876501E-2</v>
          </cell>
          <cell r="AN133">
            <v>3.499999999999992E-2</v>
          </cell>
        </row>
        <row r="134">
          <cell r="A134" t="str">
            <v xml:space="preserve">  Intermodal </v>
          </cell>
          <cell r="C134">
            <v>4.7146548496012297E-2</v>
          </cell>
          <cell r="D134">
            <v>-0.1107307562187283</v>
          </cell>
          <cell r="E134">
            <v>4.3708817016987922E-2</v>
          </cell>
          <cell r="F134">
            <v>9.83737861749443E-2</v>
          </cell>
          <cell r="G134">
            <v>-6.3461104601657548E-3</v>
          </cell>
          <cell r="H134">
            <v>-2.2060277584502463E-3</v>
          </cell>
          <cell r="I134">
            <v>1.6647850973840583E-2</v>
          </cell>
          <cell r="J134">
            <v>4.0000000000000036E-2</v>
          </cell>
          <cell r="K134">
            <v>2.4999999999999911E-2</v>
          </cell>
          <cell r="M134">
            <v>0.10319964630069278</v>
          </cell>
          <cell r="N134">
            <v>-0.11813517868367818</v>
          </cell>
          <cell r="O134">
            <v>6.0661570163042411E-2</v>
          </cell>
          <cell r="P134">
            <v>6.7397495851118538E-2</v>
          </cell>
          <cell r="Q134">
            <v>-5.3141079482734721E-2</v>
          </cell>
          <cell r="R134">
            <v>0.11932332922948263</v>
          </cell>
          <cell r="S134">
            <v>-2.3954177324208903E-2</v>
          </cell>
          <cell r="T134">
            <v>4.0000000000000036E-2</v>
          </cell>
          <cell r="U134">
            <v>2.3686252830549703E-2</v>
          </cell>
          <cell r="V134">
            <v>6.0000000000000053E-2</v>
          </cell>
          <cell r="W134">
            <v>4.3882420012194334E-2</v>
          </cell>
          <cell r="X134">
            <v>-0.13279957284705834</v>
          </cell>
          <cell r="Y134">
            <v>0.12429463288092957</v>
          </cell>
          <cell r="Z134">
            <v>6.5125866456877679E-2</v>
          </cell>
          <cell r="AA134">
            <v>-3.3084608277611616E-2</v>
          </cell>
          <cell r="AB134">
            <v>8.1376061974073988E-2</v>
          </cell>
          <cell r="AC134">
            <v>-3.3057057027073955E-2</v>
          </cell>
          <cell r="AD134">
            <v>5.0000000000000044E-2</v>
          </cell>
          <cell r="AE134">
            <v>-3.3070785559081939E-2</v>
          </cell>
          <cell r="AF134">
            <v>4.2743945489723822E-2</v>
          </cell>
          <cell r="AG134">
            <v>-0.14863563628196852</v>
          </cell>
          <cell r="AH134">
            <v>6.9995004360879687E-2</v>
          </cell>
          <cell r="AI134">
            <v>9.5663522773323795E-2</v>
          </cell>
          <cell r="AJ134">
            <v>3.3965856944563555E-2</v>
          </cell>
          <cell r="AK134">
            <v>-2.1788065868809103E-2</v>
          </cell>
          <cell r="AL134">
            <v>-2.9225528364849818E-2</v>
          </cell>
          <cell r="AM134">
            <v>9.2809744178085518E-2</v>
          </cell>
          <cell r="AN134">
            <v>3.0000000000000027E-2</v>
          </cell>
        </row>
        <row r="135">
          <cell r="A135" t="str">
            <v>Total Carload Growth</v>
          </cell>
          <cell r="C135">
            <v>1.2691376482267591E-2</v>
          </cell>
          <cell r="D135">
            <v>-8.872725563025996E-2</v>
          </cell>
          <cell r="E135">
            <v>5.6562682838489087E-2</v>
          </cell>
          <cell r="F135">
            <v>6.1497254390655343E-2</v>
          </cell>
          <cell r="G135">
            <v>2.439562967222475E-3</v>
          </cell>
          <cell r="H135">
            <v>-4.8507310285705874E-4</v>
          </cell>
          <cell r="I135">
            <v>7.3117673310694187E-3</v>
          </cell>
          <cell r="J135">
            <v>2.1988692847189961E-2</v>
          </cell>
          <cell r="K135">
            <v>2.9233131913136257E-2</v>
          </cell>
          <cell r="M135">
            <v>-4.2650176949501351E-3</v>
          </cell>
          <cell r="N135">
            <v>-9.5716849963089934E-2</v>
          </cell>
          <cell r="O135">
            <v>5.9025395678369952E-2</v>
          </cell>
          <cell r="P135">
            <v>4.7124330780274448E-2</v>
          </cell>
          <cell r="Q135">
            <v>-8.1613507171007793E-4</v>
          </cell>
          <cell r="R135">
            <v>5.2198874478022628E-2</v>
          </cell>
          <cell r="S135">
            <v>-3.8500256611065931E-3</v>
          </cell>
          <cell r="T135">
            <v>2.4092959675446224E-2</v>
          </cell>
          <cell r="U135">
            <v>2.1591174362605603E-2</v>
          </cell>
          <cell r="V135">
            <v>3.8554000132626109E-2</v>
          </cell>
          <cell r="W135">
            <v>-4.1836485659296319E-2</v>
          </cell>
          <cell r="X135">
            <v>-6.8687427916591437E-2</v>
          </cell>
          <cell r="Y135">
            <v>8.7876718189052294E-2</v>
          </cell>
          <cell r="Z135">
            <v>4.2459878899080872E-2</v>
          </cell>
          <cell r="AA135">
            <v>-8.2536359870042375E-3</v>
          </cell>
          <cell r="AB135">
            <v>3.7291282269568349E-2</v>
          </cell>
          <cell r="AC135">
            <v>3.327781378752892E-3</v>
          </cell>
          <cell r="AD135">
            <v>2.6937612256995758E-2</v>
          </cell>
          <cell r="AE135">
            <v>3.327781378752892E-3</v>
          </cell>
          <cell r="AF135">
            <v>1.7394526485151385E-2</v>
          </cell>
          <cell r="AG135">
            <v>-0.12678300859859526</v>
          </cell>
          <cell r="AH135">
            <v>4.8362694289881603E-2</v>
          </cell>
          <cell r="AI135">
            <v>7.4607108781779008E-2</v>
          </cell>
          <cell r="AJ135">
            <v>1.2058434435280763E-2</v>
          </cell>
          <cell r="AK135">
            <v>1.3596421340520859E-2</v>
          </cell>
          <cell r="AL135">
            <v>7.1608743149984555E-3</v>
          </cell>
          <cell r="AM135">
            <v>4.0858574612700149E-2</v>
          </cell>
          <cell r="AN135">
            <v>1.8505636255035762E-2</v>
          </cell>
        </row>
        <row r="137">
          <cell r="A137" t="str">
            <v xml:space="preserve">Yield Statistics </v>
          </cell>
        </row>
        <row r="138">
          <cell r="A138" t="str">
            <v xml:space="preserve"> </v>
          </cell>
          <cell r="B138" t="str">
            <v>1Q:96</v>
          </cell>
          <cell r="C138" t="str">
            <v>1Q:97</v>
          </cell>
          <cell r="D138" t="str">
            <v>1Q:98</v>
          </cell>
          <cell r="E138" t="str">
            <v>1Q:99</v>
          </cell>
          <cell r="F138" t="str">
            <v>1Q:00</v>
          </cell>
          <cell r="G138" t="str">
            <v>1Q:01</v>
          </cell>
          <cell r="H138" t="str">
            <v>1Q02</v>
          </cell>
          <cell r="I138" t="str">
            <v>1Q03</v>
          </cell>
          <cell r="J138" t="str">
            <v>1Q:04E</v>
          </cell>
          <cell r="K138" t="str">
            <v>1Q:04E</v>
          </cell>
          <cell r="L138" t="str">
            <v>2Q:96</v>
          </cell>
          <cell r="M138" t="str">
            <v>2Q:97</v>
          </cell>
          <cell r="N138" t="str">
            <v>2Q:98</v>
          </cell>
          <cell r="O138" t="str">
            <v>2Q:99</v>
          </cell>
          <cell r="P138" t="str">
            <v>2Q:00</v>
          </cell>
          <cell r="Q138" t="str">
            <v>2Q:01</v>
          </cell>
          <cell r="R138" t="str">
            <v>2Q02</v>
          </cell>
          <cell r="S138" t="str">
            <v>2Q03</v>
          </cell>
          <cell r="T138" t="str">
            <v>2Q04E</v>
          </cell>
          <cell r="U138" t="str">
            <v>2Q04</v>
          </cell>
          <cell r="V138" t="str">
            <v>3Q:96</v>
          </cell>
          <cell r="W138" t="str">
            <v>3Q:97</v>
          </cell>
          <cell r="X138" t="str">
            <v>3Q:98</v>
          </cell>
          <cell r="Y138" t="str">
            <v>3Q:99</v>
          </cell>
          <cell r="Z138" t="str">
            <v>3Q:00</v>
          </cell>
          <cell r="AA138" t="str">
            <v>3Q:01</v>
          </cell>
          <cell r="AB138" t="str">
            <v>3Q02</v>
          </cell>
          <cell r="AC138" t="str">
            <v>3Q03</v>
          </cell>
          <cell r="AD138" t="str">
            <v>3Q04E</v>
          </cell>
          <cell r="AE138" t="str">
            <v>3Q03</v>
          </cell>
          <cell r="AF138" t="str">
            <v>4Q:96</v>
          </cell>
          <cell r="AG138" t="str">
            <v>4Q:97</v>
          </cell>
          <cell r="AH138" t="str">
            <v>4Q:98</v>
          </cell>
          <cell r="AI138" t="str">
            <v>4Q:99</v>
          </cell>
          <cell r="AJ138" t="str">
            <v>4Q:00</v>
          </cell>
          <cell r="AK138" t="str">
            <v>4Q:01</v>
          </cell>
          <cell r="AL138" t="str">
            <v>4Q02</v>
          </cell>
          <cell r="AM138" t="str">
            <v>4Q03</v>
          </cell>
          <cell r="AN138" t="str">
            <v>4Q04E</v>
          </cell>
        </row>
        <row r="139">
          <cell r="A139" t="str">
            <v>Revenue per Carload</v>
          </cell>
        </row>
        <row r="140">
          <cell r="A140" t="str">
            <v xml:space="preserve">  Agricultural</v>
          </cell>
          <cell r="B140">
            <v>1602.8274130472823</v>
          </cell>
          <cell r="C140">
            <v>1630.3724580777427</v>
          </cell>
          <cell r="D140">
            <v>1561.3684090333663</v>
          </cell>
          <cell r="E140">
            <v>1551.8230728602505</v>
          </cell>
          <cell r="F140">
            <v>1581.5066881459627</v>
          </cell>
          <cell r="G140">
            <v>1687.3354475143165</v>
          </cell>
          <cell r="H140">
            <v>1688</v>
          </cell>
          <cell r="I140">
            <v>1741</v>
          </cell>
          <cell r="J140">
            <v>1801.9349999999999</v>
          </cell>
          <cell r="K140">
            <v>1801.9349999999999</v>
          </cell>
          <cell r="L140">
            <v>1493.1124644609692</v>
          </cell>
          <cell r="M140">
            <v>1624.0091364030809</v>
          </cell>
          <cell r="N140">
            <v>1512.8836335437668</v>
          </cell>
          <cell r="O140">
            <v>1535.8384419856459</v>
          </cell>
          <cell r="P140">
            <v>1567.6107854630716</v>
          </cell>
          <cell r="Q140">
            <v>1632</v>
          </cell>
          <cell r="R140">
            <v>1681</v>
          </cell>
          <cell r="S140">
            <v>1817</v>
          </cell>
          <cell r="T140">
            <v>1880.5949999999998</v>
          </cell>
          <cell r="U140">
            <v>1853</v>
          </cell>
          <cell r="V140">
            <v>1469.5317483009655</v>
          </cell>
          <cell r="W140">
            <v>1528.1315521209397</v>
          </cell>
          <cell r="X140">
            <v>1573.9094245393667</v>
          </cell>
          <cell r="Y140">
            <v>1576.4172433059698</v>
          </cell>
          <cell r="Z140">
            <v>1672.6049089469518</v>
          </cell>
          <cell r="AA140">
            <v>1667.0338492559886</v>
          </cell>
          <cell r="AB140">
            <v>1727.8005685869596</v>
          </cell>
          <cell r="AC140">
            <v>1828.4093384729613</v>
          </cell>
          <cell r="AD140">
            <v>1846.6934318576909</v>
          </cell>
          <cell r="AE140">
            <v>1828.0547209728172</v>
          </cell>
          <cell r="AF140">
            <v>1548.2216142270861</v>
          </cell>
          <cell r="AG140">
            <v>1555.2642955032513</v>
          </cell>
          <cell r="AH140">
            <v>1555.5446670898966</v>
          </cell>
          <cell r="AI140">
            <v>1564.9566015101263</v>
          </cell>
          <cell r="AJ140">
            <v>1595.4299860857623</v>
          </cell>
          <cell r="AK140">
            <v>1650.9726664034124</v>
          </cell>
          <cell r="AL140">
            <v>1749.750232689204</v>
          </cell>
          <cell r="AM140">
            <v>1765</v>
          </cell>
          <cell r="AN140">
            <v>1782.65</v>
          </cell>
        </row>
        <row r="141">
          <cell r="A141" t="str">
            <v xml:space="preserve">  Automotive</v>
          </cell>
          <cell r="B141">
            <v>1521.5698929068431</v>
          </cell>
          <cell r="C141">
            <v>1507.8045620808778</v>
          </cell>
          <cell r="D141">
            <v>1448.4266834487098</v>
          </cell>
          <cell r="E141">
            <v>1490.802527980793</v>
          </cell>
          <cell r="F141">
            <v>1456.0528349610061</v>
          </cell>
          <cell r="G141">
            <v>1486.3491995017444</v>
          </cell>
          <cell r="H141">
            <v>1462</v>
          </cell>
          <cell r="I141">
            <v>1462</v>
          </cell>
          <cell r="J141">
            <v>1498.55</v>
          </cell>
          <cell r="K141">
            <v>1498.55</v>
          </cell>
          <cell r="L141">
            <v>1510.7241465119862</v>
          </cell>
          <cell r="M141">
            <v>1508.0851932580356</v>
          </cell>
          <cell r="N141">
            <v>1473.4109416844292</v>
          </cell>
          <cell r="O141">
            <v>1492.1742153842811</v>
          </cell>
          <cell r="P141">
            <v>1437.4956108112158</v>
          </cell>
          <cell r="Q141">
            <v>1514</v>
          </cell>
          <cell r="R141">
            <v>1486</v>
          </cell>
          <cell r="S141">
            <v>1494</v>
          </cell>
          <cell r="T141">
            <v>1508.94</v>
          </cell>
          <cell r="U141">
            <v>1503</v>
          </cell>
          <cell r="V141">
            <v>1452.9505797287179</v>
          </cell>
          <cell r="W141">
            <v>1460.5021638061551</v>
          </cell>
          <cell r="X141">
            <v>1449.7207897660901</v>
          </cell>
          <cell r="Y141">
            <v>1430.3536792701325</v>
          </cell>
          <cell r="Z141">
            <v>1424.5473144218145</v>
          </cell>
          <cell r="AA141">
            <v>1428.9278074715401</v>
          </cell>
          <cell r="AB141">
            <v>1479.1424418604652</v>
          </cell>
          <cell r="AC141">
            <v>1454.82623040678</v>
          </cell>
          <cell r="AD141">
            <v>1476.6486238628815</v>
          </cell>
          <cell r="AE141">
            <v>1454.82623040678</v>
          </cell>
          <cell r="AF141">
            <v>1498.4329175425125</v>
          </cell>
          <cell r="AG141">
            <v>1466.1266480699999</v>
          </cell>
          <cell r="AH141">
            <v>1471.2225747806544</v>
          </cell>
          <cell r="AI141">
            <v>1507.3735389767203</v>
          </cell>
          <cell r="AJ141">
            <v>1482.8688122538379</v>
          </cell>
          <cell r="AK141">
            <v>1428.0036124729561</v>
          </cell>
          <cell r="AL141">
            <v>1479.9666735316696</v>
          </cell>
          <cell r="AM141">
            <v>1521</v>
          </cell>
          <cell r="AN141">
            <v>1528.6049999999998</v>
          </cell>
        </row>
        <row r="142">
          <cell r="A142" t="str">
            <v xml:space="preserve">  Chemicals</v>
          </cell>
          <cell r="B142">
            <v>1851.3705768141385</v>
          </cell>
          <cell r="C142">
            <v>1827.3992698699087</v>
          </cell>
          <cell r="D142">
            <v>1750.0314250826032</v>
          </cell>
          <cell r="E142">
            <v>1781.4141360279414</v>
          </cell>
          <cell r="F142">
            <v>1777.174757114014</v>
          </cell>
          <cell r="G142">
            <v>1778.6994708367706</v>
          </cell>
          <cell r="H142">
            <v>1771</v>
          </cell>
          <cell r="I142">
            <v>1796</v>
          </cell>
          <cell r="J142">
            <v>1849.88</v>
          </cell>
          <cell r="K142">
            <v>1849.88</v>
          </cell>
          <cell r="L142">
            <v>1807.9928708527557</v>
          </cell>
          <cell r="M142">
            <v>1763.8225123363252</v>
          </cell>
          <cell r="N142">
            <v>1691.7514812216825</v>
          </cell>
          <cell r="O142">
            <v>1701.0793841919669</v>
          </cell>
          <cell r="P142">
            <v>1741.1980575589773</v>
          </cell>
          <cell r="Q142">
            <v>1749</v>
          </cell>
          <cell r="R142">
            <v>1728</v>
          </cell>
          <cell r="S142">
            <v>1743</v>
          </cell>
          <cell r="T142">
            <v>1769.1449999999998</v>
          </cell>
          <cell r="U142">
            <v>1799</v>
          </cell>
          <cell r="V142">
            <v>1770.553280774139</v>
          </cell>
          <cell r="W142">
            <v>1727.9715599161545</v>
          </cell>
          <cell r="X142">
            <v>1658.0066783437017</v>
          </cell>
          <cell r="Y142">
            <v>1673.0307755023134</v>
          </cell>
          <cell r="Z142">
            <v>1738.0215144484287</v>
          </cell>
          <cell r="AA142">
            <v>1744.7831496622823</v>
          </cell>
          <cell r="AB142">
            <v>1728.7513980769397</v>
          </cell>
          <cell r="AC142">
            <v>1780.2622326268659</v>
          </cell>
          <cell r="AD142">
            <v>1806.9661661162686</v>
          </cell>
          <cell r="AE142">
            <v>1780.2622326268659</v>
          </cell>
          <cell r="AF142">
            <v>1808.4984102176079</v>
          </cell>
          <cell r="AG142">
            <v>1742.4324455184496</v>
          </cell>
          <cell r="AH142">
            <v>1733.0668881434949</v>
          </cell>
          <cell r="AI142">
            <v>1708.0590877486338</v>
          </cell>
          <cell r="AJ142">
            <v>1753.4010561174259</v>
          </cell>
          <cell r="AK142">
            <v>1755.6492301379317</v>
          </cell>
          <cell r="AL142">
            <v>1742.4140407576981</v>
          </cell>
          <cell r="AM142">
            <v>1836</v>
          </cell>
          <cell r="AN142">
            <v>1854.3600000000001</v>
          </cell>
        </row>
        <row r="143">
          <cell r="A143" t="str">
            <v xml:space="preserve">  Energy (Coal)</v>
          </cell>
          <cell r="B143">
            <v>1064.0608502661121</v>
          </cell>
          <cell r="C143">
            <v>1121.9945498834622</v>
          </cell>
          <cell r="D143">
            <v>1124.163639407004</v>
          </cell>
          <cell r="E143">
            <v>1182.6051571195139</v>
          </cell>
          <cell r="F143">
            <v>1102.7108477677762</v>
          </cell>
          <cell r="G143">
            <v>1105.8529930332161</v>
          </cell>
          <cell r="H143">
            <v>1068</v>
          </cell>
          <cell r="I143">
            <v>1077</v>
          </cell>
          <cell r="J143">
            <v>1087.77</v>
          </cell>
          <cell r="K143">
            <v>1087.77</v>
          </cell>
          <cell r="L143">
            <v>1076.5565873900882</v>
          </cell>
          <cell r="M143">
            <v>1136.4496063534327</v>
          </cell>
          <cell r="N143">
            <v>1143.1572045755231</v>
          </cell>
          <cell r="O143">
            <v>1188.1630149969337</v>
          </cell>
          <cell r="P143">
            <v>1115.4876796597705</v>
          </cell>
          <cell r="Q143">
            <v>1117</v>
          </cell>
          <cell r="R143">
            <v>1095</v>
          </cell>
          <cell r="S143">
            <v>1120</v>
          </cell>
          <cell r="T143">
            <v>1120</v>
          </cell>
          <cell r="U143">
            <v>1106</v>
          </cell>
          <cell r="V143">
            <v>1087.9510011025172</v>
          </cell>
          <cell r="W143">
            <v>1097.4511618599765</v>
          </cell>
          <cell r="X143">
            <v>1147.5805231445634</v>
          </cell>
          <cell r="Y143">
            <v>1171.8868374680324</v>
          </cell>
          <cell r="Z143">
            <v>1141.2230172381885</v>
          </cell>
          <cell r="AA143">
            <v>1112.7861997625171</v>
          </cell>
          <cell r="AB143">
            <v>1095.3224118611263</v>
          </cell>
          <cell r="AC143">
            <v>1115.8663586280434</v>
          </cell>
          <cell r="AD143">
            <v>1115.8663586280434</v>
          </cell>
          <cell r="AE143">
            <v>1115.8663586280434</v>
          </cell>
          <cell r="AF143">
            <v>1040.1434109134721</v>
          </cell>
          <cell r="AG143">
            <v>1050.1130658555976</v>
          </cell>
          <cell r="AH143">
            <v>1104.4643374600444</v>
          </cell>
          <cell r="AI143">
            <v>1089.5904982292852</v>
          </cell>
          <cell r="AJ143">
            <v>1101.3887327562672</v>
          </cell>
          <cell r="AK143">
            <v>1107.2263743504714</v>
          </cell>
          <cell r="AL143">
            <v>1074.2680126774603</v>
          </cell>
          <cell r="AM143">
            <v>1096</v>
          </cell>
          <cell r="AN143">
            <v>1096</v>
          </cell>
        </row>
        <row r="144">
          <cell r="A144" t="str">
            <v xml:space="preserve">  Industrial Products</v>
          </cell>
          <cell r="B144">
            <v>1167.8556563319748</v>
          </cell>
          <cell r="C144">
            <v>1343.441353453456</v>
          </cell>
          <cell r="D144">
            <v>1381.1100981185966</v>
          </cell>
          <cell r="E144">
            <v>1372.9690078855676</v>
          </cell>
          <cell r="F144">
            <v>1386.6075253060396</v>
          </cell>
          <cell r="G144">
            <v>1405.3664535609107</v>
          </cell>
          <cell r="H144">
            <v>1469</v>
          </cell>
          <cell r="I144">
            <v>1498</v>
          </cell>
          <cell r="J144">
            <v>1535.4499999999998</v>
          </cell>
          <cell r="K144">
            <v>1535.45</v>
          </cell>
          <cell r="L144">
            <v>1136.2036083039218</v>
          </cell>
          <cell r="M144">
            <v>1343.5531713474284</v>
          </cell>
          <cell r="N144">
            <v>1361.9908709403283</v>
          </cell>
          <cell r="O144">
            <v>1345.1793343747609</v>
          </cell>
          <cell r="P144">
            <v>1397.9044075573333</v>
          </cell>
          <cell r="Q144">
            <v>1396</v>
          </cell>
          <cell r="R144">
            <v>1429</v>
          </cell>
          <cell r="S144">
            <v>1466</v>
          </cell>
          <cell r="T144">
            <v>1495.32</v>
          </cell>
          <cell r="U144">
            <v>1566</v>
          </cell>
          <cell r="V144">
            <v>1150.4563970698689</v>
          </cell>
          <cell r="W144">
            <v>1377.1202931923588</v>
          </cell>
          <cell r="X144">
            <v>1303.4042065447877</v>
          </cell>
          <cell r="Y144">
            <v>1350.3541159986949</v>
          </cell>
          <cell r="Z144">
            <v>1382.657014822475</v>
          </cell>
          <cell r="AA144">
            <v>1398.9646749035674</v>
          </cell>
          <cell r="AB144">
            <v>1415.1582006737565</v>
          </cell>
          <cell r="AC144">
            <v>1466.6902578620222</v>
          </cell>
          <cell r="AD144">
            <v>1496.0240630192627</v>
          </cell>
          <cell r="AE144">
            <v>1466.9257008027494</v>
          </cell>
          <cell r="AF144">
            <v>1183.0015517195611</v>
          </cell>
          <cell r="AG144">
            <v>1349.1506176628559</v>
          </cell>
          <cell r="AH144">
            <v>1364.7965654567131</v>
          </cell>
          <cell r="AI144">
            <v>1360.4723941148982</v>
          </cell>
          <cell r="AJ144">
            <v>1381.7478282511051</v>
          </cell>
          <cell r="AK144">
            <v>1409.6170101095172</v>
          </cell>
          <cell r="AL144">
            <v>1446.9713664477647</v>
          </cell>
          <cell r="AM144">
            <v>1472</v>
          </cell>
          <cell r="AN144">
            <v>1501.44</v>
          </cell>
        </row>
        <row r="145">
          <cell r="A145" t="str">
            <v xml:space="preserve">  Intermodal </v>
          </cell>
          <cell r="B145">
            <v>627.97375343581075</v>
          </cell>
          <cell r="C145">
            <v>614.94334740003444</v>
          </cell>
          <cell r="D145">
            <v>603.19168639778945</v>
          </cell>
          <cell r="E145">
            <v>620.46484263839284</v>
          </cell>
          <cell r="F145">
            <v>641.97166083241757</v>
          </cell>
          <cell r="G145">
            <v>659.31812355806198</v>
          </cell>
          <cell r="H145">
            <v>668</v>
          </cell>
          <cell r="I145">
            <v>674</v>
          </cell>
          <cell r="J145">
            <v>690.84999999999991</v>
          </cell>
          <cell r="K145">
            <v>690.85</v>
          </cell>
          <cell r="L145">
            <v>632.85981636707209</v>
          </cell>
          <cell r="M145">
            <v>628.0843144305702</v>
          </cell>
          <cell r="N145">
            <v>590.18383520198211</v>
          </cell>
          <cell r="O145">
            <v>624.2470752403857</v>
          </cell>
          <cell r="P145">
            <v>647.25799068240588</v>
          </cell>
          <cell r="Q145">
            <v>671</v>
          </cell>
          <cell r="R145">
            <v>667</v>
          </cell>
          <cell r="S145">
            <v>684</v>
          </cell>
          <cell r="T145">
            <v>690.84</v>
          </cell>
          <cell r="U145">
            <v>706</v>
          </cell>
          <cell r="V145">
            <v>629.28691774804815</v>
          </cell>
          <cell r="W145">
            <v>638.42967086727492</v>
          </cell>
          <cell r="X145">
            <v>602.09246540556171</v>
          </cell>
          <cell r="Y145">
            <v>638.44893273083858</v>
          </cell>
          <cell r="Z145">
            <v>660.72519143738543</v>
          </cell>
          <cell r="AA145">
            <v>673.66439257444779</v>
          </cell>
          <cell r="AB145">
            <v>676.58573905055971</v>
          </cell>
          <cell r="AC145">
            <v>697.16455591638226</v>
          </cell>
          <cell r="AD145">
            <v>711.10784703470995</v>
          </cell>
          <cell r="AE145">
            <v>697.10217320875165</v>
          </cell>
          <cell r="AF145">
            <v>626.48578085960526</v>
          </cell>
          <cell r="AG145">
            <v>634.73304656496225</v>
          </cell>
          <cell r="AH145">
            <v>600.65363807680637</v>
          </cell>
          <cell r="AI145">
            <v>635.93022879700504</v>
          </cell>
          <cell r="AJ145">
            <v>667.43378503547922</v>
          </cell>
          <cell r="AK145">
            <v>685.81757508342605</v>
          </cell>
          <cell r="AL145">
            <v>692.1228162897587</v>
          </cell>
          <cell r="AM145">
            <v>714</v>
          </cell>
          <cell r="AN145">
            <v>721.14</v>
          </cell>
        </row>
        <row r="146">
          <cell r="A146" t="str">
            <v>Total Carload Yield</v>
          </cell>
          <cell r="B146">
            <v>1132.980199929056</v>
          </cell>
          <cell r="C146">
            <v>1164.5874277116932</v>
          </cell>
          <cell r="D146">
            <v>1148.6131877951857</v>
          </cell>
          <cell r="E146">
            <v>1172.9770511496399</v>
          </cell>
          <cell r="F146">
            <v>1156.4209315698679</v>
          </cell>
          <cell r="G146">
            <v>1170.7287523525129</v>
          </cell>
          <cell r="H146">
            <v>1169.6876394630663</v>
          </cell>
          <cell r="I146">
            <v>1188.06734517788</v>
          </cell>
          <cell r="J146">
            <v>1213.4434383497983</v>
          </cell>
          <cell r="K146">
            <v>1217.7837870061858</v>
          </cell>
          <cell r="L146">
            <v>1117.6011396242795</v>
          </cell>
          <cell r="M146">
            <v>1156.1332966574328</v>
          </cell>
          <cell r="N146">
            <v>1127.8252986599327</v>
          </cell>
          <cell r="O146">
            <v>1150.6434067956857</v>
          </cell>
          <cell r="P146">
            <v>1153.0542476757551</v>
          </cell>
          <cell r="Q146">
            <v>1173.4315123540125</v>
          </cell>
          <cell r="R146">
            <v>1160.0797428559392</v>
          </cell>
          <cell r="S146">
            <v>1192.6388015469979</v>
          </cell>
          <cell r="T146">
            <v>1208.7636550696416</v>
          </cell>
          <cell r="U146">
            <v>1225.1066068469677</v>
          </cell>
          <cell r="V146">
            <v>1096.4718987171948</v>
          </cell>
          <cell r="W146">
            <v>1131.0849451152783</v>
          </cell>
          <cell r="X146">
            <v>1125.9148879137119</v>
          </cell>
          <cell r="Y146">
            <v>1143.6322001697538</v>
          </cell>
          <cell r="Z146">
            <v>1155.142713852729</v>
          </cell>
          <cell r="AA146">
            <v>1155.3591624731107</v>
          </cell>
          <cell r="AB146">
            <v>1155.599850610171</v>
          </cell>
          <cell r="AC146">
            <v>1194.5703422246015</v>
          </cell>
          <cell r="AD146">
            <v>1207.3984917538428</v>
          </cell>
          <cell r="AE146">
            <v>1194.5703422246015</v>
          </cell>
          <cell r="AF146">
            <v>1109.1067490480239</v>
          </cell>
          <cell r="AG146">
            <v>1143.7326854523415</v>
          </cell>
          <cell r="AH146">
            <v>1135.2863627841218</v>
          </cell>
          <cell r="AI146">
            <v>1139.8933281825703</v>
          </cell>
          <cell r="AJ146">
            <v>1150.5342512245602</v>
          </cell>
          <cell r="AK146">
            <v>1162.7487987494562</v>
          </cell>
          <cell r="AL146">
            <v>1186.1632446994968</v>
          </cell>
          <cell r="AM146">
            <v>1204.3145627613201</v>
          </cell>
          <cell r="AN146">
            <v>1215.2688976614552</v>
          </cell>
        </row>
        <row r="148">
          <cell r="A148" t="str">
            <v>Yield Growth (year-over-year)</v>
          </cell>
          <cell r="I148" t="str">
            <v xml:space="preserve">  </v>
          </cell>
          <cell r="J148" t="str">
            <v xml:space="preserve">  </v>
          </cell>
          <cell r="K148" t="str">
            <v xml:space="preserve">  </v>
          </cell>
          <cell r="S148" t="str">
            <v xml:space="preserve">  </v>
          </cell>
          <cell r="T148" t="str">
            <v xml:space="preserve">  </v>
          </cell>
          <cell r="U148" t="str">
            <v xml:space="preserve">  </v>
          </cell>
          <cell r="V148" t="str">
            <v xml:space="preserve">  </v>
          </cell>
          <cell r="AC148" t="str">
            <v xml:space="preserve">  </v>
          </cell>
          <cell r="AD148" t="str">
            <v xml:space="preserve">  </v>
          </cell>
          <cell r="AE148" t="str">
            <v xml:space="preserve">  </v>
          </cell>
          <cell r="AF148" t="str">
            <v xml:space="preserve">  </v>
          </cell>
          <cell r="AG148" t="str">
            <v xml:space="preserve">  </v>
          </cell>
          <cell r="AL148" t="str">
            <v xml:space="preserve">  </v>
          </cell>
          <cell r="AM148" t="str">
            <v xml:space="preserve">  </v>
          </cell>
          <cell r="AN148" t="str">
            <v xml:space="preserve">  </v>
          </cell>
        </row>
        <row r="149">
          <cell r="A149" t="str">
            <v xml:space="preserve">  Agricultural</v>
          </cell>
          <cell r="C149">
            <v>1.7185284458101524E-2</v>
          </cell>
          <cell r="D149">
            <v>-4.232410128280395E-2</v>
          </cell>
          <cell r="E149">
            <v>-6.1134426173162781E-3</v>
          </cell>
          <cell r="F149">
            <v>1.9128221383511557E-2</v>
          </cell>
          <cell r="G149">
            <v>6.6916415947895436E-2</v>
          </cell>
          <cell r="H149">
            <v>3.9384728547164904E-4</v>
          </cell>
          <cell r="I149">
            <v>3.1398104265402793E-2</v>
          </cell>
          <cell r="J149">
            <v>3.499999999999992E-2</v>
          </cell>
          <cell r="K149">
            <v>3.499999999999992E-2</v>
          </cell>
          <cell r="M149">
            <v>8.7666987623311377E-2</v>
          </cell>
          <cell r="N149">
            <v>-6.8426648821347857E-2</v>
          </cell>
          <cell r="O149">
            <v>1.5172884373208406E-2</v>
          </cell>
          <cell r="P149">
            <v>2.0687295361840219E-2</v>
          </cell>
          <cell r="Q149">
            <v>4.1074745806822133E-2</v>
          </cell>
          <cell r="R149">
            <v>3.0024509803921573E-2</v>
          </cell>
          <cell r="S149">
            <v>8.0904223676383058E-2</v>
          </cell>
          <cell r="T149">
            <v>3.499999999999992E-2</v>
          </cell>
          <cell r="U149">
            <v>1.9812878370941034E-2</v>
          </cell>
          <cell r="V149">
            <v>5.0000000000000044E-2</v>
          </cell>
          <cell r="W149">
            <v>3.9876514330313473E-2</v>
          </cell>
          <cell r="X149">
            <v>2.9956761480967042E-2</v>
          </cell>
          <cell r="Y149">
            <v>1.5933691783673876E-3</v>
          </cell>
          <cell r="Z149">
            <v>6.1016628718969734E-2</v>
          </cell>
          <cell r="AA149">
            <v>-3.3307684684906746E-3</v>
          </cell>
          <cell r="AB149">
            <v>3.6452000874542367E-2</v>
          </cell>
          <cell r="AC149">
            <v>5.8229388110621061E-2</v>
          </cell>
          <cell r="AD149">
            <v>1.0000000000000009E-2</v>
          </cell>
          <cell r="AE149">
            <v>5.8024145962544793E-2</v>
          </cell>
          <cell r="AF149">
            <v>3.0430143468765714E-2</v>
          </cell>
          <cell r="AG149">
            <v>4.548884482329818E-3</v>
          </cell>
          <cell r="AH149">
            <v>1.8027263112507796E-4</v>
          </cell>
          <cell r="AI149">
            <v>6.0505716225027761E-3</v>
          </cell>
          <cell r="AJ149">
            <v>1.9472351211675898E-2</v>
          </cell>
          <cell r="AK149">
            <v>3.4813611880217143E-2</v>
          </cell>
          <cell r="AL149">
            <v>5.982992226090289E-2</v>
          </cell>
          <cell r="AM149">
            <v>8.7153966468451749E-3</v>
          </cell>
          <cell r="AN149">
            <v>1.0000000000000009E-2</v>
          </cell>
        </row>
        <row r="150">
          <cell r="A150" t="str">
            <v xml:space="preserve">  Automotive</v>
          </cell>
          <cell r="C150">
            <v>-9.046794951803161E-3</v>
          </cell>
          <cell r="D150">
            <v>-3.9380354805547357E-2</v>
          </cell>
          <cell r="E150">
            <v>2.9256464974247942E-2</v>
          </cell>
          <cell r="F150">
            <v>-2.3309386969482371E-2</v>
          </cell>
          <cell r="G150">
            <v>2.080718763309819E-2</v>
          </cell>
          <cell r="H150">
            <v>-1.6381883550586007E-2</v>
          </cell>
          <cell r="I150">
            <v>0</v>
          </cell>
          <cell r="J150">
            <v>2.4999999999999911E-2</v>
          </cell>
          <cell r="K150">
            <v>2.4999999999999911E-2</v>
          </cell>
          <cell r="M150">
            <v>-1.7468134470767227E-3</v>
          </cell>
          <cell r="N150">
            <v>-2.2992236598183724E-2</v>
          </cell>
          <cell r="O150">
            <v>1.2734582843806797E-2</v>
          </cell>
          <cell r="P150">
            <v>-3.6643579556147055E-2</v>
          </cell>
          <cell r="Q150">
            <v>5.3220607154139898E-2</v>
          </cell>
          <cell r="R150">
            <v>-1.8494055482166427E-2</v>
          </cell>
          <cell r="S150">
            <v>5.3835800807537915E-3</v>
          </cell>
          <cell r="T150">
            <v>1.0000000000000009E-2</v>
          </cell>
          <cell r="U150">
            <v>6.0240963855422436E-3</v>
          </cell>
          <cell r="V150">
            <v>4.0000000000000036E-2</v>
          </cell>
          <cell r="W150">
            <v>5.1974128940071029E-3</v>
          </cell>
          <cell r="X150">
            <v>-7.3819637568821594E-3</v>
          </cell>
          <cell r="Y150">
            <v>-1.3359200359596479E-2</v>
          </cell>
          <cell r="Z150">
            <v>-4.059390997113943E-3</v>
          </cell>
          <cell r="AA150">
            <v>3.075007060403312E-3</v>
          </cell>
          <cell r="AB150">
            <v>3.5141477495478801E-2</v>
          </cell>
          <cell r="AC150">
            <v>-1.6439398103606728E-2</v>
          </cell>
          <cell r="AD150">
            <v>1.4999999999999902E-2</v>
          </cell>
          <cell r="AE150">
            <v>-1.6439398103606728E-2</v>
          </cell>
          <cell r="AF150">
            <v>1.2989593239331132E-2</v>
          </cell>
          <cell r="AG150">
            <v>-2.1560037219080952E-2</v>
          </cell>
          <cell r="AH150">
            <v>3.4757752458580704E-3</v>
          </cell>
          <cell r="AI150">
            <v>2.4572056475856918E-2</v>
          </cell>
          <cell r="AJ150">
            <v>-1.6256572169574768E-2</v>
          </cell>
          <cell r="AK150">
            <v>-3.6999361863637281E-2</v>
          </cell>
          <cell r="AL150">
            <v>3.6388606166567028E-2</v>
          </cell>
          <cell r="AM150">
            <v>2.7725844914069597E-2</v>
          </cell>
          <cell r="AN150">
            <v>4.9999999999998934E-3</v>
          </cell>
        </row>
        <row r="151">
          <cell r="A151" t="str">
            <v xml:space="preserve">  Chemicals</v>
          </cell>
          <cell r="C151">
            <v>-1.2947870752855972E-2</v>
          </cell>
          <cell r="D151">
            <v>-4.2337679599058431E-2</v>
          </cell>
          <cell r="E151">
            <v>1.7932655662944441E-2</v>
          </cell>
          <cell r="F151">
            <v>-2.3797829085268063E-3</v>
          </cell>
          <cell r="G151">
            <v>8.5794248238846293E-4</v>
          </cell>
          <cell r="H151">
            <v>-4.3287081168065233E-3</v>
          </cell>
          <cell r="I151">
            <v>1.4116318464144628E-2</v>
          </cell>
          <cell r="J151">
            <v>3.0000000000000027E-2</v>
          </cell>
          <cell r="K151">
            <v>0.03</v>
          </cell>
          <cell r="M151">
            <v>-2.443060436161848E-2</v>
          </cell>
          <cell r="N151">
            <v>-4.0860704867168751E-2</v>
          </cell>
          <cell r="O151">
            <v>5.5137548711046147E-3</v>
          </cell>
          <cell r="P151">
            <v>2.3584245238541524E-2</v>
          </cell>
          <cell r="Q151">
            <v>4.4807897683738496E-3</v>
          </cell>
          <cell r="R151">
            <v>-1.2006861063464824E-2</v>
          </cell>
          <cell r="S151">
            <v>8.6805555555555802E-3</v>
          </cell>
          <cell r="T151">
            <v>1.4999999999999902E-2</v>
          </cell>
          <cell r="U151">
            <v>3.2128514056224855E-2</v>
          </cell>
          <cell r="V151">
            <v>7.0000000000000062E-2</v>
          </cell>
          <cell r="W151">
            <v>-2.4049951684801285E-2</v>
          </cell>
          <cell r="X151">
            <v>-4.0489602488508414E-2</v>
          </cell>
          <cell r="Y151">
            <v>9.061542003932388E-3</v>
          </cell>
          <cell r="Z151">
            <v>3.8846110841327608E-2</v>
          </cell>
          <cell r="AA151">
            <v>3.8904208938974616E-3</v>
          </cell>
          <cell r="AB151">
            <v>-9.1883920293738264E-3</v>
          </cell>
          <cell r="AC151">
            <v>2.9796554095185002E-2</v>
          </cell>
          <cell r="AD151">
            <v>1.4999999999999902E-2</v>
          </cell>
          <cell r="AE151">
            <v>2.9796554095185002E-2</v>
          </cell>
          <cell r="AF151">
            <v>1.2885977324961662E-2</v>
          </cell>
          <cell r="AG151">
            <v>-3.6530839245365376E-2</v>
          </cell>
          <cell r="AH151">
            <v>-5.3749902322142162E-3</v>
          </cell>
          <cell r="AI151">
            <v>-1.4429795275616941E-2</v>
          </cell>
          <cell r="AJ151">
            <v>2.6545901540535377E-2</v>
          </cell>
          <cell r="AK151">
            <v>1.2821790044337256E-3</v>
          </cell>
          <cell r="AL151">
            <v>-7.5386296721662305E-3</v>
          </cell>
          <cell r="AM151">
            <v>5.3710517163650495E-2</v>
          </cell>
          <cell r="AN151">
            <v>1.0000000000000009E-2</v>
          </cell>
        </row>
        <row r="152">
          <cell r="A152" t="str">
            <v xml:space="preserve">  Energy (Coal)</v>
          </cell>
          <cell r="C152">
            <v>5.4445852042072085E-2</v>
          </cell>
          <cell r="D152">
            <v>1.9332442602033595E-3</v>
          </cell>
          <cell r="E152">
            <v>5.1986664275441186E-2</v>
          </cell>
          <cell r="F152">
            <v>-6.7557890197551096E-2</v>
          </cell>
          <cell r="G152">
            <v>2.849473433403249E-3</v>
          </cell>
          <cell r="H152">
            <v>-3.422967905470875E-2</v>
          </cell>
          <cell r="I152">
            <v>8.4269662921347965E-3</v>
          </cell>
          <cell r="J152">
            <v>1.0000000000000009E-2</v>
          </cell>
          <cell r="K152">
            <v>0.01</v>
          </cell>
          <cell r="M152">
            <v>5.5633879040714485E-2</v>
          </cell>
          <cell r="N152">
            <v>5.902239909795215E-3</v>
          </cell>
          <cell r="O152">
            <v>3.9369747433925406E-2</v>
          </cell>
          <cell r="P152">
            <v>-6.1166131599670104E-2</v>
          </cell>
          <cell r="Q152">
            <v>1.3557481340276123E-3</v>
          </cell>
          <cell r="R152">
            <v>-1.96956132497762E-2</v>
          </cell>
          <cell r="S152">
            <v>2.2831050228310446E-2</v>
          </cell>
          <cell r="T152">
            <v>0</v>
          </cell>
          <cell r="U152">
            <v>-1.2499999999999956E-2</v>
          </cell>
          <cell r="V152">
            <v>5.0000000000000044E-2</v>
          </cell>
          <cell r="W152">
            <v>8.7321586614028668E-3</v>
          </cell>
          <cell r="X152">
            <v>4.5677988257470048E-2</v>
          </cell>
          <cell r="Y152">
            <v>2.1180486975210799E-2</v>
          </cell>
          <cell r="Z152">
            <v>-2.6166195616716514E-2</v>
          </cell>
          <cell r="AA152">
            <v>-2.4917844318010585E-2</v>
          </cell>
          <cell r="AB152">
            <v>-1.5693749531687007E-2</v>
          </cell>
          <cell r="AC152">
            <v>1.8756072681841429E-2</v>
          </cell>
          <cell r="AD152">
            <v>0</v>
          </cell>
          <cell r="AE152">
            <v>1.8756072681841429E-2</v>
          </cell>
          <cell r="AF152">
            <v>3.9597388045533588E-3</v>
          </cell>
          <cell r="AG152">
            <v>9.5848849663624502E-3</v>
          </cell>
          <cell r="AH152">
            <v>5.1757542470117768E-2</v>
          </cell>
          <cell r="AI152">
            <v>-1.3467016295849565E-2</v>
          </cell>
          <cell r="AJ152">
            <v>1.0828136392668108E-2</v>
          </cell>
          <cell r="AK152">
            <v>5.3002554144485625E-3</v>
          </cell>
          <cell r="AL152">
            <v>-2.976659736121734E-2</v>
          </cell>
          <cell r="AM152">
            <v>2.0229576852405673E-2</v>
          </cell>
          <cell r="AN152">
            <v>0</v>
          </cell>
        </row>
        <row r="153">
          <cell r="A153" t="str">
            <v xml:space="preserve">  Industrial Products</v>
          </cell>
          <cell r="C153">
            <v>0.15034880052982258</v>
          </cell>
          <cell r="D153">
            <v>2.8038994458752686E-2</v>
          </cell>
          <cell r="E153">
            <v>-5.8945990215545363E-3</v>
          </cell>
          <cell r="F153">
            <v>9.933594525542766E-3</v>
          </cell>
          <cell r="G153">
            <v>1.3528650257924157E-2</v>
          </cell>
          <cell r="H153">
            <v>4.5278970675481034E-2</v>
          </cell>
          <cell r="I153">
            <v>1.9741320626276426E-2</v>
          </cell>
          <cell r="J153">
            <v>2.4999999999999911E-2</v>
          </cell>
          <cell r="K153">
            <v>2.4999999999999911E-2</v>
          </cell>
          <cell r="M153">
            <v>0.18249331504326904</v>
          </cell>
          <cell r="N153">
            <v>1.3723088885577273E-2</v>
          </cell>
          <cell r="O153">
            <v>-1.2343354808215801E-2</v>
          </cell>
          <cell r="P153">
            <v>3.9195571798669615E-2</v>
          </cell>
          <cell r="Q153">
            <v>-1.3623303188957658E-3</v>
          </cell>
          <cell r="R153">
            <v>2.3638968481375366E-2</v>
          </cell>
          <cell r="S153">
            <v>2.5892232330300802E-2</v>
          </cell>
          <cell r="T153">
            <v>2.0000000000000018E-2</v>
          </cell>
          <cell r="U153">
            <v>6.8212824010914108E-2</v>
          </cell>
          <cell r="V153">
            <v>5.0000000000000044E-2</v>
          </cell>
          <cell r="W153">
            <v>0.19702084902981709</v>
          </cell>
          <cell r="X153">
            <v>-5.3529155740408729E-2</v>
          </cell>
          <cell r="Y153">
            <v>3.6020989665490832E-2</v>
          </cell>
          <cell r="Z153">
            <v>2.3921798320205578E-2</v>
          </cell>
          <cell r="AA153">
            <v>1.1794436296398647E-2</v>
          </cell>
          <cell r="AB153">
            <v>1.1575364310971947E-2</v>
          </cell>
          <cell r="AC153">
            <v>3.6414343755865053E-2</v>
          </cell>
          <cell r="AD153">
            <v>2.0000000000000018E-2</v>
          </cell>
          <cell r="AE153">
            <v>3.6580715925856433E-2</v>
          </cell>
          <cell r="AF153">
            <v>7.5361043492314428E-2</v>
          </cell>
          <cell r="AG153">
            <v>0.14044703973700412</v>
          </cell>
          <cell r="AH153">
            <v>1.1596887396427835E-2</v>
          </cell>
          <cell r="AI153">
            <v>-3.1683632940326945E-3</v>
          </cell>
          <cell r="AJ153">
            <v>1.5638269639457469E-2</v>
          </cell>
          <cell r="AK153">
            <v>2.0169513777116954E-2</v>
          </cell>
          <cell r="AL153">
            <v>2.649964924539705E-2</v>
          </cell>
          <cell r="AM153">
            <v>1.7297255586804949E-2</v>
          </cell>
          <cell r="AN153">
            <v>2.0000000000000018E-2</v>
          </cell>
        </row>
        <row r="154">
          <cell r="A154" t="str">
            <v xml:space="preserve">  Intermodal </v>
          </cell>
          <cell r="C154">
            <v>-2.0749921417071215E-2</v>
          </cell>
          <cell r="D154">
            <v>-1.911015226350643E-2</v>
          </cell>
          <cell r="E154">
            <v>2.8636263778364146E-2</v>
          </cell>
          <cell r="F154">
            <v>3.4662428418299474E-2</v>
          </cell>
          <cell r="G154">
            <v>2.7020605088941219E-2</v>
          </cell>
          <cell r="H154">
            <v>1.3167962674961231E-2</v>
          </cell>
          <cell r="I154">
            <v>8.9820359281436168E-3</v>
          </cell>
          <cell r="J154">
            <v>2.4999999999999911E-2</v>
          </cell>
          <cell r="K154">
            <v>2.4999999999999911E-2</v>
          </cell>
          <cell r="M154">
            <v>-7.5459079767705717E-3</v>
          </cell>
          <cell r="N154">
            <v>-6.0342980007308755E-2</v>
          </cell>
          <cell r="O154">
            <v>5.7716321604684317E-2</v>
          </cell>
          <cell r="P154">
            <v>3.6861871452355865E-2</v>
          </cell>
          <cell r="Q154">
            <v>3.6680905696603094E-2</v>
          </cell>
          <cell r="R154">
            <v>-5.9612518628912037E-3</v>
          </cell>
          <cell r="S154">
            <v>2.5487256371814038E-2</v>
          </cell>
          <cell r="T154">
            <v>1.0000000000000009E-2</v>
          </cell>
          <cell r="U154">
            <v>3.2163742690058506E-2</v>
          </cell>
          <cell r="V154">
            <v>5.4999999999999938E-2</v>
          </cell>
          <cell r="W154">
            <v>1.452875129193032E-2</v>
          </cell>
          <cell r="X154">
            <v>-5.6916536182209265E-2</v>
          </cell>
          <cell r="Y154">
            <v>6.0383528135977693E-2</v>
          </cell>
          <cell r="Z154">
            <v>3.4891214574147122E-2</v>
          </cell>
          <cell r="AA154">
            <v>1.9583332533323894E-2</v>
          </cell>
          <cell r="AB154">
            <v>4.3365012435165884E-3</v>
          </cell>
          <cell r="AC154">
            <v>3.0415682267705524E-2</v>
          </cell>
          <cell r="AD154">
            <v>2.0000000000000018E-2</v>
          </cell>
          <cell r="AE154">
            <v>3.0323480047011131E-2</v>
          </cell>
          <cell r="AF154">
            <v>2.7492303270100438E-2</v>
          </cell>
          <cell r="AG154">
            <v>1.3164330232748211E-2</v>
          </cell>
          <cell r="AH154">
            <v>-5.3690931443677425E-2</v>
          </cell>
          <cell r="AI154">
            <v>5.8730337225873619E-2</v>
          </cell>
          <cell r="AJ154">
            <v>4.9539328077027767E-2</v>
          </cell>
          <cell r="AK154">
            <v>2.7543990819957731E-2</v>
          </cell>
          <cell r="AL154">
            <v>9.1937585670149868E-3</v>
          </cell>
          <cell r="AM154">
            <v>3.1608817388101285E-2</v>
          </cell>
          <cell r="AN154">
            <v>1.0000000000000009E-2</v>
          </cell>
        </row>
        <row r="155">
          <cell r="A155" t="str">
            <v>Total Carload Yield</v>
          </cell>
          <cell r="B155" t="e">
            <v>#VALUE!</v>
          </cell>
          <cell r="C155">
            <v>2.7897422906963731E-2</v>
          </cell>
          <cell r="D155">
            <v>-1.3716651525163215E-2</v>
          </cell>
          <cell r="E155">
            <v>2.1211547641396766E-2</v>
          </cell>
          <cell r="F155">
            <v>-1.4114615084366178E-2</v>
          </cell>
          <cell r="G155">
            <v>1.2372502427141052E-2</v>
          </cell>
          <cell r="H155">
            <v>-8.8928617098926743E-4</v>
          </cell>
          <cell r="I155">
            <v>1.5713345251088473E-2</v>
          </cell>
          <cell r="J155">
            <v>2.1359136984039351E-2</v>
          </cell>
          <cell r="K155">
            <v>2.5012422022134162E-2</v>
          </cell>
          <cell r="M155">
            <v>3.4477557034441775E-2</v>
          </cell>
          <cell r="N155">
            <v>-2.4485064204398443E-2</v>
          </cell>
          <cell r="O155">
            <v>2.0231952734936165E-2</v>
          </cell>
          <cell r="P155">
            <v>2.0952111365093451E-3</v>
          </cell>
          <cell r="Q155">
            <v>1.7672424969885414E-2</v>
          </cell>
          <cell r="R155">
            <v>-1.1378396913244937E-2</v>
          </cell>
          <cell r="S155">
            <v>2.8066224663921169E-2</v>
          </cell>
          <cell r="T155">
            <v>1.3520316043489355E-2</v>
          </cell>
          <cell r="U155">
            <v>2.7223502419890355E-2</v>
          </cell>
          <cell r="V155">
            <v>4.5129574241310699E-2</v>
          </cell>
          <cell r="W155">
            <v>3.1567654801348377E-2</v>
          </cell>
          <cell r="X155">
            <v>-4.5708832249017339E-3</v>
          </cell>
          <cell r="Y155">
            <v>1.5735925020825992E-2</v>
          </cell>
          <cell r="Z155">
            <v>1.0064873725369683E-2</v>
          </cell>
          <cell r="AA155">
            <v>1.8737825013825926E-4</v>
          </cell>
          <cell r="AB155">
            <v>2.0832321660479991E-4</v>
          </cell>
          <cell r="AC155">
            <v>3.3723171211776926E-2</v>
          </cell>
          <cell r="AD155">
            <v>1.0738714227034984E-2</v>
          </cell>
          <cell r="AE155">
            <v>3.3723171211776926E-2</v>
          </cell>
          <cell r="AF155">
            <v>2.3563566540981906E-2</v>
          </cell>
          <cell r="AG155">
            <v>3.1219660717093367E-2</v>
          </cell>
          <cell r="AH155">
            <v>-7.3848747838128892E-3</v>
          </cell>
          <cell r="AI155">
            <v>4.0579765154145075E-3</v>
          </cell>
          <cell r="AJ155">
            <v>9.3350165133045948E-3</v>
          </cell>
          <cell r="AK155">
            <v>1.0616413646004519E-2</v>
          </cell>
          <cell r="AL155">
            <v>2.0137149120448727E-2</v>
          </cell>
          <cell r="AM155">
            <v>1.5302546376255055E-2</v>
          </cell>
          <cell r="AN155">
            <v>9.0959083605353097E-3</v>
          </cell>
        </row>
        <row r="157">
          <cell r="A157" t="str">
            <v>Railway Operating Statistics</v>
          </cell>
          <cell r="B157">
            <v>0</v>
          </cell>
          <cell r="C157">
            <v>3.0052607257610473E-2</v>
          </cell>
          <cell r="D157">
            <v>-1.3422865981419065E-2</v>
          </cell>
          <cell r="E157">
            <v>2.3639378005152156E-2</v>
          </cell>
          <cell r="F157">
            <v>-2.7809309627664738E-3</v>
          </cell>
          <cell r="G157">
            <v>1.9839069540107234E-2</v>
          </cell>
          <cell r="H157">
            <v>4.0723833586535986E-4</v>
          </cell>
          <cell r="I157">
            <v>1.2373936940512108E-2</v>
          </cell>
          <cell r="J157">
            <v>2.4925024441269709E-2</v>
          </cell>
          <cell r="K157">
            <v>2.2925928684886843E-2</v>
          </cell>
          <cell r="M157">
            <v>0</v>
          </cell>
          <cell r="N157">
            <v>4.7105866852426244E-2</v>
          </cell>
          <cell r="O157">
            <v>-2.8939383168539688E-2</v>
          </cell>
          <cell r="P157">
            <v>2.815917948509556E-2</v>
          </cell>
          <cell r="Q157">
            <v>7.6851235694665497E-3</v>
          </cell>
          <cell r="R157">
            <v>2.066907808042499E-2</v>
          </cell>
          <cell r="S157">
            <v>-2.810753386117225E-3</v>
          </cell>
          <cell r="T157">
            <v>2.6363571566119438E-2</v>
          </cell>
          <cell r="U157">
            <v>2.4363640531076557E-2</v>
          </cell>
          <cell r="V157">
            <v>5.2779699541556202E-2</v>
          </cell>
          <cell r="W157">
            <v>0</v>
          </cell>
          <cell r="X157">
            <v>0</v>
          </cell>
          <cell r="Y157">
            <v>4.200231700950853E-2</v>
          </cell>
          <cell r="Z157">
            <v>-1.9120157377312413E-2</v>
          </cell>
          <cell r="AA157">
            <v>3.0457662549264578E-2</v>
          </cell>
          <cell r="AB157">
            <v>1.9033957205990097E-2</v>
          </cell>
          <cell r="AC157">
            <v>2.5815254241997342E-3</v>
          </cell>
          <cell r="AD157">
            <v>5.0468397758842666E-3</v>
          </cell>
          <cell r="AE157">
            <v>2.7438722719871442E-2</v>
          </cell>
          <cell r="AF157">
            <v>2.7471885405614769E-2</v>
          </cell>
          <cell r="AG157">
            <v>5.0729581313539024E-2</v>
          </cell>
          <cell r="AH157">
            <v>0</v>
          </cell>
          <cell r="AI157">
            <v>0</v>
          </cell>
          <cell r="AJ157">
            <v>2.3961028459624997E-2</v>
          </cell>
          <cell r="AK157">
            <v>-4.1517259982571317E-3</v>
          </cell>
          <cell r="AL157">
            <v>1.6844459247610754E-2</v>
          </cell>
          <cell r="AM157">
            <v>2.4301854942589608E-2</v>
          </cell>
          <cell r="AN157">
            <v>1.3420689944885378E-2</v>
          </cell>
        </row>
        <row r="158">
          <cell r="C158" t="str">
            <v>1Q:97</v>
          </cell>
          <cell r="D158" t="str">
            <v>1Q:98</v>
          </cell>
          <cell r="E158" t="str">
            <v>1Q:99</v>
          </cell>
          <cell r="F158" t="str">
            <v>1Q:00</v>
          </cell>
          <cell r="G158" t="str">
            <v>1Q:01</v>
          </cell>
          <cell r="H158" t="str">
            <v>1Q02E</v>
          </cell>
          <cell r="I158" t="str">
            <v>4Q02E</v>
          </cell>
          <cell r="J158" t="str">
            <v>4Q02E</v>
          </cell>
          <cell r="K158" t="str">
            <v>4Q02E</v>
          </cell>
          <cell r="M158" t="str">
            <v>2Q:97</v>
          </cell>
          <cell r="N158" t="str">
            <v>2Q:98</v>
          </cell>
          <cell r="O158" t="str">
            <v>2Q:99</v>
          </cell>
          <cell r="P158" t="str">
            <v>2Q:00</v>
          </cell>
          <cell r="Q158" t="str">
            <v>2Q:01</v>
          </cell>
          <cell r="R158" t="str">
            <v>2Q02E</v>
          </cell>
          <cell r="S158" t="str">
            <v>4Q02E</v>
          </cell>
          <cell r="T158" t="str">
            <v>4Q02E</v>
          </cell>
          <cell r="U158" t="str">
            <v>4Q02E</v>
          </cell>
          <cell r="W158" t="str">
            <v>3Q:97</v>
          </cell>
          <cell r="X158" t="str">
            <v>3Q:98</v>
          </cell>
          <cell r="Y158" t="str">
            <v>3Q:99</v>
          </cell>
          <cell r="Z158" t="str">
            <v>3Q:00</v>
          </cell>
          <cell r="AA158" t="str">
            <v>3Q:01</v>
          </cell>
          <cell r="AB158" t="str">
            <v>3Q02E</v>
          </cell>
          <cell r="AC158" t="str">
            <v>4Q02E</v>
          </cell>
          <cell r="AD158" t="str">
            <v>4Q02E</v>
          </cell>
          <cell r="AE158" t="str">
            <v>4Q02E</v>
          </cell>
          <cell r="AF158" t="str">
            <v>4Q:96</v>
          </cell>
          <cell r="AG158" t="str">
            <v>4Q:97</v>
          </cell>
          <cell r="AH158" t="str">
            <v>4Q:98</v>
          </cell>
          <cell r="AI158" t="str">
            <v>4Q:99</v>
          </cell>
          <cell r="AJ158" t="str">
            <v>4Q:00</v>
          </cell>
          <cell r="AK158" t="str">
            <v>4Q:01</v>
          </cell>
          <cell r="AL158" t="str">
            <v>4Q02E</v>
          </cell>
          <cell r="AM158" t="str">
            <v>4Q02E</v>
          </cell>
          <cell r="AN158" t="str">
            <v>4Q02E</v>
          </cell>
        </row>
        <row r="159">
          <cell r="A159" t="str">
            <v>Revenue Carloads (000s)</v>
          </cell>
          <cell r="C159">
            <v>2127</v>
          </cell>
          <cell r="D159">
            <v>1938</v>
          </cell>
          <cell r="E159">
            <v>2048</v>
          </cell>
          <cell r="F159">
            <v>2174</v>
          </cell>
          <cell r="G159">
            <v>2179</v>
          </cell>
          <cell r="I159">
            <v>21</v>
          </cell>
          <cell r="J159">
            <v>39</v>
          </cell>
          <cell r="K159">
            <v>90</v>
          </cell>
          <cell r="M159">
            <v>2206.6999999999998</v>
          </cell>
          <cell r="N159">
            <v>1995</v>
          </cell>
          <cell r="O159">
            <v>2113</v>
          </cell>
          <cell r="P159">
            <v>2213</v>
          </cell>
          <cell r="Q159">
            <v>2211</v>
          </cell>
          <cell r="R159">
            <v>2211</v>
          </cell>
          <cell r="T159">
            <v>34</v>
          </cell>
          <cell r="U159">
            <v>67</v>
          </cell>
          <cell r="V159">
            <v>90</v>
          </cell>
          <cell r="W159">
            <v>2171</v>
          </cell>
          <cell r="X159">
            <v>2022</v>
          </cell>
          <cell r="Y159">
            <v>2200</v>
          </cell>
          <cell r="Z159">
            <v>2293</v>
          </cell>
          <cell r="AA159">
            <v>2274</v>
          </cell>
          <cell r="AB159">
            <v>2274</v>
          </cell>
          <cell r="AD159">
            <v>34</v>
          </cell>
          <cell r="AE159">
            <v>34</v>
          </cell>
          <cell r="AF159">
            <v>100</v>
          </cell>
          <cell r="AG159">
            <v>1949</v>
          </cell>
          <cell r="AH159">
            <v>2043</v>
          </cell>
          <cell r="AI159">
            <v>2195</v>
          </cell>
          <cell r="AJ159">
            <v>2222</v>
          </cell>
          <cell r="AK159">
            <v>2222</v>
          </cell>
          <cell r="AN159">
            <v>34</v>
          </cell>
        </row>
        <row r="160">
          <cell r="A160" t="str">
            <v>Revenue Ton-Miles (MM)</v>
          </cell>
          <cell r="C160">
            <v>118814</v>
          </cell>
          <cell r="D160">
            <v>106395</v>
          </cell>
          <cell r="E160">
            <v>115387</v>
          </cell>
          <cell r="F160">
            <v>121243</v>
          </cell>
          <cell r="G160">
            <v>123718</v>
          </cell>
          <cell r="H160">
            <v>9.4461433910975057E-3</v>
          </cell>
          <cell r="I160">
            <v>2.8746465598491922E-2</v>
          </cell>
          <cell r="J160">
            <v>-6.6175456121981391E-2</v>
          </cell>
          <cell r="K160">
            <v>4.5889322353407369E-2</v>
          </cell>
          <cell r="M160">
            <v>118948</v>
          </cell>
          <cell r="N160">
            <v>106189</v>
          </cell>
          <cell r="O160">
            <v>115696</v>
          </cell>
          <cell r="P160">
            <v>117827</v>
          </cell>
          <cell r="Q160">
            <v>124028</v>
          </cell>
          <cell r="R160">
            <v>124028</v>
          </cell>
          <cell r="S160">
            <v>5.1934623082054543E-2</v>
          </cell>
          <cell r="T160">
            <v>2.4827979833211833E-2</v>
          </cell>
          <cell r="U160">
            <v>-8.3539603960396058E-2</v>
          </cell>
          <cell r="V160">
            <v>8.0223053432613156E-2</v>
          </cell>
          <cell r="W160">
            <v>112872</v>
          </cell>
          <cell r="X160">
            <v>111018</v>
          </cell>
          <cell r="Y160">
            <v>120348</v>
          </cell>
          <cell r="Z160">
            <v>126071</v>
          </cell>
          <cell r="AA160">
            <v>127572</v>
          </cell>
          <cell r="AB160">
            <v>6.3479691694812601E-2</v>
          </cell>
          <cell r="AC160">
            <v>-1.4332247557003241E-2</v>
          </cell>
          <cell r="AD160">
            <v>5.7369464639788426E-2</v>
          </cell>
          <cell r="AE160">
            <v>-8.6760845105638196E-2</v>
          </cell>
          <cell r="AF160">
            <v>1.848049281314168E-2</v>
          </cell>
          <cell r="AG160">
            <v>102380</v>
          </cell>
          <cell r="AH160">
            <v>109970</v>
          </cell>
          <cell r="AI160">
            <v>121670</v>
          </cell>
          <cell r="AJ160">
            <v>120311</v>
          </cell>
          <cell r="AK160">
            <v>4.4221007418977054E-2</v>
          </cell>
          <cell r="AL160">
            <v>6.5625876413947903E-2</v>
          </cell>
          <cell r="AM160">
            <v>3.5880340380735065E-2</v>
          </cell>
          <cell r="AN160">
            <v>1.8360433604335924E-2</v>
          </cell>
        </row>
        <row r="161">
          <cell r="A161" t="str">
            <v>Gross Ton-Miles (MM)</v>
          </cell>
          <cell r="C161">
            <v>2.7897422906963731E-2</v>
          </cell>
          <cell r="D161">
            <v>199647</v>
          </cell>
          <cell r="E161">
            <v>218502</v>
          </cell>
          <cell r="F161">
            <v>232017</v>
          </cell>
          <cell r="G161">
            <v>232180</v>
          </cell>
          <cell r="H161">
            <v>-8.8928617098926743E-4</v>
          </cell>
          <cell r="I161">
            <v>1.571031509244758E-2</v>
          </cell>
          <cell r="J161">
            <v>2.1913134088574981E-2</v>
          </cell>
          <cell r="K161">
            <v>2.5012422022134162E-2</v>
          </cell>
          <cell r="N161">
            <v>204781</v>
          </cell>
          <cell r="O161">
            <v>220759</v>
          </cell>
          <cell r="P161">
            <v>227322</v>
          </cell>
          <cell r="Q161">
            <v>235473</v>
          </cell>
          <cell r="R161">
            <v>235473</v>
          </cell>
          <cell r="S161">
            <v>-1.1378396913244937E-2</v>
          </cell>
          <cell r="T161">
            <v>2.8066224663921169E-2</v>
          </cell>
          <cell r="U161">
            <v>2.7223502419890355E-2</v>
          </cell>
          <cell r="V161">
            <v>4.5129574241310699E-2</v>
          </cell>
          <cell r="W161">
            <v>214938</v>
          </cell>
          <cell r="X161">
            <v>208703</v>
          </cell>
          <cell r="Y161">
            <v>228697</v>
          </cell>
          <cell r="Z161">
            <v>238353</v>
          </cell>
          <cell r="AA161">
            <v>243383</v>
          </cell>
          <cell r="AB161">
            <v>1.0064873725369683E-2</v>
          </cell>
          <cell r="AC161">
            <v>1.8737825013825926E-4</v>
          </cell>
          <cell r="AD161">
            <v>2.0832321660479991E-4</v>
          </cell>
          <cell r="AE161">
            <v>3.3723171211776926E-2</v>
          </cell>
          <cell r="AF161">
            <v>2.3563566540981906E-2</v>
          </cell>
          <cell r="AG161">
            <v>201074</v>
          </cell>
          <cell r="AH161">
            <v>213302</v>
          </cell>
          <cell r="AI161">
            <v>230235</v>
          </cell>
          <cell r="AJ161">
            <v>233668</v>
          </cell>
          <cell r="AK161">
            <v>-7.3848747838128892E-3</v>
          </cell>
          <cell r="AL161">
            <v>4.0579765154145075E-3</v>
          </cell>
          <cell r="AM161">
            <v>9.3350165133045948E-3</v>
          </cell>
          <cell r="AN161">
            <v>1.0616413646004519E-2</v>
          </cell>
        </row>
        <row r="162">
          <cell r="A162" t="str">
            <v>Rev/RTM (Commodity Rev. Based)</v>
          </cell>
          <cell r="C162">
            <v>2.09</v>
          </cell>
          <cell r="D162">
            <v>2.09</v>
          </cell>
          <cell r="E162">
            <v>2.08</v>
          </cell>
          <cell r="F162">
            <v>2.0699999999999998</v>
          </cell>
          <cell r="G162">
            <v>2.06</v>
          </cell>
          <cell r="M162">
            <v>2.1</v>
          </cell>
          <cell r="N162">
            <v>2.12</v>
          </cell>
          <cell r="O162">
            <v>2.1</v>
          </cell>
          <cell r="P162">
            <v>2.17</v>
          </cell>
          <cell r="Q162">
            <v>2.09</v>
          </cell>
          <cell r="R162">
            <v>2.09</v>
          </cell>
          <cell r="W162">
            <v>2.1800000000000002</v>
          </cell>
          <cell r="X162">
            <v>2.0499999999999998</v>
          </cell>
          <cell r="Y162">
            <v>2.09</v>
          </cell>
          <cell r="Z162">
            <v>2.1</v>
          </cell>
          <cell r="AA162">
            <v>2.1</v>
          </cell>
          <cell r="AG162">
            <v>2.1800000000000002</v>
          </cell>
          <cell r="AH162">
            <v>2.11</v>
          </cell>
          <cell r="AI162">
            <v>2.06</v>
          </cell>
          <cell r="AJ162">
            <v>2.12</v>
          </cell>
          <cell r="AK162">
            <v>2.12</v>
          </cell>
        </row>
        <row r="163">
          <cell r="A163" t="str">
            <v>Ave. Revenue per Car</v>
          </cell>
          <cell r="C163">
            <v>1165</v>
          </cell>
          <cell r="D163">
            <v>1149</v>
          </cell>
          <cell r="E163">
            <v>1173</v>
          </cell>
          <cell r="F163">
            <v>1156</v>
          </cell>
          <cell r="G163">
            <v>1171</v>
          </cell>
          <cell r="M163">
            <v>1156</v>
          </cell>
          <cell r="N163">
            <v>1128</v>
          </cell>
          <cell r="O163">
            <v>1151</v>
          </cell>
          <cell r="P163">
            <v>1153</v>
          </cell>
          <cell r="Q163">
            <v>1173</v>
          </cell>
          <cell r="R163">
            <v>1173</v>
          </cell>
          <cell r="W163">
            <v>1131</v>
          </cell>
          <cell r="X163">
            <v>1126</v>
          </cell>
          <cell r="Y163">
            <v>1144</v>
          </cell>
          <cell r="Z163">
            <v>1155</v>
          </cell>
          <cell r="AA163">
            <v>1155</v>
          </cell>
          <cell r="AB163">
            <v>1155</v>
          </cell>
          <cell r="AG163">
            <v>1144</v>
          </cell>
          <cell r="AH163">
            <v>1135</v>
          </cell>
          <cell r="AI163">
            <v>1140</v>
          </cell>
          <cell r="AJ163">
            <v>1151</v>
          </cell>
          <cell r="AK163">
            <v>1151</v>
          </cell>
        </row>
        <row r="164">
          <cell r="A164" t="str">
            <v>Ave. Employees</v>
          </cell>
          <cell r="C164">
            <v>52209</v>
          </cell>
          <cell r="D164">
            <v>52718</v>
          </cell>
          <cell r="E164">
            <v>52637</v>
          </cell>
          <cell r="F164">
            <v>50767</v>
          </cell>
          <cell r="G164">
            <v>48760</v>
          </cell>
          <cell r="H164" t="str">
            <v>1Q02</v>
          </cell>
          <cell r="I164" t="str">
            <v>1Q03</v>
          </cell>
          <cell r="J164" t="str">
            <v>1Q:04</v>
          </cell>
          <cell r="K164" t="str">
            <v>1Q:05E</v>
          </cell>
          <cell r="M164">
            <v>52047</v>
          </cell>
          <cell r="N164">
            <v>53714</v>
          </cell>
          <cell r="O164">
            <v>53305</v>
          </cell>
          <cell r="P164">
            <v>50948</v>
          </cell>
          <cell r="Q164">
            <v>49491</v>
          </cell>
          <cell r="R164">
            <v>49491</v>
          </cell>
          <cell r="S164" t="str">
            <v>2Q02</v>
          </cell>
          <cell r="T164" t="str">
            <v>2Q03</v>
          </cell>
          <cell r="U164" t="str">
            <v>2Q04</v>
          </cell>
          <cell r="V164" t="str">
            <v>2Q:05E</v>
          </cell>
          <cell r="W164">
            <v>52387</v>
          </cell>
          <cell r="X164">
            <v>53862</v>
          </cell>
          <cell r="Y164">
            <v>52728</v>
          </cell>
          <cell r="Z164">
            <v>51134</v>
          </cell>
          <cell r="AA164">
            <v>48842</v>
          </cell>
          <cell r="AB164" t="str">
            <v>3Q:00</v>
          </cell>
          <cell r="AC164" t="str">
            <v>3Q:01</v>
          </cell>
          <cell r="AD164" t="str">
            <v>3Q02</v>
          </cell>
          <cell r="AE164" t="str">
            <v>3Q03</v>
          </cell>
          <cell r="AF164" t="str">
            <v>3Q04</v>
          </cell>
          <cell r="AG164">
            <v>52379</v>
          </cell>
          <cell r="AH164">
            <v>52189</v>
          </cell>
          <cell r="AI164">
            <v>51486</v>
          </cell>
          <cell r="AJ164">
            <v>49243</v>
          </cell>
          <cell r="AK164" t="str">
            <v>4Q:98</v>
          </cell>
          <cell r="AL164" t="str">
            <v>4Q:99</v>
          </cell>
          <cell r="AM164" t="str">
            <v>4Q:00</v>
          </cell>
          <cell r="AN164" t="str">
            <v>4Q:01</v>
          </cell>
        </row>
        <row r="165">
          <cell r="A165" t="str">
            <v>Ave. Fuel Price ($/gallon)</v>
          </cell>
          <cell r="C165">
            <v>0.75</v>
          </cell>
          <cell r="D165">
            <v>0.64</v>
          </cell>
          <cell r="E165">
            <v>0.5</v>
          </cell>
          <cell r="F165">
            <v>0.81299999999999994</v>
          </cell>
          <cell r="G165">
            <v>0.92200000000000004</v>
          </cell>
          <cell r="M165">
            <v>0.71</v>
          </cell>
          <cell r="N165">
            <v>0.63</v>
          </cell>
          <cell r="O165">
            <v>0.56000000000000005</v>
          </cell>
          <cell r="P165">
            <v>0.84</v>
          </cell>
          <cell r="Q165">
            <v>0.92</v>
          </cell>
          <cell r="R165">
            <v>0.92</v>
          </cell>
          <cell r="W165">
            <v>0.67</v>
          </cell>
          <cell r="X165">
            <v>0.6</v>
          </cell>
          <cell r="Y165">
            <v>0.56000000000000005</v>
          </cell>
          <cell r="Z165">
            <v>0.92</v>
          </cell>
          <cell r="AA165">
            <v>0.86</v>
          </cell>
          <cell r="AB165">
            <v>0.86</v>
          </cell>
          <cell r="AG165">
            <v>0.7</v>
          </cell>
          <cell r="AH165">
            <v>0.6</v>
          </cell>
          <cell r="AI165">
            <v>0.6</v>
          </cell>
          <cell r="AJ165">
            <v>1.03</v>
          </cell>
          <cell r="AK165">
            <v>1.03</v>
          </cell>
        </row>
        <row r="166">
          <cell r="A166" t="str">
            <v>Fuel Consumption (MM of gal.)</v>
          </cell>
          <cell r="C166">
            <v>326</v>
          </cell>
          <cell r="D166">
            <v>283</v>
          </cell>
          <cell r="E166">
            <v>304</v>
          </cell>
          <cell r="F166">
            <v>324</v>
          </cell>
          <cell r="G166">
            <v>322</v>
          </cell>
          <cell r="H166">
            <v>-7.6586433260394937E-4</v>
          </cell>
          <cell r="I166">
            <v>5.5512974926092307E-2</v>
          </cell>
          <cell r="J166">
            <v>4.875518672199175E-2</v>
          </cell>
          <cell r="K166">
            <v>2.9354580487770399E-2</v>
          </cell>
          <cell r="M166">
            <v>317</v>
          </cell>
          <cell r="N166">
            <v>290</v>
          </cell>
          <cell r="O166">
            <v>307</v>
          </cell>
          <cell r="P166">
            <v>319</v>
          </cell>
          <cell r="Q166">
            <v>318</v>
          </cell>
          <cell r="R166">
            <v>318</v>
          </cell>
          <cell r="S166">
            <v>2.8153153153153143E-2</v>
          </cell>
          <cell r="T166">
            <v>4.2716319824753546E-2</v>
          </cell>
          <cell r="U166">
            <v>0.10084033613445387</v>
          </cell>
          <cell r="V166">
            <v>4.4901928363267896E-2</v>
          </cell>
          <cell r="W166">
            <v>302</v>
          </cell>
          <cell r="X166">
            <v>284</v>
          </cell>
          <cell r="Y166">
            <v>312</v>
          </cell>
          <cell r="Z166">
            <v>325</v>
          </cell>
          <cell r="AA166">
            <v>319</v>
          </cell>
          <cell r="AB166">
            <v>-2.4175824175824201E-2</v>
          </cell>
          <cell r="AC166">
            <v>-2.2522522522522292E-3</v>
          </cell>
          <cell r="AD166">
            <v>3.724604966139955E-2</v>
          </cell>
          <cell r="AE166">
            <v>6.3112078346028389E-2</v>
          </cell>
          <cell r="AF166">
            <v>8.1883316274309115E-2</v>
          </cell>
          <cell r="AG166">
            <v>283</v>
          </cell>
          <cell r="AH166">
            <v>294</v>
          </cell>
          <cell r="AI166">
            <v>322</v>
          </cell>
          <cell r="AJ166">
            <v>325</v>
          </cell>
          <cell r="AK166">
            <v>7.0454545454545547E-2</v>
          </cell>
          <cell r="AL166">
            <v>-6.4755838641188945E-2</v>
          </cell>
          <cell r="AM166">
            <v>-4.5402951191827468E-3</v>
          </cell>
          <cell r="AN166">
            <v>2.3945267958950911E-2</v>
          </cell>
        </row>
        <row r="167">
          <cell r="A167" t="str">
            <v>Fuel Consumption Rate (Gal/000 GTM)</v>
          </cell>
          <cell r="C167">
            <v>6.8027210884353817E-2</v>
          </cell>
          <cell r="D167">
            <v>0.14649681528662417</v>
          </cell>
          <cell r="E167">
            <v>1.389</v>
          </cell>
          <cell r="F167">
            <v>1.3959999999999999</v>
          </cell>
          <cell r="G167">
            <v>1.387</v>
          </cell>
          <cell r="H167">
            <v>2.6058631921824116E-2</v>
          </cell>
          <cell r="I167">
            <v>-1.5873015873015928E-2</v>
          </cell>
          <cell r="J167">
            <v>5.4838709677419439E-2</v>
          </cell>
          <cell r="K167">
            <v>1.7348896989572538E-2</v>
          </cell>
          <cell r="M167" t="e">
            <v>#DIV/0!</v>
          </cell>
          <cell r="N167">
            <v>8.3916083916083961E-2</v>
          </cell>
          <cell r="O167">
            <v>1.39</v>
          </cell>
          <cell r="P167">
            <v>1.4019999999999999</v>
          </cell>
          <cell r="Q167">
            <v>1.35</v>
          </cell>
          <cell r="R167">
            <v>1.35</v>
          </cell>
          <cell r="S167">
            <v>3.2573289902280145E-3</v>
          </cell>
          <cell r="T167">
            <v>-3.2467532467532423E-2</v>
          </cell>
          <cell r="U167">
            <v>0.21476510067114085</v>
          </cell>
          <cell r="V167">
            <v>4.504524500207463E-2</v>
          </cell>
          <cell r="W167" t="e">
            <v>#DIV/0!</v>
          </cell>
          <cell r="X167" t="e">
            <v>#DIV/0!</v>
          </cell>
          <cell r="Y167">
            <v>1.363</v>
          </cell>
          <cell r="Z167">
            <v>1.3640000000000001</v>
          </cell>
          <cell r="AA167">
            <v>1.3109999999999999</v>
          </cell>
          <cell r="AB167">
            <v>2.8391167192429068E-2</v>
          </cell>
          <cell r="AC167">
            <v>-5.8282208588957052E-2</v>
          </cell>
          <cell r="AD167">
            <v>2.931596091205213E-2</v>
          </cell>
          <cell r="AE167">
            <v>-2.5316455696202556E-2</v>
          </cell>
          <cell r="AF167">
            <v>0.14935064935064934</v>
          </cell>
          <cell r="AG167">
            <v>5.6504635026796146E-2</v>
          </cell>
          <cell r="AH167" t="e">
            <v>#DIV/0!</v>
          </cell>
          <cell r="AI167">
            <v>1.3979999999999999</v>
          </cell>
          <cell r="AJ167">
            <v>1.3919999999999999</v>
          </cell>
          <cell r="AK167">
            <v>-0.13314447592067991</v>
          </cell>
          <cell r="AL167">
            <v>-2.9411764705882359E-2</v>
          </cell>
          <cell r="AM167">
            <v>-1.3468013468013518E-2</v>
          </cell>
          <cell r="AN167">
            <v>0</v>
          </cell>
        </row>
        <row r="168">
          <cell r="A168" t="str">
            <v>Operating Ratio (%)</v>
          </cell>
          <cell r="C168">
            <v>0.85641825985173625</v>
          </cell>
          <cell r="D168">
            <v>0.97671661097337503</v>
          </cell>
          <cell r="E168">
            <v>0.85206086868890463</v>
          </cell>
          <cell r="F168">
            <v>0.82555934774364803</v>
          </cell>
          <cell r="G168">
            <v>0.83852797596695461</v>
          </cell>
          <cell r="H168">
            <v>0.81641622839969952</v>
          </cell>
          <cell r="I168">
            <v>0.86549707602339176</v>
          </cell>
          <cell r="J168">
            <v>0.86232680639095782</v>
          </cell>
          <cell r="K168">
            <v>0.88101733001284321</v>
          </cell>
          <cell r="M168">
            <v>0.79203370356185365</v>
          </cell>
          <cell r="N168">
            <v>1.0552897395002658</v>
          </cell>
          <cell r="O168">
            <v>0.82395989974937345</v>
          </cell>
          <cell r="P168">
            <v>0.80181750741839752</v>
          </cell>
          <cell r="Q168">
            <v>0.82348596750369274</v>
          </cell>
          <cell r="R168">
            <v>0.82348596750369274</v>
          </cell>
          <cell r="S168">
            <v>0.79820317899101589</v>
          </cell>
          <cell r="T168">
            <v>0.79871996749596685</v>
          </cell>
          <cell r="U168">
            <v>0.88147903598547372</v>
          </cell>
          <cell r="V168">
            <v>2.4999999999999911E-2</v>
          </cell>
          <cell r="W168">
            <v>0.81363278171788811</v>
          </cell>
          <cell r="X168">
            <v>0.91025908900961139</v>
          </cell>
          <cell r="Y168">
            <v>0.79806494874988032</v>
          </cell>
          <cell r="Z168">
            <v>0.80021559468199788</v>
          </cell>
          <cell r="AA168">
            <v>0.79663496708119974</v>
          </cell>
          <cell r="AB168">
            <v>0.78280701754385962</v>
          </cell>
          <cell r="AC168">
            <v>0.79972936400541272</v>
          </cell>
          <cell r="AD168">
            <v>0.78979610426767421</v>
          </cell>
          <cell r="AE168">
            <v>-7.291666666666663E-2</v>
          </cell>
          <cell r="AF168">
            <v>4.1198501872659277E-2</v>
          </cell>
          <cell r="AG168">
            <v>1.0154252974878801</v>
          </cell>
          <cell r="AH168">
            <v>0.88949818934299019</v>
          </cell>
          <cell r="AI168">
            <v>0.80160185274534401</v>
          </cell>
          <cell r="AJ168">
            <v>0.83644510828976848</v>
          </cell>
          <cell r="AK168">
            <v>0.79669724770642203</v>
          </cell>
          <cell r="AL168">
            <v>0.8010265486725664</v>
          </cell>
          <cell r="AM168">
            <v>0.80134907251264753</v>
          </cell>
          <cell r="AN168">
            <v>0.79545034740098219</v>
          </cell>
        </row>
        <row r="169">
          <cell r="A169" t="str">
            <v>Average Velocity</v>
          </cell>
          <cell r="C169">
            <v>0.23622206492061881</v>
          </cell>
          <cell r="D169">
            <v>-0.25922290388548053</v>
          </cell>
          <cell r="E169">
            <v>-0.15406360424028265</v>
          </cell>
          <cell r="F169">
            <v>0.7192199248120299</v>
          </cell>
          <cell r="G169">
            <v>0.12707090033863322</v>
          </cell>
          <cell r="H169">
            <v>-0.34044946847927138</v>
          </cell>
          <cell r="I169">
            <v>0.62913027935243337</v>
          </cell>
          <cell r="J169">
            <v>0.11272727272727256</v>
          </cell>
          <cell r="K169">
            <v>-7.5035584064991889E-2</v>
          </cell>
          <cell r="M169" t="e">
            <v>#DIV/0!</v>
          </cell>
          <cell r="N169">
            <v>-4.2499787288351909E-2</v>
          </cell>
          <cell r="O169">
            <v>-0.18825254365308575</v>
          </cell>
          <cell r="P169">
            <v>-5.9003831417624331E-2</v>
          </cell>
          <cell r="Q169">
            <v>0.55863192182410404</v>
          </cell>
          <cell r="R169">
            <v>9.1804746977160789E-2</v>
          </cell>
          <cell r="S169">
            <v>-0.17801476620180479</v>
          </cell>
          <cell r="T169">
            <v>0.21490352628077192</v>
          </cell>
          <cell r="U169">
            <v>0.37376779846659347</v>
          </cell>
          <cell r="V169">
            <v>0.20866198291297033</v>
          </cell>
          <cell r="W169" t="e">
            <v>#DIV/0!</v>
          </cell>
          <cell r="X169" t="e">
            <v>#DIV/0!</v>
          </cell>
          <cell r="Y169">
            <v>-6.7213719343536815E-2</v>
          </cell>
          <cell r="Z169">
            <v>-0.15785311851339323</v>
          </cell>
          <cell r="AA169">
            <v>2.5352112676056526E-2</v>
          </cell>
          <cell r="AB169">
            <v>0.7113095238095235</v>
          </cell>
          <cell r="AC169">
            <v>-8.2474916387959896E-2</v>
          </cell>
          <cell r="AD169">
            <v>-9.510096959976666E-2</v>
          </cell>
          <cell r="AE169">
            <v>0.21087613293051377</v>
          </cell>
          <cell r="AF169">
            <v>0.41383898868928792</v>
          </cell>
          <cell r="AG169">
            <v>0.10705498499137045</v>
          </cell>
          <cell r="AH169" t="e">
            <v>#DIV/0!</v>
          </cell>
          <cell r="AI169" t="e">
            <v>#DIV/0!</v>
          </cell>
          <cell r="AJ169">
            <v>-0.19050343249427915</v>
          </cell>
          <cell r="AK169">
            <v>-0.10954063604240283</v>
          </cell>
          <cell r="AL169">
            <v>9.5238095238095122E-2</v>
          </cell>
          <cell r="AM169">
            <v>0.73266045548654257</v>
          </cell>
          <cell r="AN169">
            <v>-0.2063330843913368</v>
          </cell>
        </row>
        <row r="170">
          <cell r="A170" t="str">
            <v>Terminal Dwell Time</v>
          </cell>
          <cell r="C170">
            <v>0.50701899256812566</v>
          </cell>
          <cell r="D170">
            <v>-0.23616438356164393</v>
          </cell>
          <cell r="E170">
            <v>-0.11104734576757547</v>
          </cell>
          <cell r="F170">
            <v>0.19383473208521762</v>
          </cell>
          <cell r="G170">
            <v>0.2544274705961862</v>
          </cell>
          <cell r="H170">
            <v>-0.21354671839637862</v>
          </cell>
          <cell r="I170">
            <v>0.13052415210688606</v>
          </cell>
          <cell r="J170">
            <v>3.1515151515152162E-2</v>
          </cell>
          <cell r="K170">
            <v>1.2746629431969803E-2</v>
          </cell>
          <cell r="M170" t="e">
            <v>#DIV/0!</v>
          </cell>
          <cell r="N170">
            <v>0.27301731996353729</v>
          </cell>
          <cell r="O170">
            <v>-0.30898675259577491</v>
          </cell>
          <cell r="P170">
            <v>-1.1398963730571365E-2</v>
          </cell>
          <cell r="Q170">
            <v>0.36477987421383862</v>
          </cell>
          <cell r="R170">
            <v>9.2165898617510678E-2</v>
          </cell>
          <cell r="S170">
            <v>-3.2348804500702766E-2</v>
          </cell>
          <cell r="T170">
            <v>0.1206395348837197</v>
          </cell>
          <cell r="U170">
            <v>9.0791180285346051E-2</v>
          </cell>
          <cell r="V170">
            <v>7.5678582846056663E-2</v>
          </cell>
          <cell r="W170" t="e">
            <v>#DIV/0!</v>
          </cell>
          <cell r="X170" t="e">
            <v>#DIV/0!</v>
          </cell>
          <cell r="Y170">
            <v>0.16213768115942107</v>
          </cell>
          <cell r="Z170">
            <v>-0.11925175370226038</v>
          </cell>
          <cell r="AA170">
            <v>7.4336283185839847E-2</v>
          </cell>
          <cell r="AB170">
            <v>0.11202635914332904</v>
          </cell>
          <cell r="AC170">
            <v>-1.2592592592591711E-2</v>
          </cell>
          <cell r="AD170">
            <v>7.8394598649661473E-2</v>
          </cell>
          <cell r="AE170">
            <v>2.2608695652173161E-2</v>
          </cell>
          <cell r="AF170">
            <v>0.15646258503401445</v>
          </cell>
          <cell r="AG170">
            <v>8.036477121700214E-2</v>
          </cell>
          <cell r="AH170" t="e">
            <v>#DIV/0!</v>
          </cell>
          <cell r="AI170" t="e">
            <v>#DIV/0!</v>
          </cell>
          <cell r="AJ170">
            <v>0.2640977443609025</v>
          </cell>
          <cell r="AK170">
            <v>-0.42007434944237954</v>
          </cell>
          <cell r="AL170">
            <v>0.39743589743589869</v>
          </cell>
          <cell r="AM170">
            <v>0.38761467889908174</v>
          </cell>
          <cell r="AN170">
            <v>-9.6859504132231655E-2</v>
          </cell>
        </row>
        <row r="171">
          <cell r="A171" t="str">
            <v>GTM/Horsepower</v>
          </cell>
          <cell r="C171">
            <v>0.26576576576576572</v>
          </cell>
          <cell r="D171">
            <v>-0.25622775800711739</v>
          </cell>
          <cell r="E171">
            <v>-0.14832535885167464</v>
          </cell>
          <cell r="F171">
            <v>0.64606741573033699</v>
          </cell>
          <cell r="G171">
            <v>0.13993174061433455</v>
          </cell>
          <cell r="H171">
            <v>-0.32634730538922152</v>
          </cell>
          <cell r="I171">
            <v>0.56444444444444453</v>
          </cell>
          <cell r="J171">
            <v>0.10511363636363646</v>
          </cell>
          <cell r="K171">
            <v>-6.7354076230964788E-2</v>
          </cell>
          <cell r="M171" t="e">
            <v>#DIV/0!</v>
          </cell>
          <cell r="N171">
            <v>-1.5564202334630295E-2</v>
          </cell>
          <cell r="O171">
            <v>-0.20158102766798414</v>
          </cell>
          <cell r="P171">
            <v>-5.4455445544554504E-2</v>
          </cell>
          <cell r="Q171">
            <v>0.53926701570680624</v>
          </cell>
          <cell r="R171">
            <v>9.1836734693877542E-2</v>
          </cell>
          <cell r="S171">
            <v>-0.16510903426791279</v>
          </cell>
          <cell r="T171">
            <v>0.20522388059701502</v>
          </cell>
          <cell r="U171">
            <v>0.34674922600619196</v>
          </cell>
          <cell r="V171">
            <v>0.19837793330779552</v>
          </cell>
          <cell r="W171" t="e">
            <v>#DIV/0!</v>
          </cell>
          <cell r="X171" t="e">
            <v>#DIV/0!</v>
          </cell>
          <cell r="Y171">
            <v>-4.6025104602510414E-2</v>
          </cell>
          <cell r="Z171">
            <v>-0.15350877192982459</v>
          </cell>
          <cell r="AA171">
            <v>3.1088082901554515E-2</v>
          </cell>
          <cell r="AB171">
            <v>0.63819095477386933</v>
          </cell>
          <cell r="AC171">
            <v>-7.6687116564417179E-2</v>
          </cell>
          <cell r="AD171">
            <v>-7.9734219269102957E-2</v>
          </cell>
          <cell r="AE171">
            <v>0.19133574007220222</v>
          </cell>
          <cell r="AF171">
            <v>0.39090909090909087</v>
          </cell>
          <cell r="AG171">
            <v>0.10507793211919503</v>
          </cell>
          <cell r="AH171" t="e">
            <v>#DIV/0!</v>
          </cell>
          <cell r="AI171" t="e">
            <v>#DIV/0!</v>
          </cell>
          <cell r="AJ171">
            <v>-0.15413533834586468</v>
          </cell>
          <cell r="AK171">
            <v>-0.14666666666666661</v>
          </cell>
          <cell r="AL171">
            <v>0.11979166666666674</v>
          </cell>
          <cell r="AM171">
            <v>0.69767441860465107</v>
          </cell>
          <cell r="AN171">
            <v>-0.19726027397260271</v>
          </cell>
        </row>
        <row r="172">
          <cell r="A172" t="str">
            <v xml:space="preserve">   Materials and Supplies</v>
          </cell>
          <cell r="C172">
            <v>8.0291970802919721E-2</v>
          </cell>
          <cell r="D172">
            <v>-0.10135135135135132</v>
          </cell>
          <cell r="E172">
            <v>0</v>
          </cell>
          <cell r="F172">
            <v>9.0225563909774431E-2</v>
          </cell>
          <cell r="G172">
            <v>-0.13103448275862073</v>
          </cell>
          <cell r="H172">
            <v>-3.9682539682539653E-2</v>
          </cell>
          <cell r="I172">
            <v>-0.14876033057851235</v>
          </cell>
          <cell r="J172">
            <v>0.19417475728155331</v>
          </cell>
          <cell r="K172">
            <v>5.1033392251959464E-2</v>
          </cell>
          <cell r="M172" t="e">
            <v>#DIV/0!</v>
          </cell>
          <cell r="N172">
            <v>-0.1021897810218978</v>
          </cell>
          <cell r="O172">
            <v>9.7560975609756184E-2</v>
          </cell>
          <cell r="P172">
            <v>-7.4074074074074181E-3</v>
          </cell>
          <cell r="Q172">
            <v>6.1940298507462854E-2</v>
          </cell>
          <cell r="R172">
            <v>-6.5354884047786443E-2</v>
          </cell>
          <cell r="S172">
            <v>-6.0150375939849621E-2</v>
          </cell>
          <cell r="T172">
            <v>-0.20799999999999996</v>
          </cell>
          <cell r="U172">
            <v>0.1515151515151516</v>
          </cell>
          <cell r="V172">
            <v>3.305632014713078E-2</v>
          </cell>
          <cell r="W172" t="e">
            <v>#DIV/0!</v>
          </cell>
          <cell r="X172" t="e">
            <v>#DIV/0!</v>
          </cell>
          <cell r="Y172">
            <v>-0.11278195488721809</v>
          </cell>
          <cell r="Z172">
            <v>0.11016949152542366</v>
          </cell>
          <cell r="AA172">
            <v>3.8167938931297662E-2</v>
          </cell>
          <cell r="AB172">
            <v>0</v>
          </cell>
          <cell r="AC172">
            <v>-0.11029411764705888</v>
          </cell>
          <cell r="AD172">
            <v>-1.6528925619834656E-2</v>
          </cell>
          <cell r="AE172">
            <v>-0.12605042016806722</v>
          </cell>
          <cell r="AF172">
            <v>0.17307692307692313</v>
          </cell>
          <cell r="AG172">
            <v>6.7484118206963428E-2</v>
          </cell>
          <cell r="AH172" t="e">
            <v>#DIV/0!</v>
          </cell>
          <cell r="AI172" t="e">
            <v>#DIV/0!</v>
          </cell>
          <cell r="AJ172">
            <v>1.5873015873015817E-2</v>
          </cell>
          <cell r="AK172">
            <v>-8.59375E-2</v>
          </cell>
          <cell r="AL172">
            <v>0.17948717948717952</v>
          </cell>
          <cell r="AM172">
            <v>-0.11594202898550721</v>
          </cell>
          <cell r="AN172">
            <v>-0.12295081967213117</v>
          </cell>
        </row>
        <row r="173">
          <cell r="A173" t="str">
            <v>Overnite Transport Co. Statistics</v>
          </cell>
          <cell r="C173">
            <v>-6.5326633165829096E-2</v>
          </cell>
          <cell r="D173">
            <v>0.12970430107526876</v>
          </cell>
          <cell r="E173">
            <v>-0.22010707911957172</v>
          </cell>
          <cell r="F173">
            <v>-0.12738367658276128</v>
          </cell>
          <cell r="G173">
            <v>-4.8951048951048959E-2</v>
          </cell>
          <cell r="H173">
            <v>0.15808823529411775</v>
          </cell>
          <cell r="I173">
            <v>0.15555555555555545</v>
          </cell>
          <cell r="J173">
            <v>0.16758241758241765</v>
          </cell>
          <cell r="K173">
            <v>-8.7455713550651515E-2</v>
          </cell>
          <cell r="M173" t="e">
            <v>#DIV/0!</v>
          </cell>
          <cell r="N173">
            <v>-8.1460674157303403E-2</v>
          </cell>
          <cell r="O173">
            <v>0.92737003058103973</v>
          </cell>
          <cell r="P173">
            <v>-0.53391511305037676</v>
          </cell>
          <cell r="Q173">
            <v>-8.0000000000001181E-3</v>
          </cell>
          <cell r="R173">
            <v>2.9512697323267112E-2</v>
          </cell>
          <cell r="S173">
            <v>0.1293333333333333</v>
          </cell>
          <cell r="T173">
            <v>0.13636363636363624</v>
          </cell>
          <cell r="U173">
            <v>0.1272727272727272</v>
          </cell>
          <cell r="V173">
            <v>8.1095645335582667E-3</v>
          </cell>
          <cell r="W173" t="e">
            <v>#DIV/0!</v>
          </cell>
          <cell r="X173" t="e">
            <v>#DIV/0!</v>
          </cell>
          <cell r="Y173">
            <v>-0.15342465753424661</v>
          </cell>
          <cell r="Z173">
            <v>0.16585760517799342</v>
          </cell>
          <cell r="AA173">
            <v>-0.27342123525329631</v>
          </cell>
          <cell r="AB173">
            <v>6.2082139446036244E-2</v>
          </cell>
          <cell r="AC173">
            <v>1.7985611510791477E-2</v>
          </cell>
          <cell r="AD173">
            <v>0.10247349823321561</v>
          </cell>
          <cell r="AE173">
            <v>0.21153846153846145</v>
          </cell>
          <cell r="AF173">
            <v>2.6455026455026509E-2</v>
          </cell>
          <cell r="AG173">
            <v>4.998900445363752E-2</v>
          </cell>
          <cell r="AH173" t="e">
            <v>#DIV/0!</v>
          </cell>
          <cell r="AI173" t="e">
            <v>#DIV/0!</v>
          </cell>
          <cell r="AJ173">
            <v>0.47648902821316619</v>
          </cell>
          <cell r="AK173">
            <v>-0.2924628450106157</v>
          </cell>
          <cell r="AL173">
            <v>-0.15153788447111782</v>
          </cell>
          <cell r="AM173">
            <v>7.8691423519009707E-2</v>
          </cell>
          <cell r="AN173">
            <v>-3.2786885245901676E-2</v>
          </cell>
        </row>
        <row r="174">
          <cell r="A174" t="str">
            <v>Total Railway &amp; Other Expense</v>
          </cell>
          <cell r="B174" t="str">
            <v>1Q:96</v>
          </cell>
          <cell r="C174" t="str">
            <v>1Q:97</v>
          </cell>
          <cell r="D174" t="str">
            <v>1Q:98</v>
          </cell>
          <cell r="E174" t="str">
            <v>1Q:99</v>
          </cell>
          <cell r="F174" t="str">
            <v>1Q:00</v>
          </cell>
          <cell r="G174" t="str">
            <v>1Q:01</v>
          </cell>
          <cell r="H174" t="str">
            <v>1Q02</v>
          </cell>
          <cell r="I174" t="str">
            <v>1Q:03</v>
          </cell>
          <cell r="J174" t="str">
            <v>1Q:04</v>
          </cell>
          <cell r="K174">
            <v>8.6111383403410846E-2</v>
          </cell>
          <cell r="L174" t="str">
            <v>2Q:96</v>
          </cell>
          <cell r="M174" t="str">
            <v>2Q:97</v>
          </cell>
          <cell r="N174" t="str">
            <v>2Q:98</v>
          </cell>
          <cell r="O174" t="str">
            <v>2Q:99</v>
          </cell>
          <cell r="P174" t="str">
            <v>2Q:00</v>
          </cell>
          <cell r="Q174" t="str">
            <v>2Q:01</v>
          </cell>
          <cell r="R174" t="str">
            <v>2Q02</v>
          </cell>
          <cell r="S174" t="str">
            <v>2Q:03</v>
          </cell>
          <cell r="T174" t="str">
            <v>2Q:04</v>
          </cell>
          <cell r="U174">
            <v>0.1558441558441559</v>
          </cell>
          <cell r="V174" t="str">
            <v>3Q:96</v>
          </cell>
          <cell r="W174" t="str">
            <v>3Q:97</v>
          </cell>
          <cell r="X174" t="str">
            <v>3Q:98</v>
          </cell>
          <cell r="Y174" t="str">
            <v>3Q:99</v>
          </cell>
          <cell r="Z174" t="str">
            <v>3Q:00</v>
          </cell>
          <cell r="AA174" t="str">
            <v>3Q:01</v>
          </cell>
          <cell r="AB174" t="str">
            <v>3Q:02</v>
          </cell>
          <cell r="AC174" t="str">
            <v>3Q:03</v>
          </cell>
          <cell r="AD174" t="str">
            <v>3Q:04</v>
          </cell>
          <cell r="AE174">
            <v>5.9614522635589529E-2</v>
          </cell>
          <cell r="AF174" t="str">
            <v>4Q:96</v>
          </cell>
          <cell r="AG174" t="str">
            <v>4Q:97</v>
          </cell>
          <cell r="AH174" t="str">
            <v>4Q:98</v>
          </cell>
          <cell r="AI174" t="str">
            <v>4Q:99</v>
          </cell>
          <cell r="AJ174" t="str">
            <v>4Q:00</v>
          </cell>
          <cell r="AK174" t="str">
            <v>4Q:01</v>
          </cell>
          <cell r="AL174" t="str">
            <v>4Q:02</v>
          </cell>
          <cell r="AM174" t="str">
            <v>4Q:03</v>
          </cell>
          <cell r="AN174" t="str">
            <v>4Q:04</v>
          </cell>
        </row>
        <row r="175">
          <cell r="A175" t="str">
            <v>Operating Revenues</v>
          </cell>
        </row>
        <row r="176">
          <cell r="A176" t="str">
            <v xml:space="preserve">   LTL</v>
          </cell>
          <cell r="B176">
            <v>238.62300000000002</v>
          </cell>
          <cell r="C176">
            <v>202.071</v>
          </cell>
          <cell r="D176">
            <v>245.28960000000001</v>
          </cell>
          <cell r="E176">
            <v>239.83699999999999</v>
          </cell>
          <cell r="F176">
            <v>249.44639999999998</v>
          </cell>
          <cell r="G176">
            <v>258.33600000000001</v>
          </cell>
          <cell r="H176">
            <v>283.48439999999999</v>
          </cell>
          <cell r="I176">
            <v>312.19149999999996</v>
          </cell>
          <cell r="L176">
            <v>240.7664</v>
          </cell>
          <cell r="M176">
            <v>225.20400000000001</v>
          </cell>
          <cell r="N176">
            <v>249.82840000000002</v>
          </cell>
          <cell r="O176">
            <v>259.57800000000003</v>
          </cell>
          <cell r="P176">
            <v>260.33769999999998</v>
          </cell>
          <cell r="Q176">
            <v>268.38000000000005</v>
          </cell>
          <cell r="R176">
            <v>304.63619999999997</v>
          </cell>
          <cell r="S176">
            <v>342.22399999999999</v>
          </cell>
          <cell r="T176">
            <v>342.22399999999999</v>
          </cell>
          <cell r="V176">
            <v>221.85179999999997</v>
          </cell>
          <cell r="W176">
            <v>237.14480000000003</v>
          </cell>
          <cell r="X176">
            <v>244.20899999999997</v>
          </cell>
          <cell r="Y176">
            <v>262.08</v>
          </cell>
          <cell r="Z176">
            <v>264.03300000000002</v>
          </cell>
          <cell r="AA176">
            <v>272.74259999999998</v>
          </cell>
          <cell r="AB176">
            <v>321.17490000000004</v>
          </cell>
          <cell r="AC176">
            <v>321.17490000000004</v>
          </cell>
          <cell r="AF176">
            <v>203.45099999999996</v>
          </cell>
          <cell r="AG176">
            <v>231.94819999999999</v>
          </cell>
          <cell r="AH176">
            <v>244.96320000000003</v>
          </cell>
          <cell r="AI176">
            <v>243.4025</v>
          </cell>
          <cell r="AJ176">
            <v>252.0264</v>
          </cell>
          <cell r="AK176">
            <v>252.67199999999997</v>
          </cell>
          <cell r="AL176">
            <v>317.26080000000002</v>
          </cell>
          <cell r="AM176">
            <v>317.26080000000002</v>
          </cell>
        </row>
        <row r="177">
          <cell r="A177" t="str">
            <v xml:space="preserve">      Year-Over-Year Growth</v>
          </cell>
          <cell r="B177">
            <v>415.18965644484337</v>
          </cell>
          <cell r="C177">
            <v>-0.1531788637306547</v>
          </cell>
          <cell r="D177">
            <v>0.21387829030390315</v>
          </cell>
          <cell r="E177">
            <v>-2.222923434177404E-2</v>
          </cell>
          <cell r="F177">
            <v>4.0066378415340331E-2</v>
          </cell>
          <cell r="G177">
            <v>3.5637315270936165E-2</v>
          </cell>
          <cell r="H177">
            <v>9.7347640282422709E-2</v>
          </cell>
          <cell r="I177">
            <v>0.10126518425705244</v>
          </cell>
          <cell r="J177">
            <v>441.85498677712894</v>
          </cell>
          <cell r="K177">
            <v>460.87315681906091</v>
          </cell>
          <cell r="M177">
            <v>-6.4636926082709212E-2</v>
          </cell>
          <cell r="N177">
            <v>0.10934264045043607</v>
          </cell>
          <cell r="O177">
            <v>3.9025186888280272E-2</v>
          </cell>
          <cell r="P177">
            <v>2.9266732928059369E-3</v>
          </cell>
          <cell r="Q177">
            <v>3.0891799382110507E-2</v>
          </cell>
          <cell r="R177">
            <v>0.13509277889559557</v>
          </cell>
          <cell r="S177">
            <v>0.1233858615620862</v>
          </cell>
          <cell r="T177">
            <v>0.1233858615620862</v>
          </cell>
          <cell r="U177">
            <v>442.65000365355206</v>
          </cell>
          <cell r="V177">
            <v>445.35560245161861</v>
          </cell>
          <cell r="W177">
            <v>6.8933405092949762E-2</v>
          </cell>
          <cell r="X177">
            <v>2.9788551129942276E-2</v>
          </cell>
          <cell r="Y177">
            <v>7.3179121162610716E-2</v>
          </cell>
          <cell r="Z177">
            <v>7.451923076923217E-3</v>
          </cell>
          <cell r="AA177">
            <v>3.2986785742691094E-2</v>
          </cell>
          <cell r="AB177">
            <v>0.17757512027824052</v>
          </cell>
          <cell r="AC177">
            <v>389.60056707549808</v>
          </cell>
          <cell r="AD177">
            <v>389.58357797118947</v>
          </cell>
          <cell r="AE177">
            <v>412.7973080714338</v>
          </cell>
          <cell r="AF177">
            <v>438.96296763883606</v>
          </cell>
          <cell r="AG177">
            <v>438.98005008367471</v>
          </cell>
          <cell r="AH177">
            <v>5.6111666311702502E-2</v>
          </cell>
          <cell r="AI177">
            <v>-6.3711610560280851E-3</v>
          </cell>
          <cell r="AJ177">
            <v>3.5430613900843122E-2</v>
          </cell>
          <cell r="AK177">
            <v>2.5616363999960701E-3</v>
          </cell>
          <cell r="AL177">
            <v>0.25562310030395152</v>
          </cell>
          <cell r="AM177">
            <v>394.75804527699233</v>
          </cell>
          <cell r="AN177">
            <v>398.78853549573233</v>
          </cell>
        </row>
        <row r="178">
          <cell r="A178" t="str">
            <v xml:space="preserve">   Other</v>
          </cell>
          <cell r="B178">
            <v>16.376999999999981</v>
          </cell>
          <cell r="C178">
            <v>11.929000000000002</v>
          </cell>
          <cell r="D178">
            <v>11.710399999999993</v>
          </cell>
          <cell r="E178">
            <v>13.163000000000011</v>
          </cell>
          <cell r="F178">
            <v>19.553600000000017</v>
          </cell>
          <cell r="G178">
            <v>21.663999999999987</v>
          </cell>
          <cell r="H178">
            <v>25.315600000000018</v>
          </cell>
          <cell r="I178">
            <v>29.008500000000026</v>
          </cell>
          <cell r="J178">
            <v>142.91452094571827</v>
          </cell>
          <cell r="K178">
            <v>147.32719759919163</v>
          </cell>
          <cell r="L178">
            <v>16.233599999999996</v>
          </cell>
          <cell r="M178">
            <v>11.795999999999992</v>
          </cell>
          <cell r="N178">
            <v>12.171599999999984</v>
          </cell>
          <cell r="O178">
            <v>13.421999999999969</v>
          </cell>
          <cell r="P178">
            <v>22.662300000000016</v>
          </cell>
          <cell r="Q178">
            <v>21.619999999999948</v>
          </cell>
          <cell r="R178">
            <v>27.063800000000015</v>
          </cell>
          <cell r="S178">
            <v>29.77600000000001</v>
          </cell>
          <cell r="T178">
            <v>128.58567408882163</v>
          </cell>
          <cell r="U178">
            <v>152.90009668185672</v>
          </cell>
          <cell r="V178">
            <v>12.148200000000031</v>
          </cell>
          <cell r="W178">
            <v>12.855199999999968</v>
          </cell>
          <cell r="X178">
            <v>12.791000000000025</v>
          </cell>
          <cell r="Y178">
            <v>14.920000000000016</v>
          </cell>
          <cell r="Z178">
            <v>22.966999999999985</v>
          </cell>
          <cell r="AA178">
            <v>19.257400000000018</v>
          </cell>
          <cell r="AB178">
            <v>28.425099999999986</v>
          </cell>
          <cell r="AC178">
            <v>134.99703622141976</v>
          </cell>
          <cell r="AD178">
            <v>133.95909753960379</v>
          </cell>
          <cell r="AE178">
            <v>130.13466825588702</v>
          </cell>
          <cell r="AF178">
            <v>11.549000000000035</v>
          </cell>
          <cell r="AG178">
            <v>13.051800000000014</v>
          </cell>
          <cell r="AH178">
            <v>13.036799999999971</v>
          </cell>
          <cell r="AI178">
            <v>15.597499999999997</v>
          </cell>
          <cell r="AJ178">
            <v>21.973600000000005</v>
          </cell>
          <cell r="AK178">
            <v>18.328000000000031</v>
          </cell>
          <cell r="AL178">
            <v>29.039199999999994</v>
          </cell>
          <cell r="AM178">
            <v>131.88609722481044</v>
          </cell>
          <cell r="AN178">
            <v>130.11697204927569</v>
          </cell>
        </row>
        <row r="179">
          <cell r="A179" t="str">
            <v>Total Revenue</v>
          </cell>
          <cell r="B179">
            <v>255</v>
          </cell>
          <cell r="C179">
            <v>214</v>
          </cell>
          <cell r="D179">
            <v>257</v>
          </cell>
          <cell r="E179">
            <v>253</v>
          </cell>
          <cell r="F179">
            <v>269</v>
          </cell>
          <cell r="G179">
            <v>280</v>
          </cell>
          <cell r="H179">
            <v>308.8</v>
          </cell>
          <cell r="I179">
            <v>341.2</v>
          </cell>
          <cell r="J179">
            <v>119.7510053184306</v>
          </cell>
          <cell r="K179">
            <v>123.00402541534282</v>
          </cell>
          <cell r="L179">
            <v>257</v>
          </cell>
          <cell r="M179">
            <v>237</v>
          </cell>
          <cell r="N179">
            <v>262</v>
          </cell>
          <cell r="O179">
            <v>273</v>
          </cell>
          <cell r="P179">
            <v>283</v>
          </cell>
          <cell r="Q179">
            <v>290</v>
          </cell>
          <cell r="R179">
            <v>331.7</v>
          </cell>
          <cell r="S179">
            <v>372</v>
          </cell>
          <cell r="T179">
            <v>109.16837431030829</v>
          </cell>
          <cell r="U179">
            <v>116.99814027865831</v>
          </cell>
          <cell r="V179">
            <v>234</v>
          </cell>
          <cell r="W179">
            <v>250</v>
          </cell>
          <cell r="X179">
            <v>257</v>
          </cell>
          <cell r="Y179">
            <v>277</v>
          </cell>
          <cell r="Z179">
            <v>287</v>
          </cell>
          <cell r="AA179">
            <v>292</v>
          </cell>
          <cell r="AB179">
            <v>349.6</v>
          </cell>
          <cell r="AC179">
            <v>123.12433271008969</v>
          </cell>
          <cell r="AD179">
            <v>122.08930408672749</v>
          </cell>
          <cell r="AE179">
            <v>112.81154683221374</v>
          </cell>
          <cell r="AF179">
            <v>215</v>
          </cell>
          <cell r="AG179">
            <v>245</v>
          </cell>
          <cell r="AH179">
            <v>258</v>
          </cell>
          <cell r="AI179">
            <v>259</v>
          </cell>
          <cell r="AJ179">
            <v>274</v>
          </cell>
          <cell r="AK179">
            <v>271</v>
          </cell>
          <cell r="AL179">
            <v>346.3</v>
          </cell>
          <cell r="AM179">
            <v>125.13424924401809</v>
          </cell>
          <cell r="AN179">
            <v>126.56429021857875</v>
          </cell>
        </row>
        <row r="180">
          <cell r="A180" t="str">
            <v xml:space="preserve">      Year-Over-Year Growth</v>
          </cell>
          <cell r="B180">
            <v>94.169965884932466</v>
          </cell>
          <cell r="C180">
            <v>-0.16078431372549018</v>
          </cell>
          <cell r="D180">
            <v>0.2009345794392523</v>
          </cell>
          <cell r="E180">
            <v>-1.5564202334630295E-2</v>
          </cell>
          <cell r="F180">
            <v>6.3241106719367668E-2</v>
          </cell>
          <cell r="G180">
            <v>4.0892193308550207E-2</v>
          </cell>
          <cell r="H180">
            <v>0.10285714285714298</v>
          </cell>
          <cell r="I180">
            <v>0.10492227979274604</v>
          </cell>
          <cell r="J180">
            <v>155.13436805777417</v>
          </cell>
          <cell r="K180">
            <v>145.40177153142704</v>
          </cell>
          <cell r="M180">
            <v>-7.7821011673151697E-2</v>
          </cell>
          <cell r="N180">
            <v>0.10548523206751059</v>
          </cell>
          <cell r="O180">
            <v>4.1984732824427384E-2</v>
          </cell>
          <cell r="P180">
            <v>3.6630036630036722E-2</v>
          </cell>
          <cell r="Q180">
            <v>2.4734982332155431E-2</v>
          </cell>
          <cell r="R180">
            <v>0.14379310344827578</v>
          </cell>
          <cell r="S180">
            <v>0.12149532710280386</v>
          </cell>
          <cell r="T180">
            <v>0.12149532710280386</v>
          </cell>
          <cell r="U180">
            <v>169.52481437632596</v>
          </cell>
          <cell r="V180">
            <v>197.29180983451735</v>
          </cell>
          <cell r="W180">
            <v>6.8376068376068355E-2</v>
          </cell>
          <cell r="X180">
            <v>2.8000000000000025E-2</v>
          </cell>
          <cell r="Y180">
            <v>7.7821011673151697E-2</v>
          </cell>
          <cell r="Z180">
            <v>3.6101083032491044E-2</v>
          </cell>
          <cell r="AA180">
            <v>1.7421602787456525E-2</v>
          </cell>
          <cell r="AB180">
            <v>0.19726027397260282</v>
          </cell>
          <cell r="AC180">
            <v>120.63546227030716</v>
          </cell>
          <cell r="AD180">
            <v>105.23843659559063</v>
          </cell>
          <cell r="AE180">
            <v>127.00805609649233</v>
          </cell>
          <cell r="AF180">
            <v>176.49882804778176</v>
          </cell>
          <cell r="AG180">
            <v>0.13953488372093026</v>
          </cell>
          <cell r="AH180">
            <v>5.3061224489795888E-2</v>
          </cell>
          <cell r="AI180">
            <v>3.8759689922480689E-3</v>
          </cell>
          <cell r="AJ180">
            <v>5.7915057915058021E-2</v>
          </cell>
          <cell r="AK180">
            <v>-1.0948905109489093E-2</v>
          </cell>
          <cell r="AL180">
            <v>0.2778597785977861</v>
          </cell>
          <cell r="AM180">
            <v>150.67874077134911</v>
          </cell>
          <cell r="AN180">
            <v>117.98456359744563</v>
          </cell>
        </row>
        <row r="181">
          <cell r="A181" t="str">
            <v>Operating Expense</v>
          </cell>
          <cell r="B181">
            <v>11.531987934740947</v>
          </cell>
          <cell r="C181">
            <v>17.161126522168413</v>
          </cell>
          <cell r="D181">
            <v>14.384584348457782</v>
          </cell>
          <cell r="E181">
            <v>12.10265575747809</v>
          </cell>
          <cell r="F181">
            <v>13.611500862564702</v>
          </cell>
          <cell r="G181">
            <v>17.033087309028272</v>
          </cell>
          <cell r="H181">
            <v>13.402228470575702</v>
          </cell>
          <cell r="I181">
            <v>15.041562572216593</v>
          </cell>
          <cell r="J181">
            <v>14.877095697224016</v>
          </cell>
          <cell r="K181">
            <v>15.26706710872452</v>
          </cell>
          <cell r="M181">
            <v>9.8999670151509189</v>
          </cell>
          <cell r="N181">
            <v>12.656811000232475</v>
          </cell>
          <cell r="O181">
            <v>9.6717760036722744</v>
          </cell>
          <cell r="P181">
            <v>9.0286104741345383</v>
          </cell>
          <cell r="Q181">
            <v>11.767528940935961</v>
          </cell>
          <cell r="R181">
            <v>12.862591432265836</v>
          </cell>
          <cell r="S181">
            <v>11.829039432137339</v>
          </cell>
          <cell r="T181">
            <v>13.307322781541126</v>
          </cell>
          <cell r="U181">
            <v>14.208727216512891</v>
          </cell>
          <cell r="V181">
            <v>14.716638282027677</v>
          </cell>
          <cell r="W181">
            <v>9.7445024985734037</v>
          </cell>
          <cell r="X181">
            <v>9.7445024985734037</v>
          </cell>
          <cell r="Y181">
            <v>11.818915423362208</v>
          </cell>
          <cell r="Z181">
            <v>11.177223785330039</v>
          </cell>
          <cell r="AA181">
            <v>11.038104646505596</v>
          </cell>
          <cell r="AB181">
            <v>11.774710538365932</v>
          </cell>
          <cell r="AC181">
            <v>11.723195393039266</v>
          </cell>
          <cell r="AD181">
            <v>12.18773434893547</v>
          </cell>
          <cell r="AE181">
            <v>12.421945606243751</v>
          </cell>
          <cell r="AF181">
            <v>14.119906243822541</v>
          </cell>
          <cell r="AG181">
            <v>14.661373692000499</v>
          </cell>
          <cell r="AH181">
            <v>9.5365667732210699</v>
          </cell>
          <cell r="AI181">
            <v>9.5365667732210699</v>
          </cell>
          <cell r="AJ181">
            <v>13.805448892638774</v>
          </cell>
          <cell r="AK181">
            <v>7.6367978123511469</v>
          </cell>
          <cell r="AL181">
            <v>9.9310113596192373</v>
          </cell>
          <cell r="AM181">
            <v>13.616226761264558</v>
          </cell>
          <cell r="AN181">
            <v>12.132408451830072</v>
          </cell>
        </row>
        <row r="182">
          <cell r="A182" t="str">
            <v xml:space="preserve">   Salaries and Benefits</v>
          </cell>
          <cell r="B182">
            <v>169</v>
          </cell>
          <cell r="C182">
            <v>136</v>
          </cell>
          <cell r="D182">
            <v>154</v>
          </cell>
          <cell r="E182">
            <v>158</v>
          </cell>
          <cell r="F182">
            <v>165</v>
          </cell>
          <cell r="G182">
            <v>171</v>
          </cell>
          <cell r="H182">
            <v>192.2</v>
          </cell>
          <cell r="I182">
            <v>207.9</v>
          </cell>
          <cell r="J182">
            <v>170.01146375499818</v>
          </cell>
          <cell r="K182">
            <v>160.66883864015156</v>
          </cell>
          <cell r="L182">
            <v>164</v>
          </cell>
          <cell r="M182">
            <v>145</v>
          </cell>
          <cell r="N182">
            <v>159</v>
          </cell>
          <cell r="O182">
            <v>167</v>
          </cell>
          <cell r="P182">
            <v>165</v>
          </cell>
          <cell r="Q182">
            <v>175</v>
          </cell>
          <cell r="R182">
            <v>205.3</v>
          </cell>
          <cell r="S182">
            <v>220.9</v>
          </cell>
          <cell r="T182">
            <v>139.37306285466238</v>
          </cell>
          <cell r="U182">
            <v>183.73354159283886</v>
          </cell>
          <cell r="V182">
            <v>152</v>
          </cell>
          <cell r="W182">
            <v>149</v>
          </cell>
          <cell r="X182">
            <v>155</v>
          </cell>
          <cell r="Y182">
            <v>169</v>
          </cell>
          <cell r="Z182">
            <v>164</v>
          </cell>
          <cell r="AA182">
            <v>173</v>
          </cell>
          <cell r="AB182">
            <v>206.2</v>
          </cell>
          <cell r="AC182">
            <v>132.35865766334641</v>
          </cell>
          <cell r="AD182">
            <v>117.42617094452609</v>
          </cell>
          <cell r="AE182">
            <v>139.43000170273609</v>
          </cell>
          <cell r="AF182">
            <v>139</v>
          </cell>
          <cell r="AG182">
            <v>143</v>
          </cell>
          <cell r="AH182">
            <v>148</v>
          </cell>
          <cell r="AI182">
            <v>157</v>
          </cell>
          <cell r="AJ182">
            <v>156</v>
          </cell>
          <cell r="AK182">
            <v>166</v>
          </cell>
          <cell r="AL182">
            <v>203.4</v>
          </cell>
          <cell r="AM182">
            <v>164.29496753261367</v>
          </cell>
          <cell r="AN182">
            <v>130.11697204927569</v>
          </cell>
        </row>
        <row r="183">
          <cell r="A183" t="str">
            <v xml:space="preserve">   Rent Expense</v>
          </cell>
          <cell r="B183">
            <v>27</v>
          </cell>
          <cell r="C183">
            <v>14</v>
          </cell>
          <cell r="D183">
            <v>22</v>
          </cell>
          <cell r="E183">
            <v>18</v>
          </cell>
          <cell r="F183">
            <v>23</v>
          </cell>
          <cell r="G183">
            <v>22</v>
          </cell>
          <cell r="H183">
            <v>29.7</v>
          </cell>
          <cell r="I183">
            <v>35.6</v>
          </cell>
          <cell r="J183">
            <v>53.75683815389403</v>
          </cell>
          <cell r="K183">
            <v>57.251501657716958</v>
          </cell>
          <cell r="L183">
            <v>28</v>
          </cell>
          <cell r="M183">
            <v>18</v>
          </cell>
          <cell r="N183">
            <v>21</v>
          </cell>
          <cell r="O183">
            <v>22</v>
          </cell>
          <cell r="P183">
            <v>24</v>
          </cell>
          <cell r="Q183">
            <v>24</v>
          </cell>
          <cell r="R183">
            <v>30.9</v>
          </cell>
          <cell r="S183">
            <v>37.799999999999997</v>
          </cell>
          <cell r="T183">
            <v>42.718059512729333</v>
          </cell>
          <cell r="U183">
            <v>48.150859176054325</v>
          </cell>
          <cell r="V183">
            <v>12</v>
          </cell>
          <cell r="W183">
            <v>11</v>
          </cell>
          <cell r="X183">
            <v>20</v>
          </cell>
          <cell r="Y183">
            <v>24</v>
          </cell>
          <cell r="Z183">
            <v>26</v>
          </cell>
          <cell r="AA183">
            <v>25</v>
          </cell>
          <cell r="AB183">
            <v>33.200000000000003</v>
          </cell>
          <cell r="AC183">
            <v>53.207300921145901</v>
          </cell>
          <cell r="AD183">
            <v>50.446622174724205</v>
          </cell>
          <cell r="AE183">
            <v>43.941576294195613</v>
          </cell>
          <cell r="AF183">
            <v>10</v>
          </cell>
          <cell r="AG183">
            <v>23</v>
          </cell>
          <cell r="AH183">
            <v>20</v>
          </cell>
          <cell r="AI183">
            <v>31</v>
          </cell>
          <cell r="AJ183">
            <v>24</v>
          </cell>
          <cell r="AK183">
            <v>21</v>
          </cell>
          <cell r="AL183">
            <v>36.1</v>
          </cell>
          <cell r="AM183">
            <v>54.915030243777721</v>
          </cell>
          <cell r="AN183">
            <v>47.517119485571669</v>
          </cell>
        </row>
        <row r="184">
          <cell r="A184" t="str">
            <v xml:space="preserve">   Depreciation</v>
          </cell>
          <cell r="B184">
            <v>11</v>
          </cell>
          <cell r="C184">
            <v>11</v>
          </cell>
          <cell r="D184">
            <v>11</v>
          </cell>
          <cell r="E184">
            <v>11</v>
          </cell>
          <cell r="F184">
            <v>12</v>
          </cell>
          <cell r="G184">
            <v>12</v>
          </cell>
          <cell r="H184">
            <v>15</v>
          </cell>
          <cell r="I184">
            <v>14.4</v>
          </cell>
          <cell r="J184">
            <v>185.74517248296718</v>
          </cell>
          <cell r="K184">
            <v>171.75450497315089</v>
          </cell>
          <cell r="L184">
            <v>11</v>
          </cell>
          <cell r="M184">
            <v>10</v>
          </cell>
          <cell r="N184">
            <v>12</v>
          </cell>
          <cell r="O184">
            <v>12</v>
          </cell>
          <cell r="P184">
            <v>12</v>
          </cell>
          <cell r="Q184">
            <v>12</v>
          </cell>
          <cell r="R184">
            <v>14.3</v>
          </cell>
          <cell r="S184">
            <v>14.4</v>
          </cell>
          <cell r="T184">
            <v>166.1257869939474</v>
          </cell>
          <cell r="U184">
            <v>183.31116563515417</v>
          </cell>
          <cell r="V184">
            <v>12</v>
          </cell>
          <cell r="W184">
            <v>11</v>
          </cell>
          <cell r="X184">
            <v>11</v>
          </cell>
          <cell r="Y184">
            <v>12</v>
          </cell>
          <cell r="Z184">
            <v>12</v>
          </cell>
          <cell r="AA184">
            <v>12</v>
          </cell>
          <cell r="AB184">
            <v>14.5</v>
          </cell>
          <cell r="AC184">
            <v>124.44352198912637</v>
          </cell>
          <cell r="AD184">
            <v>132.26341276062146</v>
          </cell>
          <cell r="AE184">
            <v>159.71072922313405</v>
          </cell>
          <cell r="AF184">
            <v>9</v>
          </cell>
          <cell r="AG184">
            <v>11</v>
          </cell>
          <cell r="AH184">
            <v>11</v>
          </cell>
          <cell r="AI184">
            <v>11</v>
          </cell>
          <cell r="AJ184">
            <v>12</v>
          </cell>
          <cell r="AK184">
            <v>12</v>
          </cell>
          <cell r="AL184">
            <v>14.7</v>
          </cell>
          <cell r="AM184">
            <v>137.2875756094443</v>
          </cell>
          <cell r="AN184">
            <v>131.00514250694994</v>
          </cell>
        </row>
        <row r="185">
          <cell r="A185" t="str">
            <v xml:space="preserve">   Fuel and Utilities</v>
          </cell>
          <cell r="B185">
            <v>16</v>
          </cell>
          <cell r="C185">
            <v>13</v>
          </cell>
          <cell r="D185">
            <v>12</v>
          </cell>
          <cell r="E185">
            <v>11</v>
          </cell>
          <cell r="F185">
            <v>18</v>
          </cell>
          <cell r="G185">
            <v>18</v>
          </cell>
          <cell r="H185">
            <v>15.1</v>
          </cell>
          <cell r="I185">
            <v>22.2</v>
          </cell>
          <cell r="J185">
            <v>1114.0339874331371</v>
          </cell>
          <cell r="K185">
            <v>1120.8792251046148</v>
          </cell>
          <cell r="L185">
            <v>15</v>
          </cell>
          <cell r="M185">
            <v>12</v>
          </cell>
          <cell r="N185">
            <v>11</v>
          </cell>
          <cell r="O185">
            <v>11</v>
          </cell>
          <cell r="P185">
            <v>17</v>
          </cell>
          <cell r="Q185">
            <v>17</v>
          </cell>
          <cell r="R185">
            <v>16.399999999999999</v>
          </cell>
          <cell r="S185">
            <v>20.5</v>
          </cell>
          <cell r="T185">
            <v>996.75472196368446</v>
          </cell>
          <cell r="U185">
            <v>1127.7438070181145</v>
          </cell>
          <cell r="V185">
            <v>14</v>
          </cell>
          <cell r="W185">
            <v>12</v>
          </cell>
          <cell r="X185">
            <v>11</v>
          </cell>
          <cell r="Y185">
            <v>13</v>
          </cell>
          <cell r="Z185">
            <v>18</v>
          </cell>
          <cell r="AA185">
            <v>17</v>
          </cell>
          <cell r="AB185">
            <v>17.600000000000001</v>
          </cell>
          <cell r="AC185">
            <v>957.73141658062616</v>
          </cell>
          <cell r="AD185">
            <v>945.76818547739254</v>
          </cell>
          <cell r="AE185">
            <v>998.82583037960035</v>
          </cell>
          <cell r="AF185">
            <v>14</v>
          </cell>
          <cell r="AG185">
            <v>12</v>
          </cell>
          <cell r="AH185">
            <v>12</v>
          </cell>
          <cell r="AI185">
            <v>14</v>
          </cell>
          <cell r="AJ185">
            <v>19</v>
          </cell>
          <cell r="AK185">
            <v>14</v>
          </cell>
          <cell r="AL185">
            <v>19.3</v>
          </cell>
          <cell r="AM185">
            <v>1008.2759651316566</v>
          </cell>
          <cell r="AN185">
            <v>964.10903180538412</v>
          </cell>
        </row>
        <row r="186">
          <cell r="A186" t="str">
            <v xml:space="preserve">   Materials and Supplies</v>
          </cell>
          <cell r="B186">
            <v>13</v>
          </cell>
          <cell r="C186">
            <v>9</v>
          </cell>
          <cell r="D186">
            <v>11</v>
          </cell>
          <cell r="E186">
            <v>11</v>
          </cell>
          <cell r="F186">
            <v>11</v>
          </cell>
          <cell r="G186">
            <v>13</v>
          </cell>
          <cell r="H186">
            <v>12.2</v>
          </cell>
          <cell r="I186">
            <v>13.4</v>
          </cell>
          <cell r="L186">
            <v>14</v>
          </cell>
          <cell r="M186">
            <v>10</v>
          </cell>
          <cell r="N186">
            <v>11</v>
          </cell>
          <cell r="O186">
            <v>12</v>
          </cell>
          <cell r="P186">
            <v>12</v>
          </cell>
          <cell r="Q186">
            <v>12</v>
          </cell>
          <cell r="R186">
            <v>13.3</v>
          </cell>
          <cell r="S186">
            <v>15.1</v>
          </cell>
          <cell r="T186">
            <v>15.1</v>
          </cell>
          <cell r="V186">
            <v>19</v>
          </cell>
          <cell r="W186">
            <v>20</v>
          </cell>
          <cell r="X186">
            <v>12</v>
          </cell>
          <cell r="Y186">
            <v>13</v>
          </cell>
          <cell r="Z186">
            <v>12</v>
          </cell>
          <cell r="AA186">
            <v>12</v>
          </cell>
          <cell r="AB186">
            <v>13.9</v>
          </cell>
          <cell r="AC186">
            <v>13.9</v>
          </cell>
          <cell r="AF186">
            <v>17</v>
          </cell>
          <cell r="AG186">
            <v>12</v>
          </cell>
          <cell r="AH186">
            <v>15</v>
          </cell>
          <cell r="AI186">
            <v>13</v>
          </cell>
          <cell r="AJ186">
            <v>12</v>
          </cell>
          <cell r="AK186">
            <v>13</v>
          </cell>
          <cell r="AL186">
            <v>14.9</v>
          </cell>
          <cell r="AM186">
            <v>14.9</v>
          </cell>
        </row>
        <row r="187">
          <cell r="A187" t="str">
            <v xml:space="preserve">   Other</v>
          </cell>
          <cell r="B187">
            <v>39</v>
          </cell>
          <cell r="C187">
            <v>31</v>
          </cell>
          <cell r="D187">
            <v>34</v>
          </cell>
          <cell r="E187">
            <v>34</v>
          </cell>
          <cell r="F187">
            <v>39</v>
          </cell>
          <cell r="G187">
            <v>35</v>
          </cell>
          <cell r="H187">
            <v>34.1</v>
          </cell>
          <cell r="I187">
            <v>35.1</v>
          </cell>
          <cell r="L187">
            <v>37</v>
          </cell>
          <cell r="M187">
            <v>32</v>
          </cell>
          <cell r="N187">
            <v>35</v>
          </cell>
          <cell r="O187">
            <v>34</v>
          </cell>
          <cell r="P187">
            <v>36</v>
          </cell>
          <cell r="Q187">
            <v>34</v>
          </cell>
          <cell r="R187">
            <v>33.200000000000003</v>
          </cell>
          <cell r="S187">
            <v>42.3</v>
          </cell>
          <cell r="T187">
            <v>42.3</v>
          </cell>
          <cell r="V187">
            <v>34</v>
          </cell>
          <cell r="W187">
            <v>33</v>
          </cell>
          <cell r="X187">
            <v>36</v>
          </cell>
          <cell r="Y187">
            <v>38</v>
          </cell>
          <cell r="Z187">
            <v>35</v>
          </cell>
          <cell r="AA187">
            <v>35</v>
          </cell>
          <cell r="AB187">
            <v>38.6</v>
          </cell>
          <cell r="AC187">
            <v>38.6</v>
          </cell>
          <cell r="AF187">
            <v>33</v>
          </cell>
          <cell r="AG187">
            <v>38</v>
          </cell>
          <cell r="AH187">
            <v>36</v>
          </cell>
          <cell r="AI187">
            <v>46</v>
          </cell>
          <cell r="AJ187">
            <v>35</v>
          </cell>
          <cell r="AK187">
            <v>34</v>
          </cell>
          <cell r="AL187">
            <v>41.1</v>
          </cell>
          <cell r="AM187">
            <v>41.1</v>
          </cell>
        </row>
        <row r="188">
          <cell r="A188" t="str">
            <v>Total Operating Expense</v>
          </cell>
          <cell r="B188">
            <v>275</v>
          </cell>
          <cell r="C188">
            <v>214</v>
          </cell>
          <cell r="D188">
            <v>244</v>
          </cell>
          <cell r="E188">
            <v>243</v>
          </cell>
          <cell r="F188">
            <v>268</v>
          </cell>
          <cell r="G188">
            <v>271</v>
          </cell>
          <cell r="H188">
            <v>298.3</v>
          </cell>
          <cell r="I188">
            <v>328.59999999999997</v>
          </cell>
          <cell r="J188">
            <v>5.5964050260015608E-3</v>
          </cell>
          <cell r="K188">
            <v>5.937428951180479E-2</v>
          </cell>
          <cell r="L188">
            <v>269</v>
          </cell>
          <cell r="M188">
            <v>227</v>
          </cell>
          <cell r="N188">
            <v>249</v>
          </cell>
          <cell r="O188">
            <v>258</v>
          </cell>
          <cell r="P188">
            <v>266</v>
          </cell>
          <cell r="Q188">
            <v>274</v>
          </cell>
          <cell r="R188">
            <v>313.40000000000003</v>
          </cell>
          <cell r="S188">
            <v>351</v>
          </cell>
          <cell r="T188">
            <v>4.6746320017489795E-2</v>
          </cell>
          <cell r="U188">
            <v>7.7574242770150903E-2</v>
          </cell>
          <cell r="V188">
            <v>243</v>
          </cell>
          <cell r="W188">
            <v>236</v>
          </cell>
          <cell r="X188">
            <v>245</v>
          </cell>
          <cell r="Y188">
            <v>269</v>
          </cell>
          <cell r="Z188">
            <v>267</v>
          </cell>
          <cell r="AA188">
            <v>274</v>
          </cell>
          <cell r="AB188">
            <v>324</v>
          </cell>
          <cell r="AC188">
            <v>6.0513292032329247E-3</v>
          </cell>
          <cell r="AD188">
            <v>-4.3606467095558266E-5</v>
          </cell>
          <cell r="AE188">
            <v>5.958600776021683E-2</v>
          </cell>
          <cell r="AF188">
            <v>222</v>
          </cell>
          <cell r="AG188">
            <v>239</v>
          </cell>
          <cell r="AH188">
            <v>242</v>
          </cell>
          <cell r="AI188">
            <v>272</v>
          </cell>
          <cell r="AJ188">
            <v>258</v>
          </cell>
          <cell r="AK188">
            <v>260</v>
          </cell>
          <cell r="AL188">
            <v>329.5</v>
          </cell>
          <cell r="AM188">
            <v>-1.6400959657754677E-2</v>
          </cell>
          <cell r="AN188">
            <v>1.0210026792264459E-2</v>
          </cell>
        </row>
        <row r="189">
          <cell r="A189" t="str">
            <v xml:space="preserve">   Rent Expense</v>
          </cell>
          <cell r="C189">
            <v>5.4642347794352952E-2</v>
          </cell>
          <cell r="D189">
            <v>0.25812696842982086</v>
          </cell>
          <cell r="E189">
            <v>-0.17710093441057895</v>
          </cell>
          <cell r="F189">
            <v>-0.12114012129184459</v>
          </cell>
          <cell r="G189">
            <v>4.8811221996907461E-2</v>
          </cell>
          <cell r="H189">
            <v>2.6556586910695401E-2</v>
          </cell>
          <cell r="I189">
            <v>-2.3016491970023201E-2</v>
          </cell>
          <cell r="J189">
            <v>1.1429576476616798E-2</v>
          </cell>
          <cell r="K189">
            <v>3.0876335198642302E-2</v>
          </cell>
          <cell r="M189" t="e">
            <v>#DIV/0!</v>
          </cell>
          <cell r="N189">
            <v>8.8558806487747832E-2</v>
          </cell>
          <cell r="O189">
            <v>0.24497117033193794</v>
          </cell>
          <cell r="P189">
            <v>-0.18019450152019678</v>
          </cell>
          <cell r="Q189">
            <v>-6.3914388206817496E-2</v>
          </cell>
          <cell r="R189">
            <v>3.4514337102730108E-2</v>
          </cell>
          <cell r="S189">
            <v>-4.6513588519160431E-2</v>
          </cell>
          <cell r="T189">
            <v>-2.8728110770085857E-2</v>
          </cell>
          <cell r="U189">
            <v>0.18909122470548079</v>
          </cell>
          <cell r="V189">
            <v>6.2502718863146622E-3</v>
          </cell>
          <cell r="W189" t="e">
            <v>#DIV/0!</v>
          </cell>
          <cell r="X189" t="e">
            <v>#DIV/0!</v>
          </cell>
          <cell r="Y189">
            <v>0.17500856929491126</v>
          </cell>
          <cell r="Z189">
            <v>6.726542057082141E-2</v>
          </cell>
          <cell r="AA189">
            <v>-0.11430604244366327</v>
          </cell>
          <cell r="AB189">
            <v>-1.3495686492519532E-2</v>
          </cell>
          <cell r="AC189">
            <v>-5.0444926664028888E-2</v>
          </cell>
          <cell r="AD189">
            <v>-7.6886034750686116E-3</v>
          </cell>
          <cell r="AE189">
            <v>-2.8549231474078174E-2</v>
          </cell>
          <cell r="AF189">
            <v>0.12970005187798095</v>
          </cell>
          <cell r="AG189">
            <v>1.5415626963889206E-2</v>
          </cell>
          <cell r="AH189" t="e">
            <v>#DIV/0!</v>
          </cell>
          <cell r="AI189" t="e">
            <v>#DIV/0!</v>
          </cell>
          <cell r="AJ189">
            <v>0.36571731804444707</v>
          </cell>
          <cell r="AK189">
            <v>-0.17313394610393595</v>
          </cell>
          <cell r="AL189">
            <v>-9.6797120210363685E-2</v>
          </cell>
          <cell r="AM189">
            <v>-2.5222306375558001E-2</v>
          </cell>
          <cell r="AN189">
            <v>-1.3414038422254193E-2</v>
          </cell>
        </row>
        <row r="190">
          <cell r="A190" t="str">
            <v>Operating Income</v>
          </cell>
          <cell r="B190">
            <v>-20</v>
          </cell>
          <cell r="C190">
            <v>0</v>
          </cell>
          <cell r="D190">
            <v>13</v>
          </cell>
          <cell r="E190">
            <v>10</v>
          </cell>
          <cell r="F190">
            <v>1</v>
          </cell>
          <cell r="G190">
            <v>9</v>
          </cell>
          <cell r="H190">
            <v>10.5</v>
          </cell>
          <cell r="I190">
            <v>12.600000000000023</v>
          </cell>
          <cell r="J190">
            <v>-4.4639107857394333E-2</v>
          </cell>
          <cell r="K190">
            <v>2.5169686907794642E-2</v>
          </cell>
          <cell r="L190">
            <v>-12</v>
          </cell>
          <cell r="M190">
            <v>10</v>
          </cell>
          <cell r="N190">
            <v>13</v>
          </cell>
          <cell r="O190">
            <v>15</v>
          </cell>
          <cell r="P190">
            <v>17</v>
          </cell>
          <cell r="Q190">
            <v>16</v>
          </cell>
          <cell r="R190">
            <v>18.299999999999955</v>
          </cell>
          <cell r="S190">
            <v>21</v>
          </cell>
          <cell r="T190">
            <v>-0.11196566038916977</v>
          </cell>
          <cell r="U190">
            <v>7.1721925125440622E-2</v>
          </cell>
          <cell r="V190">
            <v>-9</v>
          </cell>
          <cell r="W190">
            <v>14</v>
          </cell>
          <cell r="X190">
            <v>12</v>
          </cell>
          <cell r="Y190">
            <v>8</v>
          </cell>
          <cell r="Z190">
            <v>20</v>
          </cell>
          <cell r="AA190">
            <v>18</v>
          </cell>
          <cell r="AB190">
            <v>25.600000000000023</v>
          </cell>
          <cell r="AC190">
            <v>3.4176744032495154E-2</v>
          </cell>
          <cell r="AD190">
            <v>-8.4063694038389869E-3</v>
          </cell>
          <cell r="AE190">
            <v>-7.5991564731364147E-2</v>
          </cell>
          <cell r="AF190">
            <v>-7</v>
          </cell>
          <cell r="AG190">
            <v>6</v>
          </cell>
          <cell r="AH190">
            <v>16</v>
          </cell>
          <cell r="AI190">
            <v>-13</v>
          </cell>
          <cell r="AJ190">
            <v>16</v>
          </cell>
          <cell r="AK190">
            <v>11</v>
          </cell>
          <cell r="AL190">
            <v>16.800000000000011</v>
          </cell>
          <cell r="AM190">
            <v>4.4439910351752321E-2</v>
          </cell>
          <cell r="AN190">
            <v>1.1428054135458998E-2</v>
          </cell>
        </row>
        <row r="191">
          <cell r="A191" t="str">
            <v xml:space="preserve">      Year-Over-Year Growth</v>
          </cell>
          <cell r="C191" t="str">
            <v>NM</v>
          </cell>
          <cell r="D191" t="str">
            <v>NM</v>
          </cell>
          <cell r="E191">
            <v>-0.23076923076923073</v>
          </cell>
          <cell r="F191">
            <v>-0.9</v>
          </cell>
          <cell r="G191">
            <v>8</v>
          </cell>
          <cell r="H191">
            <v>0.16666666666666674</v>
          </cell>
          <cell r="I191">
            <v>0.20000000000000218</v>
          </cell>
          <cell r="J191">
            <v>6.6935886845391757E-2</v>
          </cell>
          <cell r="K191">
            <v>-6.2736559591505703E-2</v>
          </cell>
          <cell r="M191">
            <v>-1.8333333333333335</v>
          </cell>
          <cell r="N191">
            <v>0.30000000000000004</v>
          </cell>
          <cell r="O191">
            <v>0.15384615384615374</v>
          </cell>
          <cell r="P191">
            <v>0.1333333333333333</v>
          </cell>
          <cell r="Q191">
            <v>-5.8823529411764719E-2</v>
          </cell>
          <cell r="R191">
            <v>0.14374999999999716</v>
          </cell>
          <cell r="S191">
            <v>0.14754098360656021</v>
          </cell>
          <cell r="T191">
            <v>0.14754098360656021</v>
          </cell>
          <cell r="U191">
            <v>0.34473342462430634</v>
          </cell>
          <cell r="V191">
            <v>0.16379310344827624</v>
          </cell>
          <cell r="W191">
            <v>-2.5555555555555554</v>
          </cell>
          <cell r="X191">
            <v>-0.1428571428571429</v>
          </cell>
          <cell r="Y191">
            <v>-0.33333333333333337</v>
          </cell>
          <cell r="Z191">
            <v>1.5</v>
          </cell>
          <cell r="AA191">
            <v>-9.9999999999999978E-2</v>
          </cell>
          <cell r="AB191">
            <v>0.42222222222222339</v>
          </cell>
          <cell r="AC191">
            <v>-7.4838974050408735E-2</v>
          </cell>
          <cell r="AD191">
            <v>-0.12763266609130663</v>
          </cell>
          <cell r="AE191">
            <v>0.20685996680621366</v>
          </cell>
          <cell r="AF191">
            <v>0.38966639969428085</v>
          </cell>
          <cell r="AG191">
            <v>-1.8571428571428572</v>
          </cell>
          <cell r="AH191">
            <v>1.6666666666666665</v>
          </cell>
          <cell r="AI191">
            <v>-1.8125</v>
          </cell>
          <cell r="AJ191">
            <v>-2.2307692307692308</v>
          </cell>
          <cell r="AK191">
            <v>-0.3125</v>
          </cell>
          <cell r="AL191">
            <v>0.52727272727272823</v>
          </cell>
          <cell r="AM191">
            <v>0.71201622014380117</v>
          </cell>
          <cell r="AN191">
            <v>-0.21697936289178321</v>
          </cell>
        </row>
        <row r="192">
          <cell r="A192" t="str">
            <v>Operating Ratio</v>
          </cell>
          <cell r="B192">
            <v>1.0784313725490196</v>
          </cell>
          <cell r="C192">
            <v>1</v>
          </cell>
          <cell r="D192">
            <v>0.94941634241245132</v>
          </cell>
          <cell r="E192">
            <v>0.96047430830039526</v>
          </cell>
          <cell r="F192">
            <v>0.99628252788104088</v>
          </cell>
          <cell r="G192">
            <v>0.96785714285714286</v>
          </cell>
          <cell r="H192">
            <v>0.96599740932642486</v>
          </cell>
          <cell r="I192">
            <v>0.96307151230949584</v>
          </cell>
          <cell r="J192">
            <v>-1.0934161540926968E-2</v>
          </cell>
          <cell r="K192">
            <v>8.417026787479065E-2</v>
          </cell>
          <cell r="L192">
            <v>1.0466926070038911</v>
          </cell>
          <cell r="M192">
            <v>0.95780590717299574</v>
          </cell>
          <cell r="N192">
            <v>0.95038167938931295</v>
          </cell>
          <cell r="O192">
            <v>0.94505494505494503</v>
          </cell>
          <cell r="P192">
            <v>0.93992932862190814</v>
          </cell>
          <cell r="Q192">
            <v>0.94482758620689655</v>
          </cell>
          <cell r="R192">
            <v>0.94482966536026547</v>
          </cell>
          <cell r="S192">
            <v>0.94354838709677424</v>
          </cell>
          <cell r="T192">
            <v>0.12497070095037155</v>
          </cell>
          <cell r="U192">
            <v>6.7737474304156997E-2</v>
          </cell>
          <cell r="V192">
            <v>1.0384615384615385</v>
          </cell>
          <cell r="W192">
            <v>0.94399999999999995</v>
          </cell>
          <cell r="X192">
            <v>0.953307392996109</v>
          </cell>
          <cell r="Y192">
            <v>0.97111913357400725</v>
          </cell>
          <cell r="Z192">
            <v>0.93031358885017423</v>
          </cell>
          <cell r="AA192">
            <v>0.93835616438356162</v>
          </cell>
          <cell r="AB192">
            <v>0.92677345537757427</v>
          </cell>
          <cell r="AC192">
            <v>-4.3750668144930671E-3</v>
          </cell>
          <cell r="AD192">
            <v>3.9625625976687839E-2</v>
          </cell>
          <cell r="AE192">
            <v>1.9216964417077209E-2</v>
          </cell>
          <cell r="AF192">
            <v>1.0325581395348837</v>
          </cell>
          <cell r="AG192">
            <v>0.97551020408163269</v>
          </cell>
          <cell r="AH192">
            <v>0.93798449612403101</v>
          </cell>
          <cell r="AI192">
            <v>1.0501930501930501</v>
          </cell>
          <cell r="AJ192">
            <v>0.94160583941605835</v>
          </cell>
          <cell r="AK192">
            <v>0.95940959409594095</v>
          </cell>
          <cell r="AL192">
            <v>0.95148714987005478</v>
          </cell>
          <cell r="AM192">
            <v>0.37108158154262894</v>
          </cell>
          <cell r="AN192">
            <v>-0.1089742654444954</v>
          </cell>
        </row>
        <row r="193">
          <cell r="A193" t="str">
            <v xml:space="preserve">   Total Fuel &amp; Utilities Expense</v>
          </cell>
          <cell r="C193">
            <v>0.24990277903085256</v>
          </cell>
          <cell r="D193">
            <v>-0.18380940658189571</v>
          </cell>
          <cell r="E193">
            <v>-0.19391943802115508</v>
          </cell>
          <cell r="F193">
            <v>0.55070341343016471</v>
          </cell>
          <cell r="G193">
            <v>0.1371575731110759</v>
          </cell>
          <cell r="H193">
            <v>-0.32602037600174627</v>
          </cell>
          <cell r="I193">
            <v>0.55308862179733098</v>
          </cell>
          <cell r="J193">
            <v>5.9635569809174394E-2</v>
          </cell>
          <cell r="K193">
            <v>-5.495291263599833E-2</v>
          </cell>
          <cell r="M193" t="e">
            <v>#DIV/0!</v>
          </cell>
          <cell r="N193">
            <v>-1.1347582278894541E-2</v>
          </cell>
          <cell r="O193">
            <v>-0.11706972279708316</v>
          </cell>
          <cell r="P193">
            <v>-0.10715592060965928</v>
          </cell>
          <cell r="Q193">
            <v>0.46999450825462841</v>
          </cell>
          <cell r="R193">
            <v>9.2728548786401133E-2</v>
          </cell>
          <cell r="S193">
            <v>-0.20652741037547484</v>
          </cell>
          <cell r="T193">
            <v>0.20988195717906422</v>
          </cell>
          <cell r="U193">
            <v>0.3182858855906423</v>
          </cell>
          <cell r="V193">
            <v>0.15389082623990613</v>
          </cell>
          <cell r="W193" t="e">
            <v>#DIV/0!</v>
          </cell>
          <cell r="X193" t="e">
            <v>#DIV/0!</v>
          </cell>
          <cell r="Y193">
            <v>-4.3715074520409569E-3</v>
          </cell>
          <cell r="Z193">
            <v>-9.107720281653886E-2</v>
          </cell>
          <cell r="AA193">
            <v>-5.2201351805774343E-2</v>
          </cell>
          <cell r="AB193">
            <v>0.57146667026065989</v>
          </cell>
          <cell r="AC193">
            <v>-6.9003006273200995E-2</v>
          </cell>
          <cell r="AD193">
            <v>-0.11281836022242697</v>
          </cell>
          <cell r="AE193">
            <v>0.18738438442828009</v>
          </cell>
          <cell r="AF193">
            <v>0.3671285373574209</v>
          </cell>
          <cell r="AG193">
            <v>6.2099837601100827E-2</v>
          </cell>
          <cell r="AH193" t="e">
            <v>#DIV/0!</v>
          </cell>
          <cell r="AI193" t="e">
            <v>#DIV/0!</v>
          </cell>
          <cell r="AJ193">
            <v>-3.132363435046337E-2</v>
          </cell>
          <cell r="AK193">
            <v>-0.18603233596427549</v>
          </cell>
          <cell r="AL193">
            <v>4.2047514403762642E-2</v>
          </cell>
          <cell r="AM193">
            <v>0.67744703353214741</v>
          </cell>
          <cell r="AN193">
            <v>-0.20802825550060389</v>
          </cell>
        </row>
        <row r="194">
          <cell r="A194" t="str">
            <v>Tonnage</v>
          </cell>
          <cell r="C194">
            <v>6.6753401767350562E-2</v>
          </cell>
          <cell r="D194">
            <v>-1.3853257215349468E-2</v>
          </cell>
          <cell r="E194">
            <v>-5.3534621047311437E-2</v>
          </cell>
          <cell r="F194">
            <v>2.7063950848945417E-2</v>
          </cell>
          <cell r="G194">
            <v>-0.13314921982005556</v>
          </cell>
          <cell r="H194">
            <v>-3.9216489443900326E-2</v>
          </cell>
          <cell r="I194">
            <v>-0.15493921839422564</v>
          </cell>
          <cell r="J194">
            <v>0.14503161280999377</v>
          </cell>
          <cell r="K194">
            <v>6.5008724914558336E-2</v>
          </cell>
          <cell r="M194" t="e">
            <v>#DIV/0!</v>
          </cell>
          <cell r="N194">
            <v>-9.8344203093336469E-2</v>
          </cell>
          <cell r="O194">
            <v>0.21373595821724312</v>
          </cell>
          <cell r="P194">
            <v>-6.2730132211062717E-2</v>
          </cell>
          <cell r="Q194">
            <v>1.4149196319550583E-2</v>
          </cell>
          <cell r="R194">
            <v>-6.4591464335453486E-2</v>
          </cell>
          <cell r="S194">
            <v>-0.1067756800952735</v>
          </cell>
          <cell r="T194">
            <v>-0.20493899472755595</v>
          </cell>
          <cell r="U194">
            <v>0.12717805362170309</v>
          </cell>
          <cell r="V194">
            <v>-5.2935908819312649E-3</v>
          </cell>
          <cell r="W194" t="e">
            <v>#DIV/0!</v>
          </cell>
          <cell r="X194" t="e">
            <v>#DIV/0!</v>
          </cell>
          <cell r="Y194">
            <v>-7.4043175476931067E-2</v>
          </cell>
          <cell r="Z194">
            <v>0.1920482175408631</v>
          </cell>
          <cell r="AA194">
            <v>-4.5693393770300572E-2</v>
          </cell>
          <cell r="AB194">
            <v>-4.0730468153768906E-2</v>
          </cell>
          <cell r="AC194">
            <v>-0.10288969575563534</v>
          </cell>
          <cell r="AD194">
            <v>-5.1885337136590826E-2</v>
          </cell>
          <cell r="AE194">
            <v>-0.12894908717570952</v>
          </cell>
          <cell r="AF194">
            <v>0.15302067441783485</v>
          </cell>
          <cell r="AG194">
            <v>2.5968102009913174E-2</v>
          </cell>
          <cell r="AH194" t="e">
            <v>#DIV/0!</v>
          </cell>
          <cell r="AI194" t="e">
            <v>#DIV/0!</v>
          </cell>
          <cell r="AJ194">
            <v>0.16336835617761625</v>
          </cell>
          <cell r="AK194">
            <v>-0.12810470557696751</v>
          </cell>
          <cell r="AL194">
            <v>9.7598526799526963E-2</v>
          </cell>
          <cell r="AM194">
            <v>-0.1264753684822667</v>
          </cell>
          <cell r="AN194">
            <v>-0.13471559107525555</v>
          </cell>
        </row>
        <row r="195">
          <cell r="A195" t="str">
            <v>LTL Weight Hauled (lbs. in MM)</v>
          </cell>
          <cell r="B195">
            <v>2310</v>
          </cell>
          <cell r="C195">
            <v>1745</v>
          </cell>
          <cell r="D195">
            <v>2004</v>
          </cell>
          <cell r="E195">
            <v>1942</v>
          </cell>
          <cell r="F195">
            <v>1856</v>
          </cell>
          <cell r="G195">
            <v>1840</v>
          </cell>
          <cell r="H195">
            <v>2022</v>
          </cell>
          <cell r="I195">
            <v>2131</v>
          </cell>
          <cell r="J195">
            <v>0.11953361142583474</v>
          </cell>
          <cell r="K195">
            <v>-1.5862508841122613E-2</v>
          </cell>
          <cell r="L195">
            <v>2324</v>
          </cell>
          <cell r="M195">
            <v>1960</v>
          </cell>
          <cell r="N195">
            <v>2018</v>
          </cell>
          <cell r="O195">
            <v>2090</v>
          </cell>
          <cell r="P195">
            <v>1927</v>
          </cell>
          <cell r="Q195">
            <v>1917</v>
          </cell>
          <cell r="R195">
            <v>2222</v>
          </cell>
          <cell r="S195">
            <v>2344</v>
          </cell>
          <cell r="T195">
            <v>0.14075557459889243</v>
          </cell>
          <cell r="U195">
            <v>0.10344798933493027</v>
          </cell>
          <cell r="V195">
            <v>2089</v>
          </cell>
          <cell r="W195">
            <v>2008</v>
          </cell>
          <cell r="X195">
            <v>2005</v>
          </cell>
          <cell r="Y195">
            <v>2080</v>
          </cell>
          <cell r="Z195">
            <v>1905</v>
          </cell>
          <cell r="AA195">
            <v>1898</v>
          </cell>
          <cell r="AB195">
            <v>2273</v>
          </cell>
          <cell r="AC195">
            <v>2.6457619054554682E-2</v>
          </cell>
          <cell r="AD195">
            <v>6.2838873783870985E-2</v>
          </cell>
          <cell r="AE195">
            <v>0.2075200986397383</v>
          </cell>
          <cell r="AF195">
            <v>1858</v>
          </cell>
          <cell r="AG195">
            <v>1969</v>
          </cell>
          <cell r="AH195">
            <v>1938</v>
          </cell>
          <cell r="AI195">
            <v>1837</v>
          </cell>
          <cell r="AJ195">
            <v>1821</v>
          </cell>
          <cell r="AK195">
            <v>1792</v>
          </cell>
          <cell r="AL195">
            <v>2176</v>
          </cell>
          <cell r="AM195">
            <v>6.5839072939409382E-2</v>
          </cell>
          <cell r="AN195">
            <v>-4.5761119129721028E-2</v>
          </cell>
        </row>
        <row r="196">
          <cell r="A196" t="str">
            <v xml:space="preserve">      Year-Over-Year Growth</v>
          </cell>
          <cell r="C196">
            <v>-0.24458874458874458</v>
          </cell>
          <cell r="D196">
            <v>0.14842406876790837</v>
          </cell>
          <cell r="E196">
            <v>-3.093812375249505E-2</v>
          </cell>
          <cell r="F196">
            <v>-4.4284243048403726E-2</v>
          </cell>
          <cell r="G196">
            <v>-8.6206896551723755E-3</v>
          </cell>
          <cell r="H196">
            <v>9.8913043478260798E-2</v>
          </cell>
          <cell r="I196">
            <v>5.3907022749752675E-2</v>
          </cell>
          <cell r="J196">
            <v>3.2137905296999891E-2</v>
          </cell>
          <cell r="K196">
            <v>6.1445501202794794E-3</v>
          </cell>
          <cell r="M196">
            <v>-0.15662650602409633</v>
          </cell>
          <cell r="N196">
            <v>2.9591836734693899E-2</v>
          </cell>
          <cell r="O196">
            <v>3.567888999008928E-2</v>
          </cell>
          <cell r="P196">
            <v>-7.799043062200961E-2</v>
          </cell>
          <cell r="Q196">
            <v>-5.1894135962635701E-3</v>
          </cell>
          <cell r="R196">
            <v>0.15910276473656748</v>
          </cell>
          <cell r="S196">
            <v>5.4905490549054914E-2</v>
          </cell>
          <cell r="T196">
            <v>5.4905490549054914E-2</v>
          </cell>
          <cell r="U196">
            <v>0.13141556510148389</v>
          </cell>
          <cell r="V196">
            <v>2.1973720947890074E-2</v>
          </cell>
          <cell r="W196">
            <v>-3.8774533269506972E-2</v>
          </cell>
          <cell r="X196">
            <v>-1.4940239043824688E-3</v>
          </cell>
          <cell r="Y196">
            <v>3.7406483790523692E-2</v>
          </cell>
          <cell r="Z196">
            <v>-8.4134615384615419E-2</v>
          </cell>
          <cell r="AA196">
            <v>-3.6745406824146842E-3</v>
          </cell>
          <cell r="AB196">
            <v>0.19757639620653311</v>
          </cell>
          <cell r="AC196">
            <v>-1.3863482357339585E-2</v>
          </cell>
          <cell r="AD196">
            <v>-1.2491217157672208E-2</v>
          </cell>
          <cell r="AE196">
            <v>5.6100052546624868E-2</v>
          </cell>
          <cell r="AF196">
            <v>0.10514205941121935</v>
          </cell>
          <cell r="AG196">
            <v>5.9741657696447792E-2</v>
          </cell>
          <cell r="AH196">
            <v>-1.5744032503809069E-2</v>
          </cell>
          <cell r="AI196">
            <v>-5.211558307533537E-2</v>
          </cell>
          <cell r="AJ196">
            <v>-8.7098530212302849E-3</v>
          </cell>
          <cell r="AK196">
            <v>-1.5925315760571102E-2</v>
          </cell>
          <cell r="AL196">
            <v>0.21428571428571419</v>
          </cell>
          <cell r="AM196">
            <v>6.5757041147449069E-2</v>
          </cell>
          <cell r="AN196">
            <v>-4.3804409560139868E-2</v>
          </cell>
        </row>
        <row r="197">
          <cell r="A197" t="str">
            <v>Other Weight Hauled (lbs. in MM)</v>
          </cell>
          <cell r="B197">
            <v>291</v>
          </cell>
          <cell r="C197">
            <v>135</v>
          </cell>
          <cell r="D197">
            <v>484</v>
          </cell>
          <cell r="E197">
            <v>108</v>
          </cell>
          <cell r="F197">
            <v>122</v>
          </cell>
          <cell r="G197">
            <v>124</v>
          </cell>
          <cell r="H197">
            <v>194</v>
          </cell>
          <cell r="I197">
            <v>210</v>
          </cell>
          <cell r="L197">
            <v>260</v>
          </cell>
          <cell r="M197">
            <v>59</v>
          </cell>
          <cell r="N197">
            <v>110</v>
          </cell>
          <cell r="O197">
            <v>106</v>
          </cell>
          <cell r="P197">
            <v>135</v>
          </cell>
          <cell r="Q197">
            <v>119</v>
          </cell>
          <cell r="R197">
            <v>215</v>
          </cell>
          <cell r="S197">
            <v>190</v>
          </cell>
          <cell r="T197">
            <v>190</v>
          </cell>
          <cell r="V197">
            <v>173</v>
          </cell>
          <cell r="W197">
            <v>133</v>
          </cell>
          <cell r="X197">
            <v>111</v>
          </cell>
          <cell r="Y197">
            <v>117</v>
          </cell>
          <cell r="Z197">
            <v>133</v>
          </cell>
          <cell r="AA197">
            <v>117</v>
          </cell>
          <cell r="AB197">
            <v>220</v>
          </cell>
          <cell r="AC197">
            <v>220</v>
          </cell>
          <cell r="AF197">
            <v>147</v>
          </cell>
          <cell r="AG197">
            <v>140</v>
          </cell>
          <cell r="AH197">
            <v>116</v>
          </cell>
          <cell r="AI197">
            <v>109</v>
          </cell>
          <cell r="AJ197">
            <v>133</v>
          </cell>
          <cell r="AK197">
            <v>113</v>
          </cell>
          <cell r="AL197">
            <v>210</v>
          </cell>
          <cell r="AM197">
            <v>210</v>
          </cell>
        </row>
        <row r="198">
          <cell r="A198" t="str">
            <v>Total Weight Hauled (lbs. in MM)</v>
          </cell>
          <cell r="B198">
            <v>2601</v>
          </cell>
          <cell r="C198">
            <v>1880</v>
          </cell>
          <cell r="D198">
            <v>2488</v>
          </cell>
          <cell r="E198">
            <v>2050</v>
          </cell>
          <cell r="F198">
            <v>1978</v>
          </cell>
          <cell r="G198">
            <v>1964</v>
          </cell>
          <cell r="H198">
            <v>2216</v>
          </cell>
          <cell r="I198">
            <v>2341</v>
          </cell>
          <cell r="L198">
            <v>2584</v>
          </cell>
          <cell r="M198">
            <v>2019</v>
          </cell>
          <cell r="N198">
            <v>2128</v>
          </cell>
          <cell r="O198">
            <v>2196</v>
          </cell>
          <cell r="P198">
            <v>2062</v>
          </cell>
          <cell r="Q198">
            <v>2036</v>
          </cell>
          <cell r="R198">
            <v>2437</v>
          </cell>
          <cell r="S198">
            <v>2534</v>
          </cell>
          <cell r="T198">
            <v>2534</v>
          </cell>
          <cell r="V198">
            <v>2262</v>
          </cell>
          <cell r="W198">
            <v>2141</v>
          </cell>
          <cell r="X198">
            <v>2116</v>
          </cell>
          <cell r="Y198">
            <v>2197</v>
          </cell>
          <cell r="Z198">
            <v>2038</v>
          </cell>
          <cell r="AA198">
            <v>2015</v>
          </cell>
          <cell r="AB198">
            <v>2493</v>
          </cell>
          <cell r="AC198">
            <v>2493</v>
          </cell>
          <cell r="AF198">
            <v>2005</v>
          </cell>
          <cell r="AG198">
            <v>2109</v>
          </cell>
          <cell r="AH198">
            <v>2054</v>
          </cell>
          <cell r="AI198">
            <v>1946</v>
          </cell>
          <cell r="AJ198">
            <v>1954</v>
          </cell>
          <cell r="AK198">
            <v>1905</v>
          </cell>
          <cell r="AL198">
            <v>2386</v>
          </cell>
          <cell r="AM198">
            <v>2386</v>
          </cell>
        </row>
        <row r="199">
          <cell r="A199" t="str">
            <v xml:space="preserve">      Year-Over-Year Growth</v>
          </cell>
          <cell r="C199">
            <v>-0.27720107650903503</v>
          </cell>
          <cell r="D199">
            <v>0.32340425531914896</v>
          </cell>
          <cell r="E199">
            <v>-0.17604501607717038</v>
          </cell>
          <cell r="F199">
            <v>-3.5121951219512226E-2</v>
          </cell>
          <cell r="G199">
            <v>-7.0778564206268602E-3</v>
          </cell>
          <cell r="H199">
            <v>0.12830957230142559</v>
          </cell>
          <cell r="I199">
            <v>5.6407942238267061E-2</v>
          </cell>
          <cell r="N199">
            <v>5.3987122337791016E-2</v>
          </cell>
          <cell r="O199">
            <v>3.1954887218045069E-2</v>
          </cell>
          <cell r="P199">
            <v>-6.1020036429872526E-2</v>
          </cell>
          <cell r="Q199">
            <v>-1.2609117361784716E-2</v>
          </cell>
          <cell r="R199">
            <v>0.19695481335952847</v>
          </cell>
          <cell r="S199">
            <v>3.9803036520311919E-2</v>
          </cell>
          <cell r="T199">
            <v>3.9803036520311919E-2</v>
          </cell>
          <cell r="W199">
            <v>-5.349248452696731E-2</v>
          </cell>
          <cell r="X199">
            <v>-1.1676786548341922E-2</v>
          </cell>
          <cell r="Y199">
            <v>3.8279773156899788E-2</v>
          </cell>
          <cell r="Z199">
            <v>-7.2371415566681807E-2</v>
          </cell>
          <cell r="AA199">
            <v>-1.1285574092247286E-2</v>
          </cell>
          <cell r="AB199">
            <v>0.23722084367245655</v>
          </cell>
          <cell r="AC199">
            <v>0.23722084367245655</v>
          </cell>
          <cell r="AG199">
            <v>5.1870324189526196E-2</v>
          </cell>
          <cell r="AH199">
            <v>-2.6078710289236584E-2</v>
          </cell>
          <cell r="AI199">
            <v>-5.2580331061343744E-2</v>
          </cell>
          <cell r="AJ199">
            <v>4.1109969167523186E-3</v>
          </cell>
          <cell r="AK199">
            <v>-2.5076765609007179E-2</v>
          </cell>
          <cell r="AL199">
            <v>0.25249343832020998</v>
          </cell>
          <cell r="AM199">
            <v>0.25249343832020998</v>
          </cell>
        </row>
        <row r="200">
          <cell r="A200" t="str">
            <v>Yield</v>
          </cell>
          <cell r="D200" t="str">
            <v>1Q:98</v>
          </cell>
          <cell r="E200" t="str">
            <v>1Q:99</v>
          </cell>
          <cell r="F200" t="str">
            <v>1Q:00</v>
          </cell>
          <cell r="G200" t="str">
            <v>1Q:01</v>
          </cell>
          <cell r="H200" t="str">
            <v>1Q02</v>
          </cell>
          <cell r="I200" t="str">
            <v>1Q03</v>
          </cell>
          <cell r="J200" t="str">
            <v>1Q:04</v>
          </cell>
          <cell r="K200" t="str">
            <v>1Q:04E</v>
          </cell>
          <cell r="M200" t="str">
            <v>2Q:96</v>
          </cell>
          <cell r="N200" t="str">
            <v>2Q:97</v>
          </cell>
          <cell r="O200" t="str">
            <v>2Q:98</v>
          </cell>
          <cell r="P200" t="str">
            <v>2Q:99</v>
          </cell>
          <cell r="Q200" t="str">
            <v>2Q:00</v>
          </cell>
          <cell r="R200" t="str">
            <v>2Q:01</v>
          </cell>
          <cell r="S200" t="str">
            <v>2Q02</v>
          </cell>
          <cell r="T200" t="str">
            <v>2Q03</v>
          </cell>
          <cell r="U200" t="str">
            <v>2Q04</v>
          </cell>
          <cell r="V200" t="str">
            <v>2Q:05E</v>
          </cell>
          <cell r="W200" t="str">
            <v>3Q:96</v>
          </cell>
          <cell r="X200" t="str">
            <v>3Q:96</v>
          </cell>
          <cell r="Y200" t="str">
            <v>3Q:97</v>
          </cell>
          <cell r="Z200" t="str">
            <v>3Q:98</v>
          </cell>
          <cell r="AA200" t="str">
            <v>3Q:99</v>
          </cell>
          <cell r="AB200" t="str">
            <v>3Q:00</v>
          </cell>
          <cell r="AC200" t="str">
            <v>3Q:01</v>
          </cell>
          <cell r="AD200" t="str">
            <v>3Q02</v>
          </cell>
          <cell r="AE200" t="str">
            <v>3Q03</v>
          </cell>
          <cell r="AF200" t="str">
            <v>3Q04</v>
          </cell>
          <cell r="AG200" t="str">
            <v>3Q:05E</v>
          </cell>
          <cell r="AH200" t="str">
            <v>4Q:96</v>
          </cell>
          <cell r="AI200" t="str">
            <v>4Q:96</v>
          </cell>
          <cell r="AJ200" t="str">
            <v>4Q:97</v>
          </cell>
          <cell r="AK200" t="str">
            <v>4Q:98</v>
          </cell>
          <cell r="AL200" t="str">
            <v>4Q:99</v>
          </cell>
          <cell r="AM200" t="str">
            <v>4Q:00</v>
          </cell>
          <cell r="AN200" t="str">
            <v>4Q:01</v>
          </cell>
        </row>
        <row r="201">
          <cell r="A201" t="str">
            <v>LTL Revenue/ CWT</v>
          </cell>
          <cell r="B201">
            <v>10.33</v>
          </cell>
          <cell r="C201">
            <v>11.58</v>
          </cell>
          <cell r="D201">
            <v>12.24</v>
          </cell>
          <cell r="E201">
            <v>12.35</v>
          </cell>
          <cell r="F201">
            <v>13.44</v>
          </cell>
          <cell r="G201">
            <v>14.04</v>
          </cell>
          <cell r="H201">
            <v>14.02</v>
          </cell>
          <cell r="I201">
            <v>14.65</v>
          </cell>
          <cell r="L201">
            <v>10.36</v>
          </cell>
          <cell r="M201">
            <v>11.49</v>
          </cell>
          <cell r="N201">
            <v>12.38</v>
          </cell>
          <cell r="O201">
            <v>12.42</v>
          </cell>
          <cell r="P201">
            <v>13.51</v>
          </cell>
          <cell r="Q201">
            <v>14</v>
          </cell>
          <cell r="R201">
            <v>13.71</v>
          </cell>
          <cell r="S201">
            <v>14.6</v>
          </cell>
          <cell r="T201">
            <v>14.6</v>
          </cell>
          <cell r="V201">
            <v>10.62</v>
          </cell>
          <cell r="W201">
            <v>11.81</v>
          </cell>
          <cell r="X201">
            <v>12.18</v>
          </cell>
          <cell r="Y201">
            <v>12.6</v>
          </cell>
          <cell r="Z201">
            <v>13.86</v>
          </cell>
          <cell r="AA201">
            <v>14.37</v>
          </cell>
          <cell r="AB201">
            <v>14.13</v>
          </cell>
          <cell r="AC201">
            <v>14.13</v>
          </cell>
          <cell r="AF201">
            <v>10.95</v>
          </cell>
          <cell r="AG201">
            <v>11.78</v>
          </cell>
          <cell r="AH201">
            <v>12.64</v>
          </cell>
          <cell r="AI201">
            <v>13.25</v>
          </cell>
          <cell r="AJ201">
            <v>13.84</v>
          </cell>
          <cell r="AK201">
            <v>14.1</v>
          </cell>
          <cell r="AL201">
            <v>14.58</v>
          </cell>
          <cell r="AM201">
            <v>14.58</v>
          </cell>
        </row>
        <row r="202">
          <cell r="A202" t="str">
            <v xml:space="preserve">      Year-Over-Year Growth</v>
          </cell>
          <cell r="C202">
            <v>0.12100677637947732</v>
          </cell>
          <cell r="D202">
            <v>5.6994818652849721E-2</v>
          </cell>
          <cell r="E202">
            <v>0.35</v>
          </cell>
          <cell r="F202">
            <v>8.8259109311740858E-2</v>
          </cell>
          <cell r="G202">
            <v>4.4642857142857206E-2</v>
          </cell>
          <cell r="H202">
            <v>-1.4245014245013454E-3</v>
          </cell>
          <cell r="I202">
            <v>4.4935805991440869E-2</v>
          </cell>
          <cell r="J202">
            <v>0.1421679497227058</v>
          </cell>
          <cell r="K202">
            <v>0.14390679928753253</v>
          </cell>
          <cell r="L202">
            <v>0</v>
          </cell>
          <cell r="M202">
            <v>0.10907335907335924</v>
          </cell>
          <cell r="N202">
            <v>7.7458659704090493E-2</v>
          </cell>
          <cell r="O202">
            <v>3.2310177705976439E-3</v>
          </cell>
          <cell r="P202">
            <v>8.7761674718196403E-2</v>
          </cell>
          <cell r="Q202">
            <v>3.6269430051813378E-2</v>
          </cell>
          <cell r="R202">
            <v>-2.0714285714285685E-2</v>
          </cell>
          <cell r="S202">
            <v>6.4916119620714641E-2</v>
          </cell>
          <cell r="T202">
            <v>0.12916647408431237</v>
          </cell>
          <cell r="U202">
            <v>0.13154709442060086</v>
          </cell>
          <cell r="V202">
            <v>0.12972514965628529</v>
          </cell>
          <cell r="W202">
            <v>0.11205273069679866</v>
          </cell>
          <cell r="X202">
            <v>3.1329381879762863E-2</v>
          </cell>
          <cell r="Y202">
            <v>3.4482758620689724E-2</v>
          </cell>
          <cell r="Z202">
            <v>0.10000000000000009</v>
          </cell>
          <cell r="AA202">
            <v>3.6796536796536827E-2</v>
          </cell>
          <cell r="AB202">
            <v>-1.670146137787043E-2</v>
          </cell>
          <cell r="AC202">
            <v>0.13063350402340893</v>
          </cell>
          <cell r="AD202">
            <v>0.13093333333333335</v>
          </cell>
          <cell r="AE202">
            <v>0.13914242219215156</v>
          </cell>
          <cell r="AF202">
            <v>0.12810695708712613</v>
          </cell>
          <cell r="AG202">
            <v>7.5799086757990963E-2</v>
          </cell>
          <cell r="AH202">
            <v>7.3005093378607944E-2</v>
          </cell>
          <cell r="AI202">
            <v>4.8259493670886E-2</v>
          </cell>
          <cell r="AJ202">
            <v>4.4528301886792354E-2</v>
          </cell>
          <cell r="AK202">
            <v>1.8786127167629951E-2</v>
          </cell>
          <cell r="AL202">
            <v>3.4042553191489411E-2</v>
          </cell>
          <cell r="AM202">
            <v>0.13187378640776701</v>
          </cell>
          <cell r="AN202">
            <v>0.13962018348623853</v>
          </cell>
        </row>
        <row r="203">
          <cell r="A203" t="str">
            <v>Other Revenue/ CWT</v>
          </cell>
          <cell r="B203">
            <v>4.16</v>
          </cell>
          <cell r="C203">
            <v>5.03481481481482</v>
          </cell>
          <cell r="D203">
            <v>2.5244628099173556</v>
          </cell>
          <cell r="E203">
            <v>5.1370370370370306</v>
          </cell>
          <cell r="F203">
            <v>6.3062295081967257</v>
          </cell>
          <cell r="G203">
            <v>7.2293548387096669</v>
          </cell>
          <cell r="H203">
            <v>6.7094845360824902</v>
          </cell>
          <cell r="I203">
            <v>5.3675876288659925</v>
          </cell>
          <cell r="J203">
            <v>0.1026251199988166</v>
          </cell>
          <cell r="K203">
            <v>9.5393400111716042E-2</v>
          </cell>
          <cell r="L203">
            <v>4.0987692307692321</v>
          </cell>
          <cell r="M203">
            <v>-2.1981355932203783</v>
          </cell>
          <cell r="N203">
            <v>5.2221818181818067</v>
          </cell>
          <cell r="O203">
            <v>5.169056603773603</v>
          </cell>
          <cell r="P203">
            <v>7.2476296296296319</v>
          </cell>
          <cell r="Q203">
            <v>8.1828571428571593</v>
          </cell>
          <cell r="R203">
            <v>6.2289767441860446</v>
          </cell>
          <cell r="S203">
            <v>6.5978947368420977</v>
          </cell>
          <cell r="T203">
            <v>0.11059523427781617</v>
          </cell>
          <cell r="U203">
            <v>0.10766769527896995</v>
          </cell>
          <cell r="V203">
            <v>4.6054335260115913</v>
          </cell>
          <cell r="W203">
            <v>5.0489473684210679</v>
          </cell>
          <cell r="X203">
            <v>5.3172972972973076</v>
          </cell>
          <cell r="Y203">
            <v>5.6522222222222336</v>
          </cell>
          <cell r="Z203">
            <v>7.5774436090225512</v>
          </cell>
          <cell r="AA203">
            <v>7.8255555555555878</v>
          </cell>
          <cell r="AB203">
            <v>6.4243636363636227</v>
          </cell>
          <cell r="AC203">
            <v>9.2602779809802485E-2</v>
          </cell>
          <cell r="AD203">
            <v>9.9979649122807018E-2</v>
          </cell>
          <cell r="AE203">
            <v>9.3379566982408652E-2</v>
          </cell>
          <cell r="AF203">
            <v>4.6758503401360691</v>
          </cell>
          <cell r="AG203">
            <v>5.3023571428571294</v>
          </cell>
          <cell r="AH203">
            <v>5.5572413793103399</v>
          </cell>
          <cell r="AI203">
            <v>5.7516513761467918</v>
          </cell>
          <cell r="AJ203">
            <v>7.9633082706766842</v>
          </cell>
          <cell r="AK203">
            <v>7.3566371681415861</v>
          </cell>
          <cell r="AL203">
            <v>6.513047619047609</v>
          </cell>
          <cell r="AM203">
            <v>0.11401755041075429</v>
          </cell>
          <cell r="AN203">
            <v>0.10560623853211008</v>
          </cell>
        </row>
        <row r="204">
          <cell r="A204" t="str">
            <v>Total Revenue/ CWT</v>
          </cell>
          <cell r="B204">
            <v>9.65</v>
          </cell>
          <cell r="C204">
            <v>11.11</v>
          </cell>
          <cell r="D204">
            <v>10.35</v>
          </cell>
          <cell r="E204">
            <v>11.97</v>
          </cell>
          <cell r="F204">
            <v>13</v>
          </cell>
          <cell r="G204">
            <v>13.61</v>
          </cell>
          <cell r="H204">
            <v>13.38</v>
          </cell>
          <cell r="I204">
            <v>13.88</v>
          </cell>
          <cell r="J204">
            <v>0.14176161807416088</v>
          </cell>
          <cell r="K204">
            <v>0.14704320693524603</v>
          </cell>
          <cell r="L204">
            <v>9.73</v>
          </cell>
          <cell r="M204">
            <v>11.09</v>
          </cell>
          <cell r="N204">
            <v>12.01</v>
          </cell>
          <cell r="O204">
            <v>12.07</v>
          </cell>
          <cell r="P204">
            <v>13.1</v>
          </cell>
          <cell r="Q204">
            <v>13.66</v>
          </cell>
          <cell r="R204">
            <v>13.05</v>
          </cell>
          <cell r="S204">
            <v>14</v>
          </cell>
          <cell r="T204">
            <v>0.13588534001382171</v>
          </cell>
          <cell r="U204">
            <v>0.1415377652690657</v>
          </cell>
          <cell r="V204">
            <v>10.16</v>
          </cell>
          <cell r="W204">
            <v>11.39</v>
          </cell>
          <cell r="X204">
            <v>11.82</v>
          </cell>
          <cell r="Y204">
            <v>12.23</v>
          </cell>
          <cell r="Z204">
            <v>13.45</v>
          </cell>
          <cell r="AA204">
            <v>13.99</v>
          </cell>
          <cell r="AB204">
            <v>13.45</v>
          </cell>
          <cell r="AC204">
            <v>0.14361594732991953</v>
          </cell>
          <cell r="AD204">
            <v>0.1399221052631579</v>
          </cell>
          <cell r="AE204">
            <v>0.13531799729364005</v>
          </cell>
          <cell r="AF204">
            <v>10.49</v>
          </cell>
          <cell r="AG204">
            <v>11.35</v>
          </cell>
          <cell r="AH204">
            <v>12.24</v>
          </cell>
          <cell r="AI204">
            <v>12.83</v>
          </cell>
          <cell r="AJ204">
            <v>13.44</v>
          </cell>
          <cell r="AK204">
            <v>13.7</v>
          </cell>
          <cell r="AL204">
            <v>13.87</v>
          </cell>
          <cell r="AM204">
            <v>0.14630881254667663</v>
          </cell>
          <cell r="AN204">
            <v>0.13816733944954127</v>
          </cell>
        </row>
        <row r="205">
          <cell r="A205" t="str">
            <v xml:space="preserve">      Year-Over-Year Growth</v>
          </cell>
          <cell r="C205">
            <v>0.15129533678756468</v>
          </cell>
          <cell r="D205">
            <v>-6.8406840684068437E-2</v>
          </cell>
          <cell r="E205">
            <v>0.15652173913043499</v>
          </cell>
          <cell r="F205">
            <v>8.6048454469507041E-2</v>
          </cell>
          <cell r="G205">
            <v>4.6923076923076845E-2</v>
          </cell>
          <cell r="H205">
            <v>-1.6899338721528157E-2</v>
          </cell>
          <cell r="I205">
            <v>3.7369207772795177E-2</v>
          </cell>
          <cell r="J205">
            <v>0.2027681381105241</v>
          </cell>
          <cell r="K205">
            <v>0.21225771947403296</v>
          </cell>
          <cell r="L205">
            <v>0</v>
          </cell>
          <cell r="M205">
            <v>0.18497330192383196</v>
          </cell>
          <cell r="N205">
            <v>8.2957619477006306E-2</v>
          </cell>
          <cell r="O205">
            <v>4.9958368026645772E-3</v>
          </cell>
          <cell r="P205">
            <v>8.5335542667771325E-2</v>
          </cell>
          <cell r="Q205">
            <v>4.2748091603053373E-2</v>
          </cell>
          <cell r="R205">
            <v>-4.4655929721815424E-2</v>
          </cell>
          <cell r="S205">
            <v>7.2796934865900331E-2</v>
          </cell>
          <cell r="T205">
            <v>0.20778438147892189</v>
          </cell>
          <cell r="U205">
            <v>0.19699433740508418</v>
          </cell>
          <cell r="V205">
            <v>0.20280814125491711</v>
          </cell>
          <cell r="W205">
            <v>0.12106299212598426</v>
          </cell>
          <cell r="X205">
            <v>3.7752414398595224E-2</v>
          </cell>
          <cell r="Y205">
            <v>3.4686971235194486E-2</v>
          </cell>
          <cell r="Z205">
            <v>9.9754701553556702E-2</v>
          </cell>
          <cell r="AA205">
            <v>4.014869888475836E-2</v>
          </cell>
          <cell r="AB205">
            <v>-3.8598999285203828E-2</v>
          </cell>
          <cell r="AC205">
            <v>0.22349012435991222</v>
          </cell>
          <cell r="AD205">
            <v>0.20750210526315788</v>
          </cell>
          <cell r="AE205">
            <v>0.21241474966170501</v>
          </cell>
          <cell r="AF205">
            <v>0.204332899869961</v>
          </cell>
          <cell r="AG205">
            <v>8.1982840800762569E-2</v>
          </cell>
          <cell r="AH205">
            <v>7.8414096916299636E-2</v>
          </cell>
          <cell r="AI205">
            <v>4.8202614379085018E-2</v>
          </cell>
          <cell r="AJ205">
            <v>4.7544816835541681E-2</v>
          </cell>
          <cell r="AK205">
            <v>1.9345238095238138E-2</v>
          </cell>
          <cell r="AL205">
            <v>1.2408759124087565E-2</v>
          </cell>
          <cell r="AM205">
            <v>0.20487640029873039</v>
          </cell>
          <cell r="AN205">
            <v>0.22692330275229358</v>
          </cell>
        </row>
        <row r="206">
          <cell r="A206" t="str">
            <v>Industrial Products</v>
          </cell>
          <cell r="D206">
            <v>0.18680909776867521</v>
          </cell>
          <cell r="E206">
            <v>0.18107749672478082</v>
          </cell>
          <cell r="F206">
            <v>0.18659309821767159</v>
          </cell>
          <cell r="G206">
            <v>0.17722868944799097</v>
          </cell>
          <cell r="H206">
            <v>0.17796431254695716</v>
          </cell>
          <cell r="I206">
            <v>0.18619822441520467</v>
          </cell>
          <cell r="J206">
            <v>0.19453305960676281</v>
          </cell>
          <cell r="K206">
            <v>0.19083358705925649</v>
          </cell>
          <cell r="L206">
            <v>0</v>
          </cell>
          <cell r="M206">
            <v>0.20349509226541029</v>
          </cell>
          <cell r="N206">
            <v>0.20383569513596325</v>
          </cell>
          <cell r="O206">
            <v>0.19835279106858056</v>
          </cell>
          <cell r="P206">
            <v>0.19026486215538849</v>
          </cell>
          <cell r="Q206">
            <v>0.19482566765578635</v>
          </cell>
          <cell r="R206">
            <v>0.19288293943870014</v>
          </cell>
          <cell r="S206">
            <v>0.1889599574769667</v>
          </cell>
          <cell r="T206">
            <v>0.19378098617829995</v>
          </cell>
          <cell r="U206">
            <v>0.20028566127434796</v>
          </cell>
          <cell r="V206">
            <v>0</v>
          </cell>
          <cell r="W206">
            <v>0.20382935420743639</v>
          </cell>
          <cell r="X206">
            <v>0.20076004728132388</v>
          </cell>
          <cell r="Y206">
            <v>0.19008023401587965</v>
          </cell>
          <cell r="Z206">
            <v>0.18871117923172717</v>
          </cell>
          <cell r="AA206">
            <v>0.1801602587136184</v>
          </cell>
          <cell r="AB206">
            <v>-0.17905334761788494</v>
          </cell>
          <cell r="AC206">
            <v>-0.17905334761788494</v>
          </cell>
          <cell r="AD206">
            <v>0.1934959404600812</v>
          </cell>
          <cell r="AE206">
            <v>0.20079535154993397</v>
          </cell>
          <cell r="AF206">
            <v>0.20079535154993397</v>
          </cell>
          <cell r="AG206">
            <v>0</v>
          </cell>
          <cell r="AH206">
            <v>0.19201370936153545</v>
          </cell>
          <cell r="AI206">
            <v>0.19373600705156457</v>
          </cell>
          <cell r="AJ206">
            <v>0.17814174857734091</v>
          </cell>
          <cell r="AK206">
            <v>0.18541966611984945</v>
          </cell>
          <cell r="AL206">
            <v>0.17414563106796119</v>
          </cell>
          <cell r="AM206">
            <v>0.16952183486238531</v>
          </cell>
          <cell r="AN206">
            <v>0.17432035398230089</v>
          </cell>
        </row>
        <row r="207">
          <cell r="A207" t="str">
            <v>Operating Statistics</v>
          </cell>
          <cell r="D207">
            <v>0.15586806079551579</v>
          </cell>
          <cell r="E207">
            <v>0.15644542980953341</v>
          </cell>
          <cell r="F207">
            <v>0.16725711035267349</v>
          </cell>
          <cell r="G207">
            <v>0.16901990236575293</v>
          </cell>
          <cell r="H207">
            <v>0.17100525920360632</v>
          </cell>
          <cell r="I207">
            <v>0.17059614985380117</v>
          </cell>
          <cell r="J207">
            <v>0.17639236686098655</v>
          </cell>
          <cell r="K207">
            <v>0.17069623317043139</v>
          </cell>
          <cell r="L207">
            <v>0</v>
          </cell>
          <cell r="M207">
            <v>0.16410325873576756</v>
          </cell>
          <cell r="N207">
            <v>0.17526847950976637</v>
          </cell>
          <cell r="O207">
            <v>0.1612810207336523</v>
          </cell>
          <cell r="P207">
            <v>0.1705984962406015</v>
          </cell>
          <cell r="Q207">
            <v>0.17464465875370919</v>
          </cell>
          <cell r="R207">
            <v>0.1707049483013294</v>
          </cell>
          <cell r="S207">
            <v>0.18226860382707299</v>
          </cell>
          <cell r="T207">
            <v>0.17785512646855561</v>
          </cell>
          <cell r="U207">
            <v>0.17954822317596569</v>
          </cell>
          <cell r="V207">
            <v>0</v>
          </cell>
          <cell r="W207">
            <v>0.1741041095890411</v>
          </cell>
          <cell r="X207">
            <v>0.1856197793538219</v>
          </cell>
          <cell r="Y207">
            <v>0.16100626828249059</v>
          </cell>
          <cell r="Z207">
            <v>0.17600689721237667</v>
          </cell>
          <cell r="AA207">
            <v>0.18193280632411069</v>
          </cell>
          <cell r="AB207">
            <v>0.18257315288953913</v>
          </cell>
          <cell r="AC207">
            <v>0.19021578947368423</v>
          </cell>
          <cell r="AD207">
            <v>0.18272598105548038</v>
          </cell>
          <cell r="AE207">
            <v>0.18828495361811343</v>
          </cell>
          <cell r="AF207">
            <v>0.18828495361811343</v>
          </cell>
          <cell r="AG207">
            <v>0</v>
          </cell>
          <cell r="AH207">
            <v>0.17482216999608305</v>
          </cell>
          <cell r="AI207">
            <v>0.16967122080211547</v>
          </cell>
          <cell r="AJ207">
            <v>0.16133016037247802</v>
          </cell>
          <cell r="AK207">
            <v>0.17453980507575029</v>
          </cell>
          <cell r="AL207">
            <v>0.18323749066467512</v>
          </cell>
          <cell r="AM207">
            <v>0.18100550458715597</v>
          </cell>
          <cell r="AN207">
            <v>0.17105380530973449</v>
          </cell>
        </row>
        <row r="208">
          <cell r="A208" t="str">
            <v>Average Employees</v>
          </cell>
          <cell r="B208">
            <v>13993</v>
          </cell>
          <cell r="C208">
            <v>11150</v>
          </cell>
          <cell r="D208">
            <v>11443</v>
          </cell>
          <cell r="E208">
            <v>11443</v>
          </cell>
          <cell r="F208">
            <v>11101</v>
          </cell>
          <cell r="G208">
            <v>11427</v>
          </cell>
          <cell r="H208">
            <v>13158</v>
          </cell>
          <cell r="I208">
            <v>13631</v>
          </cell>
          <cell r="J208">
            <v>0.96024825237395683</v>
          </cell>
          <cell r="K208">
            <v>0.95699075954306245</v>
          </cell>
          <cell r="L208">
            <v>13838</v>
          </cell>
          <cell r="M208">
            <v>11333</v>
          </cell>
          <cell r="N208">
            <v>11589</v>
          </cell>
          <cell r="O208">
            <v>11704</v>
          </cell>
          <cell r="P208">
            <v>11182</v>
          </cell>
          <cell r="Q208">
            <v>11548</v>
          </cell>
          <cell r="R208">
            <v>13670</v>
          </cell>
          <cell r="S208">
            <v>14287</v>
          </cell>
          <cell r="T208">
            <v>0.95506754250172765</v>
          </cell>
          <cell r="U208">
            <v>0.95758077682403431</v>
          </cell>
          <cell r="V208">
            <v>13486</v>
          </cell>
          <cell r="W208">
            <v>11608</v>
          </cell>
          <cell r="X208">
            <v>11508</v>
          </cell>
          <cell r="Y208">
            <v>11994</v>
          </cell>
          <cell r="Z208">
            <v>11297</v>
          </cell>
          <cell r="AA208">
            <v>0.96392144841459892</v>
          </cell>
          <cell r="AB208">
            <v>0.95177865612648227</v>
          </cell>
          <cell r="AC208">
            <v>0.96102048280907104</v>
          </cell>
          <cell r="AD208">
            <v>0.95648350877192989</v>
          </cell>
          <cell r="AE208">
            <v>0.95645602165087962</v>
          </cell>
          <cell r="AF208">
            <v>11730</v>
          </cell>
          <cell r="AG208">
            <v>11635</v>
          </cell>
          <cell r="AH208">
            <v>11475</v>
          </cell>
          <cell r="AI208">
            <v>11562</v>
          </cell>
          <cell r="AJ208">
            <v>11459</v>
          </cell>
          <cell r="AK208">
            <v>11718</v>
          </cell>
          <cell r="AL208">
            <v>14093</v>
          </cell>
          <cell r="AM208">
            <v>0.95445967139656462</v>
          </cell>
          <cell r="AN208">
            <v>0.9608444036697249</v>
          </cell>
        </row>
        <row r="209">
          <cell r="A209" t="str">
            <v>Average Fuel Price per gallon</v>
          </cell>
          <cell r="B209">
            <v>0.61</v>
          </cell>
          <cell r="C209">
            <v>0.69</v>
          </cell>
          <cell r="D209">
            <v>0.57999999999999996</v>
          </cell>
          <cell r="E209">
            <v>0.44</v>
          </cell>
          <cell r="F209">
            <v>0.86299999999999999</v>
          </cell>
          <cell r="G209">
            <v>0.89800000000000002</v>
          </cell>
          <cell r="H209">
            <v>0.64</v>
          </cell>
          <cell r="I209">
            <v>1.02</v>
          </cell>
          <cell r="J209">
            <v>3.9751747626043173E-2</v>
          </cell>
          <cell r="K209">
            <v>4.3009240456937534E-2</v>
          </cell>
          <cell r="L209">
            <v>0.68</v>
          </cell>
          <cell r="M209">
            <v>0.63</v>
          </cell>
          <cell r="N209">
            <v>0.52</v>
          </cell>
          <cell r="O209">
            <v>0.51</v>
          </cell>
          <cell r="P209">
            <v>0.83</v>
          </cell>
          <cell r="Q209">
            <v>0.88</v>
          </cell>
          <cell r="R209">
            <v>0.72</v>
          </cell>
          <cell r="S209">
            <v>0.91</v>
          </cell>
          <cell r="T209">
            <v>4.4932457498272328E-2</v>
          </cell>
          <cell r="U209">
            <v>4.2419223175965644E-2</v>
          </cell>
          <cell r="V209">
            <v>0.66</v>
          </cell>
          <cell r="W209">
            <v>0.59</v>
          </cell>
          <cell r="X209">
            <v>0.48</v>
          </cell>
          <cell r="Y209">
            <v>0.56999999999999995</v>
          </cell>
          <cell r="Z209">
            <v>0.92</v>
          </cell>
          <cell r="AA209">
            <v>3.6078551585401054E-2</v>
          </cell>
          <cell r="AB209">
            <v>4.8221343873517723E-2</v>
          </cell>
          <cell r="AC209">
            <v>3.8979517190928938E-2</v>
          </cell>
          <cell r="AD209">
            <v>4.351649122807015E-2</v>
          </cell>
          <cell r="AE209">
            <v>4.3543978349120396E-2</v>
          </cell>
          <cell r="AF209">
            <v>0.77</v>
          </cell>
          <cell r="AG209">
            <v>0.61</v>
          </cell>
          <cell r="AH209">
            <v>0.53</v>
          </cell>
          <cell r="AI209">
            <v>0.65</v>
          </cell>
          <cell r="AJ209">
            <v>0.98</v>
          </cell>
          <cell r="AK209">
            <v>0.66</v>
          </cell>
          <cell r="AL209">
            <v>0.88</v>
          </cell>
          <cell r="AM209">
            <v>4.5540328603435355E-2</v>
          </cell>
          <cell r="AN209">
            <v>3.9155596330275086E-2</v>
          </cell>
        </row>
        <row r="210">
          <cell r="A210" t="str">
            <v>Fuel Consumed (gallons in 000s)</v>
          </cell>
          <cell r="B210">
            <v>16963</v>
          </cell>
          <cell r="C210">
            <v>12502</v>
          </cell>
          <cell r="D210">
            <v>13774</v>
          </cell>
          <cell r="E210">
            <v>13932</v>
          </cell>
          <cell r="F210">
            <v>14493</v>
          </cell>
          <cell r="G210">
            <v>14854</v>
          </cell>
          <cell r="H210">
            <v>15418</v>
          </cell>
          <cell r="I210">
            <v>16350</v>
          </cell>
          <cell r="J210">
            <v>1</v>
          </cell>
          <cell r="K210">
            <v>1</v>
          </cell>
          <cell r="L210">
            <v>15874</v>
          </cell>
          <cell r="M210">
            <v>12949</v>
          </cell>
          <cell r="N210">
            <v>13227</v>
          </cell>
          <cell r="O210">
            <v>14425</v>
          </cell>
          <cell r="P210">
            <v>14453</v>
          </cell>
          <cell r="Q210">
            <v>14230</v>
          </cell>
          <cell r="R210">
            <v>15767</v>
          </cell>
          <cell r="S210">
            <v>16951</v>
          </cell>
          <cell r="T210">
            <v>1</v>
          </cell>
          <cell r="U210">
            <v>1</v>
          </cell>
          <cell r="V210">
            <v>13756</v>
          </cell>
          <cell r="W210">
            <v>12950</v>
          </cell>
          <cell r="X210">
            <v>13310</v>
          </cell>
          <cell r="Y210">
            <v>14444</v>
          </cell>
          <cell r="Z210">
            <v>14038</v>
          </cell>
          <cell r="AA210">
            <v>1</v>
          </cell>
          <cell r="AB210">
            <v>1</v>
          </cell>
          <cell r="AC210">
            <v>1</v>
          </cell>
          <cell r="AD210">
            <v>1</v>
          </cell>
          <cell r="AE210">
            <v>1</v>
          </cell>
          <cell r="AF210">
            <v>12698</v>
          </cell>
          <cell r="AG210">
            <v>13077</v>
          </cell>
          <cell r="AH210">
            <v>13241</v>
          </cell>
          <cell r="AI210">
            <v>13017</v>
          </cell>
          <cell r="AJ210">
            <v>14185</v>
          </cell>
          <cell r="AK210">
            <v>13858</v>
          </cell>
          <cell r="AL210">
            <v>16038</v>
          </cell>
          <cell r="AM210">
            <v>1</v>
          </cell>
          <cell r="AN210">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cro1"/>
      <sheetName val="model"/>
      <sheetName val="EV"/>
      <sheetName val="ROIC"/>
      <sheetName val="A vs E"/>
      <sheetName val="End markets"/>
      <sheetName val="Summary base sales"/>
      <sheetName val="MONTHLY Base Sales"/>
      <sheetName val="__FDSCACHE__"/>
      <sheetName val="EPS Growth"/>
      <sheetName val="Charts"/>
      <sheetName val="FS"/>
      <sheetName val="Const"/>
      <sheetName val="Auto"/>
      <sheetName val="Food Equip"/>
      <sheetName val="Wilsonart"/>
      <sheetName val="Ind"/>
      <sheetName val="Welding"/>
      <sheetName val="L&amp;I"/>
      <sheetName val="Qrtly Sales"/>
      <sheetName val="Peer Group"/>
      <sheetName val="Acq"/>
      <sheetName val="Mgmt"/>
      <sheetName val="Seg 05"/>
      <sheetName val="Seg 04"/>
      <sheetName val="Seg 03"/>
      <sheetName val="Seg 02"/>
      <sheetName val="Seg 01"/>
      <sheetName val="Seg 00"/>
      <sheetName val="Seg 99"/>
      <sheetName val="Seg 98"/>
      <sheetName val="Marketing"/>
      <sheetName val="Valuation "/>
      <sheetName val="Premark"/>
      <sheetName val="gsr - Illinois Tool Works"/>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odel"/>
      <sheetName val="EPS power"/>
      <sheetName val="A vs E"/>
      <sheetName val="EV"/>
      <sheetName val="GPS - AGCO Corp."/>
      <sheetName val="BPF"/>
      <sheetName val="EPS Sensitivity"/>
      <sheetName val="Valtra Acq"/>
      <sheetName val="Balance Sheet"/>
      <sheetName val="Graphs 2006"/>
      <sheetName val="Graphs 2005"/>
      <sheetName val="Graphs 2003"/>
      <sheetName val="challenger acq"/>
      <sheetName val="Module1"/>
      <sheetName val="Mgmt"/>
      <sheetName val="currency"/>
      <sheetName val="acquisitions"/>
      <sheetName val="gsr - AGCO Corp."/>
      <sheetName val="earnings power"/>
      <sheetName val="qtrly_fax"/>
      <sheetName val="peak"/>
      <sheetName val="SelectData"/>
      <sheetName val="Preview"/>
    </sheetNames>
    <sheetDataSet>
      <sheetData sheetId="0" refreshError="1">
        <row r="99">
          <cell r="B99" t="str">
            <v>AGCO</v>
          </cell>
        </row>
        <row r="101">
          <cell r="CO101" t="str">
            <v>1H05</v>
          </cell>
          <cell r="CP101" t="str">
            <v>9mos05</v>
          </cell>
          <cell r="CQ101" t="str">
            <v>FY05</v>
          </cell>
          <cell r="CR101" t="str">
            <v>1Q06</v>
          </cell>
          <cell r="CS101" t="str">
            <v>1H06</v>
          </cell>
          <cell r="CT101" t="str">
            <v>9mos06</v>
          </cell>
          <cell r="CU101" t="str">
            <v>FY06</v>
          </cell>
          <cell r="CV101" t="str">
            <v>1Q07</v>
          </cell>
          <cell r="CW101" t="str">
            <v>1H07</v>
          </cell>
          <cell r="CX101" t="str">
            <v>9mos07</v>
          </cell>
          <cell r="CY101" t="str">
            <v>FY07</v>
          </cell>
          <cell r="CZ101" t="str">
            <v>1Q08</v>
          </cell>
          <cell r="DA101" t="str">
            <v>1H08</v>
          </cell>
          <cell r="DB101" t="str">
            <v>9mos08</v>
          </cell>
          <cell r="DC101" t="str">
            <v>FY08</v>
          </cell>
        </row>
        <row r="103">
          <cell r="CO103">
            <v>67.599999999999994</v>
          </cell>
          <cell r="CP103">
            <v>95.4</v>
          </cell>
          <cell r="CQ103">
            <v>31.6</v>
          </cell>
          <cell r="CR103">
            <v>17.3</v>
          </cell>
          <cell r="CS103">
            <v>58.2</v>
          </cell>
          <cell r="CT103">
            <v>63.6</v>
          </cell>
          <cell r="CU103">
            <v>-64.899999999999494</v>
          </cell>
          <cell r="CV103">
            <v>24.5</v>
          </cell>
          <cell r="CW103">
            <v>88.3</v>
          </cell>
          <cell r="CX103">
            <v>165.2</v>
          </cell>
          <cell r="CY103">
            <v>246.3</v>
          </cell>
          <cell r="CZ103">
            <v>62.3</v>
          </cell>
        </row>
        <row r="104">
          <cell r="CO104">
            <v>45.2</v>
          </cell>
          <cell r="CP104">
            <v>66.7</v>
          </cell>
          <cell r="CQ104">
            <v>89.4</v>
          </cell>
          <cell r="CR104">
            <v>23.2</v>
          </cell>
          <cell r="CS104">
            <v>47.3</v>
          </cell>
          <cell r="CT104">
            <v>71.5</v>
          </cell>
          <cell r="CU104">
            <v>98.6</v>
          </cell>
          <cell r="CV104">
            <v>26.2</v>
          </cell>
          <cell r="CW104">
            <v>53.7</v>
          </cell>
          <cell r="CX104">
            <v>82</v>
          </cell>
          <cell r="CY104">
            <v>115.6</v>
          </cell>
          <cell r="CZ104">
            <v>31</v>
          </cell>
        </row>
        <row r="105">
          <cell r="CO105">
            <v>8.3000000000000007</v>
          </cell>
          <cell r="CP105">
            <v>12.4</v>
          </cell>
          <cell r="CQ105">
            <v>16.5</v>
          </cell>
          <cell r="CR105">
            <v>4.0999999999999996</v>
          </cell>
          <cell r="CS105">
            <v>8.3000000000000007</v>
          </cell>
          <cell r="CT105">
            <v>12.6</v>
          </cell>
          <cell r="CU105">
            <v>16.899999999999999</v>
          </cell>
          <cell r="CV105">
            <v>4.2</v>
          </cell>
          <cell r="CW105">
            <v>8.6</v>
          </cell>
          <cell r="CX105">
            <v>13.1</v>
          </cell>
          <cell r="CY105">
            <v>17.899999999999999</v>
          </cell>
          <cell r="CZ105">
            <v>4.9000000000000004</v>
          </cell>
        </row>
        <row r="106">
          <cell r="CO106">
            <v>-3</v>
          </cell>
          <cell r="CP106">
            <v>-1.5</v>
          </cell>
          <cell r="CQ106">
            <v>107.9</v>
          </cell>
          <cell r="CR106">
            <v>2.2000000000000002</v>
          </cell>
          <cell r="CS106">
            <v>8.1999999999999993</v>
          </cell>
          <cell r="CT106">
            <v>6.8</v>
          </cell>
          <cell r="CU106">
            <v>10.6</v>
          </cell>
          <cell r="CV106">
            <v>2.4</v>
          </cell>
          <cell r="CW106">
            <v>9.3000000000000007</v>
          </cell>
          <cell r="CX106">
            <v>5.9</v>
          </cell>
          <cell r="CY106">
            <v>2.5</v>
          </cell>
          <cell r="CZ106">
            <v>3.4</v>
          </cell>
        </row>
        <row r="107">
          <cell r="CO107">
            <v>-11.2</v>
          </cell>
          <cell r="CP107">
            <v>-14.7</v>
          </cell>
          <cell r="CQ107">
            <v>-14.5</v>
          </cell>
          <cell r="CR107">
            <v>-3</v>
          </cell>
          <cell r="CS107">
            <v>-4.9000000000000004</v>
          </cell>
          <cell r="CT107">
            <v>-9.4</v>
          </cell>
          <cell r="CU107">
            <v>-8.8000000000000007</v>
          </cell>
          <cell r="CV107">
            <v>-3.1</v>
          </cell>
          <cell r="CW107">
            <v>0.2</v>
          </cell>
          <cell r="CX107">
            <v>-3.3</v>
          </cell>
          <cell r="CY107">
            <v>-3.5</v>
          </cell>
          <cell r="CZ107">
            <v>-5.3</v>
          </cell>
        </row>
        <row r="108">
          <cell r="CO108">
            <v>3.5999999999999992</v>
          </cell>
          <cell r="CP108">
            <v>4.5</v>
          </cell>
          <cell r="CQ108">
            <v>4.7</v>
          </cell>
          <cell r="CR108">
            <v>2.4000000000000004</v>
          </cell>
          <cell r="CS108">
            <v>5.4</v>
          </cell>
          <cell r="CT108">
            <v>7.8</v>
          </cell>
          <cell r="CU108">
            <v>180.8</v>
          </cell>
          <cell r="CV108">
            <v>2.8</v>
          </cell>
          <cell r="CW108">
            <v>6</v>
          </cell>
          <cell r="CX108">
            <v>11</v>
          </cell>
          <cell r="CY108">
            <v>27.5</v>
          </cell>
          <cell r="CZ108">
            <v>7.5</v>
          </cell>
        </row>
        <row r="109">
          <cell r="CO109">
            <v>110.49999999999999</v>
          </cell>
          <cell r="CP109">
            <v>162.80000000000004</v>
          </cell>
          <cell r="CQ109">
            <v>235.6</v>
          </cell>
          <cell r="CR109">
            <v>46.2</v>
          </cell>
          <cell r="CS109">
            <v>122.5</v>
          </cell>
          <cell r="CT109">
            <v>152.9</v>
          </cell>
          <cell r="CU109">
            <v>233.2000000000005</v>
          </cell>
          <cell r="CV109">
            <v>57</v>
          </cell>
          <cell r="CW109">
            <v>166.1</v>
          </cell>
          <cell r="CX109">
            <v>273.89999999999998</v>
          </cell>
          <cell r="CY109">
            <v>406.3</v>
          </cell>
          <cell r="CZ109">
            <v>103.80000000000001</v>
          </cell>
        </row>
        <row r="111">
          <cell r="CO111">
            <v>-256.39999999999998</v>
          </cell>
          <cell r="CP111">
            <v>-348.79999999999995</v>
          </cell>
          <cell r="CQ111">
            <v>10.699999999999982</v>
          </cell>
          <cell r="CR111">
            <v>-220.2</v>
          </cell>
          <cell r="CS111">
            <v>-133.20000000000002</v>
          </cell>
          <cell r="CT111">
            <v>-99.200000000000017</v>
          </cell>
          <cell r="CU111">
            <v>209</v>
          </cell>
          <cell r="CV111">
            <v>-292.5</v>
          </cell>
          <cell r="CW111">
            <v>-193.19999999999996</v>
          </cell>
          <cell r="CX111">
            <v>-241.70000000000005</v>
          </cell>
          <cell r="CY111">
            <v>98</v>
          </cell>
          <cell r="CZ111">
            <v>-385.9</v>
          </cell>
        </row>
        <row r="112">
          <cell r="CO112">
            <v>-49.7</v>
          </cell>
          <cell r="CP112">
            <v>-3.7</v>
          </cell>
          <cell r="CQ112">
            <v>103.6</v>
          </cell>
          <cell r="CR112">
            <v>-29.5</v>
          </cell>
          <cell r="CS112">
            <v>23</v>
          </cell>
          <cell r="CT112">
            <v>105.8</v>
          </cell>
          <cell r="CU112">
            <v>28</v>
          </cell>
          <cell r="CV112">
            <v>-58.8</v>
          </cell>
          <cell r="CW112">
            <v>-34.299999999999997</v>
          </cell>
          <cell r="CX112">
            <v>-16.399999999999999</v>
          </cell>
          <cell r="CY112">
            <v>-3</v>
          </cell>
          <cell r="CZ112">
            <v>-66.2</v>
          </cell>
        </row>
        <row r="113">
          <cell r="CO113">
            <v>-262.60000000000002</v>
          </cell>
          <cell r="CP113">
            <v>-271.7</v>
          </cell>
          <cell r="CQ113">
            <v>-42.1</v>
          </cell>
          <cell r="CR113">
            <v>-185.4</v>
          </cell>
          <cell r="CS113">
            <v>-154.4</v>
          </cell>
          <cell r="CT113">
            <v>-154.5</v>
          </cell>
          <cell r="CU113">
            <v>66.2</v>
          </cell>
          <cell r="CV113">
            <v>-150.9</v>
          </cell>
          <cell r="CW113">
            <v>-153.1</v>
          </cell>
          <cell r="CX113">
            <v>-193.6</v>
          </cell>
          <cell r="CY113">
            <v>10.7</v>
          </cell>
          <cell r="CZ113">
            <v>-309.89999999999998</v>
          </cell>
        </row>
        <row r="114">
          <cell r="CO114">
            <v>122.9</v>
          </cell>
          <cell r="CP114">
            <v>-10.199999999999999</v>
          </cell>
          <cell r="CQ114">
            <v>39.799999999999997</v>
          </cell>
          <cell r="CR114">
            <v>28.8</v>
          </cell>
          <cell r="CS114">
            <v>0.7</v>
          </cell>
          <cell r="CT114">
            <v>-53.6</v>
          </cell>
          <cell r="CU114">
            <v>59.6</v>
          </cell>
          <cell r="CV114">
            <v>-29</v>
          </cell>
          <cell r="CW114">
            <v>-4.0999999999999996</v>
          </cell>
          <cell r="CX114">
            <v>-48.1</v>
          </cell>
          <cell r="CY114">
            <v>54.1</v>
          </cell>
          <cell r="CZ114">
            <v>-19.100000000000001</v>
          </cell>
        </row>
        <row r="115">
          <cell r="CO115">
            <v>-15.2</v>
          </cell>
          <cell r="CP115">
            <v>-28.7</v>
          </cell>
          <cell r="CQ115">
            <v>-44.6</v>
          </cell>
          <cell r="CR115">
            <v>-42</v>
          </cell>
          <cell r="CS115">
            <v>6.2</v>
          </cell>
          <cell r="CT115">
            <v>17.2</v>
          </cell>
          <cell r="CU115">
            <v>44.3</v>
          </cell>
          <cell r="CV115">
            <v>-64.2</v>
          </cell>
          <cell r="CW115">
            <v>9.5</v>
          </cell>
          <cell r="CX115">
            <v>40.200000000000003</v>
          </cell>
          <cell r="CY115">
            <v>86.4</v>
          </cell>
          <cell r="CZ115">
            <v>47.6</v>
          </cell>
        </row>
        <row r="116">
          <cell r="CO116">
            <v>-51.8</v>
          </cell>
          <cell r="CP116">
            <v>-34.5</v>
          </cell>
          <cell r="CQ116">
            <v>-46</v>
          </cell>
          <cell r="CR116">
            <v>7.9</v>
          </cell>
          <cell r="CS116">
            <v>-8.7000000000000011</v>
          </cell>
          <cell r="CT116">
            <v>-14.100000000000001</v>
          </cell>
          <cell r="CU116">
            <v>10.9</v>
          </cell>
          <cell r="CV116">
            <v>10.399999999999999</v>
          </cell>
          <cell r="CW116">
            <v>-11.200000000000001</v>
          </cell>
          <cell r="CX116">
            <v>-23.8</v>
          </cell>
          <cell r="CY116">
            <v>-50.2</v>
          </cell>
          <cell r="CZ116">
            <v>-38.299999999999997</v>
          </cell>
        </row>
        <row r="117">
          <cell r="CO117">
            <v>-145.89999999999998</v>
          </cell>
          <cell r="CP117">
            <v>-185.99999999999991</v>
          </cell>
          <cell r="CQ117">
            <v>246.29999999999998</v>
          </cell>
          <cell r="CR117">
            <v>-174</v>
          </cell>
          <cell r="CS117">
            <v>-10.700000000000017</v>
          </cell>
          <cell r="CT117">
            <v>53.699999999999989</v>
          </cell>
          <cell r="CU117">
            <v>442.2000000000005</v>
          </cell>
          <cell r="CV117">
            <v>-235.5</v>
          </cell>
          <cell r="CW117">
            <v>-27.099999999999966</v>
          </cell>
          <cell r="CX117">
            <v>32.199999999999932</v>
          </cell>
          <cell r="CY117">
            <v>504.3</v>
          </cell>
          <cell r="CZ117">
            <v>-282.09999999999997</v>
          </cell>
        </row>
        <row r="119">
          <cell r="CO119">
            <v>-25.8</v>
          </cell>
          <cell r="CP119">
            <v>-44.8</v>
          </cell>
          <cell r="CQ119">
            <v>-77.900000000000006</v>
          </cell>
          <cell r="CR119">
            <v>-23.4</v>
          </cell>
          <cell r="CS119">
            <v>-47.8</v>
          </cell>
          <cell r="CT119">
            <v>-80.7</v>
          </cell>
          <cell r="CU119">
            <v>-125.2</v>
          </cell>
          <cell r="CV119">
            <v>-23.4</v>
          </cell>
          <cell r="CW119">
            <v>-48.9</v>
          </cell>
          <cell r="CX119">
            <v>-83.6</v>
          </cell>
          <cell r="CY119">
            <v>-135.4</v>
          </cell>
          <cell r="CZ119">
            <v>-45.699999999999996</v>
          </cell>
        </row>
        <row r="120">
          <cell r="CO120">
            <v>-13.7</v>
          </cell>
          <cell r="CP120">
            <v>-13</v>
          </cell>
          <cell r="CQ120">
            <v>-23</v>
          </cell>
          <cell r="CR120">
            <v>1.1000000000000001</v>
          </cell>
          <cell r="CS120">
            <v>-1.5999999999999999</v>
          </cell>
          <cell r="CT120">
            <v>-1.4999999999999998</v>
          </cell>
          <cell r="CU120">
            <v>-2.9</v>
          </cell>
          <cell r="CV120">
            <v>0</v>
          </cell>
          <cell r="CW120">
            <v>0.5</v>
          </cell>
          <cell r="CX120">
            <v>-12.600000000000001</v>
          </cell>
          <cell r="CY120">
            <v>-85.8</v>
          </cell>
          <cell r="CZ120">
            <v>0</v>
          </cell>
        </row>
        <row r="121">
          <cell r="CO121">
            <v>0</v>
          </cell>
          <cell r="CP121">
            <v>0</v>
          </cell>
          <cell r="CQ121">
            <v>0</v>
          </cell>
          <cell r="CR121">
            <v>0</v>
          </cell>
          <cell r="CS121">
            <v>0</v>
          </cell>
          <cell r="CT121">
            <v>0</v>
          </cell>
          <cell r="CU121">
            <v>0</v>
          </cell>
          <cell r="CV121">
            <v>0</v>
          </cell>
          <cell r="CW121">
            <v>0</v>
          </cell>
          <cell r="CX121">
            <v>-69.400000000000006</v>
          </cell>
          <cell r="CY121">
            <v>-2.7</v>
          </cell>
          <cell r="CZ121">
            <v>-0.2</v>
          </cell>
        </row>
        <row r="122">
          <cell r="CO122">
            <v>-39.5</v>
          </cell>
          <cell r="CP122">
            <v>-57.8</v>
          </cell>
          <cell r="CQ122">
            <v>-100.9</v>
          </cell>
          <cell r="CR122">
            <v>-22.299999999999997</v>
          </cell>
          <cell r="CS122">
            <v>-49.4</v>
          </cell>
          <cell r="CT122">
            <v>-82.2</v>
          </cell>
          <cell r="CU122">
            <v>-128.1</v>
          </cell>
          <cell r="CV122">
            <v>-23.4</v>
          </cell>
          <cell r="CW122">
            <v>-48.4</v>
          </cell>
          <cell r="CX122">
            <v>-165.6</v>
          </cell>
          <cell r="CY122">
            <v>-223.9</v>
          </cell>
          <cell r="CZ122">
            <v>-45.9</v>
          </cell>
        </row>
        <row r="124">
          <cell r="CO124">
            <v>0</v>
          </cell>
          <cell r="CP124">
            <v>0</v>
          </cell>
          <cell r="CQ124">
            <v>0</v>
          </cell>
          <cell r="CR124">
            <v>0</v>
          </cell>
          <cell r="CS124">
            <v>0</v>
          </cell>
          <cell r="CT124">
            <v>0</v>
          </cell>
          <cell r="CU124">
            <v>0</v>
          </cell>
          <cell r="CV124">
            <v>0</v>
          </cell>
          <cell r="CW124">
            <v>0</v>
          </cell>
          <cell r="CX124">
            <v>0</v>
          </cell>
          <cell r="CY124">
            <v>0</v>
          </cell>
        </row>
        <row r="125">
          <cell r="CO125">
            <v>0</v>
          </cell>
          <cell r="CP125">
            <v>0</v>
          </cell>
          <cell r="CQ125">
            <v>0</v>
          </cell>
          <cell r="CR125">
            <v>0</v>
          </cell>
          <cell r="CS125">
            <v>0</v>
          </cell>
          <cell r="CT125">
            <v>0</v>
          </cell>
          <cell r="CU125">
            <v>0</v>
          </cell>
          <cell r="CV125">
            <v>0</v>
          </cell>
          <cell r="CW125">
            <v>0</v>
          </cell>
          <cell r="CX125">
            <v>0</v>
          </cell>
          <cell r="CY125">
            <v>0</v>
          </cell>
          <cell r="CZ125">
            <v>-2.7</v>
          </cell>
        </row>
        <row r="126">
          <cell r="CO126">
            <v>-86.6</v>
          </cell>
          <cell r="CP126">
            <v>-46.7</v>
          </cell>
          <cell r="CQ126">
            <v>-230.89999999999998</v>
          </cell>
          <cell r="CR126">
            <v>21</v>
          </cell>
          <cell r="CS126">
            <v>-15.1</v>
          </cell>
          <cell r="CT126">
            <v>-48.3</v>
          </cell>
          <cell r="CU126">
            <v>-170</v>
          </cell>
          <cell r="CV126">
            <v>10.1</v>
          </cell>
          <cell r="CW126">
            <v>-110.3</v>
          </cell>
          <cell r="CX126">
            <v>-116.4</v>
          </cell>
          <cell r="CY126">
            <v>-120.7</v>
          </cell>
        </row>
        <row r="127">
          <cell r="CO127">
            <v>0.8</v>
          </cell>
          <cell r="CP127">
            <v>1.4</v>
          </cell>
          <cell r="CQ127">
            <v>1.4</v>
          </cell>
          <cell r="CR127">
            <v>0.4</v>
          </cell>
          <cell r="CS127">
            <v>7.7</v>
          </cell>
          <cell r="CT127">
            <v>8</v>
          </cell>
          <cell r="CU127">
            <v>10.8</v>
          </cell>
          <cell r="CV127">
            <v>6</v>
          </cell>
          <cell r="CW127">
            <v>7.4</v>
          </cell>
          <cell r="CX127">
            <v>7.9</v>
          </cell>
          <cell r="CY127">
            <v>8.1999999999999993</v>
          </cell>
          <cell r="CZ127">
            <v>0.1</v>
          </cell>
        </row>
        <row r="128">
          <cell r="CO128">
            <v>0</v>
          </cell>
          <cell r="CP128">
            <v>0</v>
          </cell>
          <cell r="CQ128">
            <v>0</v>
          </cell>
          <cell r="CR128">
            <v>0</v>
          </cell>
          <cell r="CS128">
            <v>0</v>
          </cell>
          <cell r="CT128">
            <v>0</v>
          </cell>
          <cell r="CU128">
            <v>-4.9000000000000004</v>
          </cell>
          <cell r="CV128">
            <v>-0.2</v>
          </cell>
          <cell r="CW128">
            <v>-0.2</v>
          </cell>
          <cell r="CX128">
            <v>-0.2</v>
          </cell>
          <cell r="CY128">
            <v>-0.3</v>
          </cell>
          <cell r="CZ128">
            <v>-2.4</v>
          </cell>
        </row>
        <row r="129">
          <cell r="CO129">
            <v>-85.8</v>
          </cell>
          <cell r="CP129">
            <v>-45.300000000000004</v>
          </cell>
          <cell r="CQ129">
            <v>-229.49999999999997</v>
          </cell>
          <cell r="CR129">
            <v>21.4</v>
          </cell>
          <cell r="CS129">
            <v>-7.3999999999999995</v>
          </cell>
          <cell r="CT129">
            <v>-40.299999999999997</v>
          </cell>
          <cell r="CU129">
            <v>-164.1</v>
          </cell>
          <cell r="CV129">
            <v>15.900000000000002</v>
          </cell>
          <cell r="CW129">
            <v>-103.1</v>
          </cell>
          <cell r="CX129">
            <v>-108.7</v>
          </cell>
          <cell r="CY129">
            <v>-112.8</v>
          </cell>
          <cell r="CZ129">
            <v>-5</v>
          </cell>
        </row>
        <row r="131">
          <cell r="CO131">
            <v>-7.5</v>
          </cell>
          <cell r="CP131">
            <v>-9.1999999999999993</v>
          </cell>
          <cell r="CQ131">
            <v>-20.9</v>
          </cell>
          <cell r="CR131">
            <v>6.6</v>
          </cell>
          <cell r="CS131">
            <v>13.5</v>
          </cell>
          <cell r="CT131">
            <v>14.7</v>
          </cell>
          <cell r="CU131">
            <v>30.5</v>
          </cell>
          <cell r="CV131">
            <v>-0.2</v>
          </cell>
          <cell r="CW131">
            <v>7.3</v>
          </cell>
          <cell r="CX131">
            <v>7.8</v>
          </cell>
          <cell r="CY131">
            <v>13.7</v>
          </cell>
          <cell r="CZ131">
            <v>1.1000000000000001</v>
          </cell>
        </row>
        <row r="133">
          <cell r="CO133">
            <v>-278.7</v>
          </cell>
          <cell r="CP133">
            <v>-298.2999999999999</v>
          </cell>
          <cell r="CQ133">
            <v>-105</v>
          </cell>
          <cell r="CR133">
            <v>-168.3</v>
          </cell>
          <cell r="CS133">
            <v>-54.000000000000014</v>
          </cell>
          <cell r="CT133">
            <v>-54.100000000000009</v>
          </cell>
          <cell r="CU133">
            <v>180.5</v>
          </cell>
          <cell r="CV133">
            <v>-243.19999999999996</v>
          </cell>
          <cell r="CW133">
            <v>-171.29999999999995</v>
          </cell>
          <cell r="CX133">
            <v>-234.30000000000007</v>
          </cell>
          <cell r="CY133">
            <v>181.3</v>
          </cell>
          <cell r="CZ133">
            <v>-331.89999999999992</v>
          </cell>
        </row>
        <row r="135">
          <cell r="CO135">
            <v>46.900000000000034</v>
          </cell>
          <cell r="CP135">
            <v>27.300000000000125</v>
          </cell>
          <cell r="CQ135">
            <v>220.60000000000002</v>
          </cell>
          <cell r="CR135">
            <v>52.299999999999983</v>
          </cell>
          <cell r="CS135">
            <v>166.59999999999997</v>
          </cell>
          <cell r="CT135">
            <v>166.5</v>
          </cell>
          <cell r="CU135">
            <v>401.1</v>
          </cell>
          <cell r="CV135">
            <v>157.90000000000006</v>
          </cell>
          <cell r="CW135">
            <v>229.80000000000007</v>
          </cell>
          <cell r="CX135">
            <v>166.79999999999995</v>
          </cell>
          <cell r="CY135">
            <v>582.40000000000066</v>
          </cell>
          <cell r="CZ135">
            <v>250.50000000000006</v>
          </cell>
        </row>
        <row r="137">
          <cell r="CO137">
            <v>987.30000000000007</v>
          </cell>
          <cell r="CP137">
            <v>1025.0999999999999</v>
          </cell>
          <cell r="CQ137">
            <v>848.09999999999991</v>
          </cell>
          <cell r="CR137">
            <v>896.09999999999991</v>
          </cell>
          <cell r="CS137">
            <v>884.5</v>
          </cell>
          <cell r="CT137">
            <v>869.69999999999993</v>
          </cell>
          <cell r="CU137">
            <v>785</v>
          </cell>
          <cell r="CV137">
            <v>790.89999999999986</v>
          </cell>
          <cell r="CW137">
            <v>680.1</v>
          </cell>
          <cell r="CX137">
            <v>691.3</v>
          </cell>
          <cell r="CY137">
            <v>696.8</v>
          </cell>
          <cell r="CZ137">
            <v>718.4</v>
          </cell>
        </row>
        <row r="138">
          <cell r="CO138">
            <v>1487.5</v>
          </cell>
          <cell r="CP138">
            <v>1534.8</v>
          </cell>
          <cell r="CQ138">
            <v>1416</v>
          </cell>
          <cell r="CR138">
            <v>1485.7</v>
          </cell>
          <cell r="CS138">
            <v>1567.3</v>
          </cell>
          <cell r="CT138">
            <v>1562.6</v>
          </cell>
          <cell r="CU138">
            <v>1493.6</v>
          </cell>
          <cell r="CV138">
            <v>1550.3</v>
          </cell>
          <cell r="CW138">
            <v>1677.6</v>
          </cell>
          <cell r="CX138">
            <v>1853.6000000000001</v>
          </cell>
          <cell r="CY138">
            <v>2043</v>
          </cell>
          <cell r="CZ138">
            <v>2192.4</v>
          </cell>
        </row>
        <row r="139">
          <cell r="CO139">
            <v>2474.8000000000002</v>
          </cell>
          <cell r="CP139">
            <v>2559.8999999999996</v>
          </cell>
          <cell r="CQ139">
            <v>2264.1</v>
          </cell>
          <cell r="CR139">
            <v>2381.8000000000002</v>
          </cell>
          <cell r="CS139">
            <v>2451.8000000000002</v>
          </cell>
          <cell r="CT139">
            <v>2432.2999999999997</v>
          </cell>
          <cell r="CU139">
            <v>2278.6</v>
          </cell>
          <cell r="CV139">
            <v>2341.1999999999998</v>
          </cell>
          <cell r="CW139">
            <v>2357.6999999999998</v>
          </cell>
          <cell r="CX139">
            <v>2544.9</v>
          </cell>
          <cell r="CY139">
            <v>2739.8</v>
          </cell>
          <cell r="CZ139">
            <v>2910.8</v>
          </cell>
        </row>
        <row r="140">
          <cell r="CO140">
            <v>0.39894132859220949</v>
          </cell>
          <cell r="CP140">
            <v>0.40044532989569909</v>
          </cell>
          <cell r="CQ140">
            <v>0.3745859281833841</v>
          </cell>
          <cell r="CR140">
            <v>0.37622806280963972</v>
          </cell>
          <cell r="CS140">
            <v>0.36075536340647685</v>
          </cell>
          <cell r="CT140">
            <v>0.35756280064136825</v>
          </cell>
          <cell r="CU140">
            <v>0.34450978671113835</v>
          </cell>
          <cell r="CV140">
            <v>0.33781821288228253</v>
          </cell>
          <cell r="CW140">
            <v>0.28845909148746662</v>
          </cell>
          <cell r="CX140">
            <v>0.27164132185940504</v>
          </cell>
          <cell r="CY140">
            <v>0.25432513322140299</v>
          </cell>
          <cell r="CZ140">
            <v>0.24680500206128897</v>
          </cell>
        </row>
        <row r="141">
          <cell r="CO141">
            <v>14.934738955823294</v>
          </cell>
          <cell r="CP141">
            <v>16.921719955898567</v>
          </cell>
          <cell r="CQ141">
            <v>15.646408839779005</v>
          </cell>
          <cell r="CR141">
            <v>16.380374862183022</v>
          </cell>
          <cell r="CS141">
            <v>17.110262008733624</v>
          </cell>
          <cell r="CT141">
            <v>16.984782608695649</v>
          </cell>
          <cell r="CU141">
            <v>16.44933920704846</v>
          </cell>
          <cell r="CV141">
            <v>16.353375527426159</v>
          </cell>
          <cell r="CW141">
            <v>17.49322210636079</v>
          </cell>
          <cell r="CX141">
            <v>19.228215767634854</v>
          </cell>
          <cell r="CY141">
            <v>20.594758064516128</v>
          </cell>
          <cell r="CZ141">
            <v>22.0785498489426</v>
          </cell>
        </row>
        <row r="142">
          <cell r="CO142">
            <v>0.16269323256612839</v>
          </cell>
          <cell r="CP142">
            <v>7.3586341527975149E-2</v>
          </cell>
          <cell r="CQ142">
            <v>7.2929375084722775E-2</v>
          </cell>
          <cell r="CR142">
            <v>4.7971878553950957E-2</v>
          </cell>
          <cell r="CS142">
            <v>0.10717327219128714</v>
          </cell>
          <cell r="CT142">
            <v>1.5335953225342897E-2</v>
          </cell>
          <cell r="CU142">
            <v>7.0593896068188403E-2</v>
          </cell>
          <cell r="CV142">
            <v>6.4391077236439526E-2</v>
          </cell>
          <cell r="CW142">
            <v>0.15861705752966335</v>
          </cell>
          <cell r="CX142">
            <v>0.1681014952424105</v>
          </cell>
          <cell r="CY142">
            <v>4.1574706154083173E-2</v>
          </cell>
          <cell r="CZ142">
            <v>0.11786372007366433</v>
          </cell>
        </row>
        <row r="143">
          <cell r="CO143">
            <v>-171.7</v>
          </cell>
          <cell r="CP143">
            <v>-230.7999999999999</v>
          </cell>
          <cell r="CQ143">
            <v>168.39999999999998</v>
          </cell>
          <cell r="CR143">
            <v>-197.4</v>
          </cell>
          <cell r="CS143">
            <v>-58.500000000000014</v>
          </cell>
          <cell r="CT143">
            <v>-27.000000000000014</v>
          </cell>
          <cell r="CU143">
            <v>317.00000000000051</v>
          </cell>
          <cell r="CV143">
            <v>-258.89999999999998</v>
          </cell>
          <cell r="CW143">
            <v>-75.999999999999972</v>
          </cell>
          <cell r="CX143">
            <v>-51.400000000000063</v>
          </cell>
          <cell r="CY143">
            <v>368.9</v>
          </cell>
          <cell r="CZ143">
            <v>-327.79999999999995</v>
          </cell>
        </row>
        <row r="149">
          <cell r="CO149">
            <v>38533</v>
          </cell>
          <cell r="CP149">
            <v>38625</v>
          </cell>
          <cell r="CQ149">
            <v>38717</v>
          </cell>
          <cell r="CR149">
            <v>38807</v>
          </cell>
          <cell r="CS149">
            <v>38898</v>
          </cell>
          <cell r="CT149">
            <v>38990</v>
          </cell>
          <cell r="CU149">
            <v>39082</v>
          </cell>
          <cell r="CV149">
            <v>39172</v>
          </cell>
          <cell r="CW149">
            <v>39263</v>
          </cell>
          <cell r="CX149">
            <v>39355</v>
          </cell>
          <cell r="CY149">
            <v>39447</v>
          </cell>
          <cell r="CZ149">
            <v>39538</v>
          </cell>
          <cell r="DA149">
            <v>39629</v>
          </cell>
          <cell r="DB149">
            <v>39721</v>
          </cell>
          <cell r="DC149">
            <v>39813</v>
          </cell>
        </row>
        <row r="151">
          <cell r="CO151">
            <v>46.9</v>
          </cell>
          <cell r="CP151">
            <v>27.3</v>
          </cell>
          <cell r="CQ151">
            <v>220.6</v>
          </cell>
          <cell r="CR151">
            <v>52.3</v>
          </cell>
          <cell r="CS151">
            <v>166.6</v>
          </cell>
          <cell r="CT151">
            <v>166.5</v>
          </cell>
          <cell r="CU151">
            <v>401.1</v>
          </cell>
          <cell r="CV151">
            <v>157.4</v>
          </cell>
          <cell r="CW151">
            <v>229.8</v>
          </cell>
          <cell r="CX151">
            <v>166.8</v>
          </cell>
          <cell r="CY151">
            <v>582.4</v>
          </cell>
          <cell r="CZ151">
            <v>250.5</v>
          </cell>
        </row>
        <row r="152">
          <cell r="CO152">
            <v>835.2</v>
          </cell>
          <cell r="CP152">
            <v>791.3</v>
          </cell>
          <cell r="CQ152">
            <v>655.7</v>
          </cell>
          <cell r="CR152">
            <v>698.4</v>
          </cell>
          <cell r="CS152">
            <v>670.1</v>
          </cell>
          <cell r="CT152">
            <v>582.9</v>
          </cell>
          <cell r="CU152">
            <v>677.1</v>
          </cell>
          <cell r="CV152">
            <v>734.7</v>
          </cell>
          <cell r="CW152">
            <v>727.7</v>
          </cell>
          <cell r="CX152">
            <v>739.6</v>
          </cell>
          <cell r="CY152">
            <v>766.4</v>
          </cell>
          <cell r="CZ152">
            <v>867.1</v>
          </cell>
        </row>
        <row r="153">
          <cell r="CO153">
            <v>1291.5999999999999</v>
          </cell>
          <cell r="CP153">
            <v>1304.2</v>
          </cell>
          <cell r="CQ153">
            <v>1062.5</v>
          </cell>
          <cell r="CR153">
            <v>1263.5999999999999</v>
          </cell>
          <cell r="CS153">
            <v>1265.4000000000001</v>
          </cell>
          <cell r="CT153">
            <v>1261.3</v>
          </cell>
          <cell r="CU153">
            <v>1064.9000000000001</v>
          </cell>
          <cell r="CV153">
            <v>1227.5</v>
          </cell>
          <cell r="CW153">
            <v>1248.5</v>
          </cell>
          <cell r="CX153">
            <v>1333.7</v>
          </cell>
          <cell r="CY153">
            <v>1134.2</v>
          </cell>
          <cell r="CZ153">
            <v>1498.2</v>
          </cell>
        </row>
        <row r="154">
          <cell r="CO154">
            <v>185.79999999999995</v>
          </cell>
          <cell r="CP154">
            <v>198.29999999999973</v>
          </cell>
          <cell r="CQ154">
            <v>147.4</v>
          </cell>
          <cell r="CR154">
            <v>153.29999999999973</v>
          </cell>
          <cell r="CS154">
            <v>160.80000000000001</v>
          </cell>
          <cell r="CT154">
            <v>149.69999999999999</v>
          </cell>
          <cell r="CU154">
            <v>165.9</v>
          </cell>
          <cell r="CV154">
            <v>142.29999999999995</v>
          </cell>
          <cell r="CW154">
            <v>155.79999999999998</v>
          </cell>
          <cell r="CX154">
            <v>202.6</v>
          </cell>
          <cell r="CY154">
            <v>238.7</v>
          </cell>
          <cell r="CZ154">
            <v>262.3</v>
          </cell>
        </row>
        <row r="155">
          <cell r="CO155">
            <v>2359.5</v>
          </cell>
          <cell r="CP155">
            <v>2321.1</v>
          </cell>
          <cell r="CQ155">
            <v>2086.1999999999998</v>
          </cell>
          <cell r="CR155">
            <v>2167.6</v>
          </cell>
          <cell r="CS155">
            <v>2262.9</v>
          </cell>
          <cell r="CT155">
            <v>2160.4</v>
          </cell>
          <cell r="CU155">
            <v>2309</v>
          </cell>
          <cell r="CV155">
            <v>2261.9</v>
          </cell>
          <cell r="CW155">
            <v>2361.8000000000002</v>
          </cell>
          <cell r="CX155">
            <v>2442.7000000000003</v>
          </cell>
          <cell r="CY155">
            <v>2721.7</v>
          </cell>
          <cell r="CZ155">
            <v>2878.1000000000004</v>
          </cell>
        </row>
        <row r="159">
          <cell r="CO159">
            <v>547.9</v>
          </cell>
          <cell r="CP159">
            <v>546</v>
          </cell>
          <cell r="CQ159">
            <v>561.4</v>
          </cell>
          <cell r="CR159">
            <v>577.4</v>
          </cell>
          <cell r="CS159">
            <v>599.1</v>
          </cell>
          <cell r="CT159">
            <v>604.79999999999995</v>
          </cell>
          <cell r="CU159">
            <v>643.9</v>
          </cell>
          <cell r="CV159">
            <v>650.20000000000005</v>
          </cell>
          <cell r="CW159">
            <v>663.4</v>
          </cell>
          <cell r="CX159">
            <v>702.9</v>
          </cell>
          <cell r="CY159">
            <v>753</v>
          </cell>
          <cell r="CZ159">
            <v>806.7</v>
          </cell>
        </row>
        <row r="160">
          <cell r="CO160">
            <v>150.30000000000001</v>
          </cell>
          <cell r="CP160">
            <v>160.19999999999999</v>
          </cell>
          <cell r="CQ160">
            <v>164.7</v>
          </cell>
          <cell r="CR160">
            <v>174.7</v>
          </cell>
          <cell r="CS160">
            <v>184.4</v>
          </cell>
          <cell r="CT160">
            <v>186.7</v>
          </cell>
          <cell r="CU160">
            <v>191.6</v>
          </cell>
          <cell r="CV160">
            <v>196.2</v>
          </cell>
          <cell r="CW160">
            <v>200.7</v>
          </cell>
          <cell r="CX160">
            <v>277.3</v>
          </cell>
          <cell r="CY160">
            <v>284.60000000000002</v>
          </cell>
          <cell r="CZ160">
            <v>302.8</v>
          </cell>
        </row>
        <row r="161">
          <cell r="CO161">
            <v>132.5</v>
          </cell>
          <cell r="CP161">
            <v>130.5</v>
          </cell>
          <cell r="CQ161">
            <v>84.1</v>
          </cell>
          <cell r="CR161">
            <v>73.900000000000006</v>
          </cell>
          <cell r="CS161">
            <v>71.5</v>
          </cell>
          <cell r="CT161">
            <v>81.900000000000006</v>
          </cell>
          <cell r="CU161">
            <v>105.5</v>
          </cell>
          <cell r="CV161">
            <v>106.5</v>
          </cell>
          <cell r="CW161">
            <v>108</v>
          </cell>
          <cell r="CX161">
            <v>81.599999999999994</v>
          </cell>
          <cell r="CY161">
            <v>89.1</v>
          </cell>
          <cell r="CZ161">
            <v>83.1</v>
          </cell>
        </row>
        <row r="162">
          <cell r="CO162">
            <v>71.8</v>
          </cell>
          <cell r="CP162">
            <v>64.599999999999994</v>
          </cell>
          <cell r="CQ162">
            <v>56.6</v>
          </cell>
          <cell r="CR162">
            <v>56</v>
          </cell>
          <cell r="CS162">
            <v>64.400000000000006</v>
          </cell>
          <cell r="CT162">
            <v>64.3</v>
          </cell>
          <cell r="CU162">
            <v>64.5</v>
          </cell>
          <cell r="CV162">
            <v>68.099999999999994</v>
          </cell>
          <cell r="CW162">
            <v>77.8</v>
          </cell>
          <cell r="CX162">
            <v>74</v>
          </cell>
          <cell r="CY162">
            <v>67.900000000000006</v>
          </cell>
          <cell r="CZ162">
            <v>68</v>
          </cell>
        </row>
        <row r="163">
          <cell r="CO163">
            <v>700.2</v>
          </cell>
          <cell r="CP163">
            <v>704.4</v>
          </cell>
          <cell r="CQ163">
            <v>696.7</v>
          </cell>
          <cell r="CR163">
            <v>716.3</v>
          </cell>
          <cell r="CS163">
            <v>759.5</v>
          </cell>
          <cell r="CT163">
            <v>755.2</v>
          </cell>
          <cell r="CU163">
            <v>592.1</v>
          </cell>
          <cell r="CV163">
            <v>601.6</v>
          </cell>
          <cell r="CW163">
            <v>617.79999999999995</v>
          </cell>
          <cell r="CX163">
            <v>656.7</v>
          </cell>
          <cell r="CY163">
            <v>665.6</v>
          </cell>
          <cell r="CZ163">
            <v>706.4</v>
          </cell>
        </row>
        <row r="164">
          <cell r="CO164">
            <v>221.7</v>
          </cell>
          <cell r="CP164">
            <v>218.7</v>
          </cell>
          <cell r="CQ164">
            <v>211.5</v>
          </cell>
          <cell r="CR164">
            <v>212.2</v>
          </cell>
          <cell r="CS164">
            <v>213.2</v>
          </cell>
          <cell r="CT164">
            <v>207.9</v>
          </cell>
          <cell r="CU164">
            <v>207.9</v>
          </cell>
          <cell r="CV164">
            <v>205.9</v>
          </cell>
          <cell r="CW164">
            <v>205</v>
          </cell>
          <cell r="CX164">
            <v>207.4</v>
          </cell>
          <cell r="CY164">
            <v>205.7</v>
          </cell>
          <cell r="CZ164">
            <v>208.7</v>
          </cell>
        </row>
        <row r="165">
          <cell r="CO165">
            <v>4183.8999999999996</v>
          </cell>
          <cell r="CP165">
            <v>4145.5</v>
          </cell>
          <cell r="CQ165">
            <v>3861.2000000000003</v>
          </cell>
          <cell r="CR165">
            <v>3978.0999999999995</v>
          </cell>
          <cell r="CS165">
            <v>4155</v>
          </cell>
          <cell r="CT165">
            <v>4061.2000000000003</v>
          </cell>
          <cell r="CU165">
            <v>4114.5</v>
          </cell>
          <cell r="CV165">
            <v>4090.4000000000005</v>
          </cell>
          <cell r="CW165">
            <v>4234.5</v>
          </cell>
          <cell r="CX165">
            <v>4442.6000000000004</v>
          </cell>
          <cell r="CY165">
            <v>4787.5999999999995</v>
          </cell>
          <cell r="CZ165">
            <v>5053.8</v>
          </cell>
        </row>
        <row r="168">
          <cell r="CO168">
            <v>6.6</v>
          </cell>
          <cell r="CP168">
            <v>6.5</v>
          </cell>
          <cell r="CQ168">
            <v>6.3</v>
          </cell>
          <cell r="CR168">
            <v>6.3</v>
          </cell>
          <cell r="CS168">
            <v>6.3</v>
          </cell>
          <cell r="CT168">
            <v>6.3</v>
          </cell>
          <cell r="CU168">
            <v>207.6</v>
          </cell>
          <cell r="CV168">
            <v>6.3</v>
          </cell>
          <cell r="CW168">
            <v>202.9</v>
          </cell>
          <cell r="CX168">
            <v>202.3</v>
          </cell>
          <cell r="CY168">
            <v>402.7</v>
          </cell>
          <cell r="CZ168">
            <v>402.5</v>
          </cell>
        </row>
        <row r="169">
          <cell r="CO169">
            <v>673.4</v>
          </cell>
          <cell r="CP169">
            <v>540.20000000000005</v>
          </cell>
          <cell r="CQ169">
            <v>590.9</v>
          </cell>
          <cell r="CR169">
            <v>631.4</v>
          </cell>
          <cell r="CS169">
            <v>629.79999999999995</v>
          </cell>
          <cell r="CT169">
            <v>565.79999999999995</v>
          </cell>
          <cell r="CU169">
            <v>706.9</v>
          </cell>
          <cell r="CV169">
            <v>684.8</v>
          </cell>
          <cell r="CW169">
            <v>722.9</v>
          </cell>
          <cell r="CX169">
            <v>709.1</v>
          </cell>
          <cell r="CY169">
            <v>827.1</v>
          </cell>
          <cell r="CZ169">
            <v>923.2</v>
          </cell>
        </row>
        <row r="170">
          <cell r="CO170">
            <v>588.29999999999995</v>
          </cell>
          <cell r="CP170">
            <v>573.70000000000005</v>
          </cell>
          <cell r="CQ170">
            <v>561.79999999999995</v>
          </cell>
          <cell r="CR170">
            <v>517.29999999999995</v>
          </cell>
          <cell r="CS170">
            <v>589.5</v>
          </cell>
          <cell r="CT170">
            <v>594.5</v>
          </cell>
          <cell r="CU170">
            <v>629.70000000000005</v>
          </cell>
          <cell r="CV170">
            <v>561.1</v>
          </cell>
          <cell r="CW170">
            <v>646.6</v>
          </cell>
          <cell r="CX170">
            <v>703.3</v>
          </cell>
          <cell r="CY170">
            <v>773.2</v>
          </cell>
          <cell r="CZ170">
            <v>769.9</v>
          </cell>
        </row>
        <row r="171">
          <cell r="CO171">
            <v>108.7</v>
          </cell>
          <cell r="CP171">
            <v>139</v>
          </cell>
          <cell r="CQ171">
            <v>101.3</v>
          </cell>
          <cell r="CR171">
            <v>85.9</v>
          </cell>
          <cell r="CS171">
            <v>83.3</v>
          </cell>
          <cell r="CT171">
            <v>67</v>
          </cell>
          <cell r="CU171">
            <v>79.400000000000006</v>
          </cell>
          <cell r="CV171">
            <v>59.1</v>
          </cell>
          <cell r="CW171">
            <v>57.3</v>
          </cell>
          <cell r="CX171">
            <v>54.4</v>
          </cell>
          <cell r="CY171">
            <v>80.3</v>
          </cell>
          <cell r="CZ171">
            <v>802</v>
          </cell>
        </row>
        <row r="172">
          <cell r="CO172">
            <v>1377</v>
          </cell>
          <cell r="CP172">
            <v>1259.4000000000001</v>
          </cell>
          <cell r="CQ172">
            <v>1260.3</v>
          </cell>
          <cell r="CR172">
            <v>1240.9000000000001</v>
          </cell>
          <cell r="CS172">
            <v>1308.9000000000001</v>
          </cell>
          <cell r="CT172">
            <v>1233.5999999999999</v>
          </cell>
          <cell r="CU172">
            <v>1623.6</v>
          </cell>
          <cell r="CV172">
            <v>1311.2999999999997</v>
          </cell>
          <cell r="CW172">
            <v>1629.7</v>
          </cell>
          <cell r="CX172">
            <v>1669.1000000000001</v>
          </cell>
          <cell r="CY172">
            <v>2083.3000000000002</v>
          </cell>
          <cell r="CZ172">
            <v>2897.6</v>
          </cell>
        </row>
        <row r="174">
          <cell r="CO174">
            <v>980.7</v>
          </cell>
          <cell r="CP174">
            <v>1018.6</v>
          </cell>
          <cell r="CQ174">
            <v>841.8</v>
          </cell>
          <cell r="CR174">
            <v>889.8</v>
          </cell>
          <cell r="CS174">
            <v>878.2</v>
          </cell>
          <cell r="CT174">
            <v>863.4</v>
          </cell>
          <cell r="CU174">
            <v>577.4</v>
          </cell>
          <cell r="CV174">
            <v>784.59999999999991</v>
          </cell>
          <cell r="CW174">
            <v>477.2</v>
          </cell>
          <cell r="CX174">
            <v>489</v>
          </cell>
          <cell r="CY174">
            <v>294.10000000000002</v>
          </cell>
          <cell r="CZ174">
            <v>315.89999999999998</v>
          </cell>
        </row>
        <row r="175">
          <cell r="CO175">
            <v>232.6</v>
          </cell>
          <cell r="CP175">
            <v>227.7</v>
          </cell>
          <cell r="CQ175">
            <v>241.7</v>
          </cell>
          <cell r="CR175">
            <v>242.2</v>
          </cell>
          <cell r="CS175">
            <v>257.89999999999998</v>
          </cell>
          <cell r="CT175">
            <v>259.89999999999998</v>
          </cell>
          <cell r="CU175">
            <v>268.10000000000002</v>
          </cell>
          <cell r="CV175">
            <v>268.8</v>
          </cell>
          <cell r="CW175">
            <v>270.39999999999998</v>
          </cell>
          <cell r="CX175">
            <v>259.8</v>
          </cell>
          <cell r="CY175">
            <v>150.30000000000001</v>
          </cell>
          <cell r="CZ175">
            <v>150.6</v>
          </cell>
        </row>
        <row r="176">
          <cell r="CO176">
            <v>106.1</v>
          </cell>
          <cell r="CP176">
            <v>105</v>
          </cell>
          <cell r="CQ176">
            <v>101.3</v>
          </cell>
          <cell r="CR176">
            <v>119.5</v>
          </cell>
          <cell r="CS176">
            <v>142.69999999999999</v>
          </cell>
          <cell r="CT176">
            <v>141.69999999999999</v>
          </cell>
          <cell r="CU176">
            <v>151.80000000000001</v>
          </cell>
          <cell r="CV176">
            <v>175.39999999999998</v>
          </cell>
          <cell r="CW176">
            <v>179.6</v>
          </cell>
          <cell r="CX176">
            <v>171.1</v>
          </cell>
          <cell r="CY176">
            <v>216.89999999999998</v>
          </cell>
          <cell r="CZ176">
            <v>219.1</v>
          </cell>
        </row>
        <row r="177">
          <cell r="CO177">
            <v>2696.4</v>
          </cell>
          <cell r="CP177">
            <v>2610.6999999999998</v>
          </cell>
          <cell r="CQ177">
            <v>2445.1</v>
          </cell>
          <cell r="CR177">
            <v>2492.4</v>
          </cell>
          <cell r="CS177">
            <v>2587.6999999999998</v>
          </cell>
          <cell r="CT177">
            <v>2498.6</v>
          </cell>
          <cell r="CU177">
            <v>2620.9</v>
          </cell>
          <cell r="CV177">
            <v>2540.0999999999995</v>
          </cell>
          <cell r="CW177">
            <v>2556.9</v>
          </cell>
          <cell r="CX177">
            <v>2589</v>
          </cell>
          <cell r="CY177">
            <v>2744.6000000000004</v>
          </cell>
          <cell r="CZ177">
            <v>3583.2</v>
          </cell>
        </row>
        <row r="179">
          <cell r="CO179">
            <v>894.9</v>
          </cell>
          <cell r="CP179">
            <v>895.6</v>
          </cell>
          <cell r="CQ179">
            <v>895.6</v>
          </cell>
          <cell r="CR179">
            <v>897.19999999999993</v>
          </cell>
          <cell r="CS179">
            <v>906.4</v>
          </cell>
          <cell r="CT179">
            <v>908.1</v>
          </cell>
          <cell r="CU179">
            <v>909.8</v>
          </cell>
          <cell r="CV179">
            <v>917.6</v>
          </cell>
          <cell r="CW179">
            <v>920.6</v>
          </cell>
          <cell r="CX179">
            <v>928.1</v>
          </cell>
          <cell r="CY179">
            <v>943.6</v>
          </cell>
          <cell r="CZ179">
            <v>947.5</v>
          </cell>
        </row>
        <row r="180">
          <cell r="CO180">
            <v>861.4</v>
          </cell>
          <cell r="CP180">
            <v>889.2</v>
          </cell>
          <cell r="CQ180">
            <v>825.4</v>
          </cell>
          <cell r="CR180">
            <v>842.7</v>
          </cell>
          <cell r="CS180">
            <v>883.6</v>
          </cell>
          <cell r="CT180">
            <v>889</v>
          </cell>
          <cell r="CU180">
            <v>774.1</v>
          </cell>
          <cell r="CV180">
            <v>798.6</v>
          </cell>
          <cell r="CW180">
            <v>862.4</v>
          </cell>
          <cell r="CX180">
            <v>939.3</v>
          </cell>
          <cell r="CY180">
            <v>1020.4</v>
          </cell>
          <cell r="CZ180">
            <v>1081.5999999999999</v>
          </cell>
        </row>
        <row r="181">
          <cell r="CO181">
            <v>-0.2</v>
          </cell>
          <cell r="CP181">
            <v>-0.1</v>
          </cell>
          <cell r="CQ181">
            <v>-0.1</v>
          </cell>
          <cell r="CR181">
            <v>0</v>
          </cell>
          <cell r="CS181">
            <v>0</v>
          </cell>
          <cell r="CT181">
            <v>0</v>
          </cell>
          <cell r="CU181">
            <v>0</v>
          </cell>
          <cell r="CV181">
            <v>0</v>
          </cell>
          <cell r="CW181">
            <v>0</v>
          </cell>
          <cell r="CX181">
            <v>0</v>
          </cell>
          <cell r="CY181">
            <v>0</v>
          </cell>
          <cell r="CZ181">
            <v>0</v>
          </cell>
        </row>
        <row r="182">
          <cell r="CO182">
            <v>-268.60000000000002</v>
          </cell>
          <cell r="CP182">
            <v>-249.9</v>
          </cell>
          <cell r="CQ182">
            <v>-304.89999999999998</v>
          </cell>
          <cell r="CR182">
            <v>-254.2</v>
          </cell>
          <cell r="CS182">
            <v>-222.7</v>
          </cell>
          <cell r="CT182">
            <v>-234.5</v>
          </cell>
          <cell r="CU182">
            <v>-190.3</v>
          </cell>
          <cell r="CV182">
            <v>-165.9</v>
          </cell>
          <cell r="CW182">
            <v>-105.4</v>
          </cell>
          <cell r="CX182">
            <v>-13.8</v>
          </cell>
          <cell r="CY182">
            <v>79</v>
          </cell>
          <cell r="CZ182">
            <v>163.30000000000001</v>
          </cell>
        </row>
        <row r="183">
          <cell r="CO183">
            <v>1487.5</v>
          </cell>
          <cell r="CP183">
            <v>1534.8</v>
          </cell>
          <cell r="CQ183">
            <v>1416</v>
          </cell>
          <cell r="CR183">
            <v>1485.7</v>
          </cell>
          <cell r="CS183">
            <v>1567.3</v>
          </cell>
          <cell r="CT183">
            <v>1562.6</v>
          </cell>
          <cell r="CU183">
            <v>1493.6</v>
          </cell>
          <cell r="CV183">
            <v>1550.3</v>
          </cell>
          <cell r="CW183">
            <v>1677.6</v>
          </cell>
          <cell r="CX183">
            <v>1853.6000000000001</v>
          </cell>
          <cell r="CY183">
            <v>2043</v>
          </cell>
          <cell r="CZ183">
            <v>2192.4</v>
          </cell>
        </row>
        <row r="185">
          <cell r="CO185">
            <v>4183.8999999999996</v>
          </cell>
          <cell r="CP185">
            <v>4145.5</v>
          </cell>
          <cell r="CQ185">
            <v>3861.1</v>
          </cell>
          <cell r="CR185">
            <v>3978.1000000000004</v>
          </cell>
          <cell r="CS185">
            <v>4155</v>
          </cell>
          <cell r="CT185">
            <v>4061.2</v>
          </cell>
          <cell r="CU185">
            <v>4114.5</v>
          </cell>
          <cell r="CV185">
            <v>4090.3999999999996</v>
          </cell>
          <cell r="CW185">
            <v>4234.5</v>
          </cell>
          <cell r="CX185">
            <v>4442.6000000000004</v>
          </cell>
          <cell r="CY185">
            <v>4787.6000000000004</v>
          </cell>
          <cell r="CZ185">
            <v>5775.6</v>
          </cell>
        </row>
        <row r="186">
          <cell r="CY186">
            <v>0</v>
          </cell>
        </row>
        <row r="187">
          <cell r="CO187">
            <v>6.6</v>
          </cell>
          <cell r="CP187">
            <v>6.5</v>
          </cell>
          <cell r="CQ187">
            <v>6.3</v>
          </cell>
          <cell r="CR187">
            <v>6.3</v>
          </cell>
          <cell r="CS187">
            <v>6.3</v>
          </cell>
          <cell r="CT187">
            <v>6.3</v>
          </cell>
          <cell r="CU187">
            <v>207.6</v>
          </cell>
          <cell r="CV187">
            <v>6.3</v>
          </cell>
          <cell r="CW187">
            <v>202.9</v>
          </cell>
          <cell r="CX187">
            <v>202.3</v>
          </cell>
          <cell r="CY187">
            <v>402.7</v>
          </cell>
          <cell r="CZ187">
            <v>402.5</v>
          </cell>
        </row>
        <row r="188">
          <cell r="CO188">
            <v>980.7</v>
          </cell>
          <cell r="CP188">
            <v>1018.6</v>
          </cell>
          <cell r="CQ188">
            <v>841.8</v>
          </cell>
          <cell r="CR188">
            <v>889.8</v>
          </cell>
          <cell r="CS188">
            <v>878.2</v>
          </cell>
          <cell r="CT188">
            <v>863.4</v>
          </cell>
          <cell r="CU188">
            <v>577.4</v>
          </cell>
          <cell r="CV188">
            <v>784.59999999999991</v>
          </cell>
          <cell r="CW188">
            <v>477.2</v>
          </cell>
          <cell r="CX188">
            <v>489</v>
          </cell>
          <cell r="CY188">
            <v>294.10000000000002</v>
          </cell>
          <cell r="CZ188">
            <v>315.89999999999998</v>
          </cell>
        </row>
        <row r="189">
          <cell r="CO189">
            <v>987.30000000000007</v>
          </cell>
          <cell r="CP189">
            <v>1025.0999999999999</v>
          </cell>
          <cell r="CQ189">
            <v>848.09999999999991</v>
          </cell>
          <cell r="CR189">
            <v>896.09999999999991</v>
          </cell>
          <cell r="CS189">
            <v>884.5</v>
          </cell>
          <cell r="CT189">
            <v>869.69999999999993</v>
          </cell>
          <cell r="CU189">
            <v>785</v>
          </cell>
          <cell r="CV189">
            <v>790.89999999999986</v>
          </cell>
          <cell r="CW189">
            <v>680.1</v>
          </cell>
          <cell r="CX189">
            <v>691.3</v>
          </cell>
          <cell r="CY189">
            <v>696.8</v>
          </cell>
          <cell r="CZ189">
            <v>718.4</v>
          </cell>
        </row>
        <row r="191">
          <cell r="CO191">
            <v>940.40000000000009</v>
          </cell>
          <cell r="CP191">
            <v>997.8</v>
          </cell>
          <cell r="CQ191">
            <v>627.49999999999989</v>
          </cell>
          <cell r="CR191">
            <v>843.8</v>
          </cell>
          <cell r="CS191">
            <v>717.9</v>
          </cell>
          <cell r="CT191">
            <v>703.19999999999993</v>
          </cell>
          <cell r="CU191">
            <v>383.9</v>
          </cell>
          <cell r="CV191">
            <v>633.49999999999989</v>
          </cell>
          <cell r="CW191">
            <v>450.3</v>
          </cell>
          <cell r="CX191">
            <v>524.5</v>
          </cell>
          <cell r="CY191">
            <v>114.39999999999998</v>
          </cell>
          <cell r="CZ191">
            <v>467.9</v>
          </cell>
        </row>
        <row r="192">
          <cell r="CO192">
            <v>0.38733061493471727</v>
          </cell>
          <cell r="CP192">
            <v>0.39398246860933428</v>
          </cell>
          <cell r="CQ192">
            <v>0.30707120137019811</v>
          </cell>
          <cell r="CR192">
            <v>0.3622236531444516</v>
          </cell>
          <cell r="CS192">
            <v>0.31415193418519166</v>
          </cell>
          <cell r="CT192">
            <v>0.31035395886662548</v>
          </cell>
          <cell r="CU192">
            <v>0.20447403462050598</v>
          </cell>
          <cell r="CV192">
            <v>0.29009066764355707</v>
          </cell>
          <cell r="CW192">
            <v>0.21161708726913858</v>
          </cell>
          <cell r="CX192">
            <v>0.22055422396030441</v>
          </cell>
          <cell r="CY192">
            <v>5.3026791508297012E-2</v>
          </cell>
          <cell r="CZ192">
            <v>0.17588241927602147</v>
          </cell>
        </row>
        <row r="193">
          <cell r="CO193">
            <v>1173</v>
          </cell>
          <cell r="CP193">
            <v>1225.5</v>
          </cell>
          <cell r="CQ193">
            <v>869.19999999999982</v>
          </cell>
          <cell r="CR193">
            <v>1086</v>
          </cell>
          <cell r="CS193">
            <v>975.8</v>
          </cell>
          <cell r="CT193">
            <v>963.09999999999991</v>
          </cell>
          <cell r="CU193">
            <v>652</v>
          </cell>
          <cell r="CV193">
            <v>902.3</v>
          </cell>
          <cell r="CW193">
            <v>720.7</v>
          </cell>
          <cell r="CX193">
            <v>784.3</v>
          </cell>
          <cell r="CY193">
            <v>264.7</v>
          </cell>
          <cell r="CZ193">
            <v>618.5</v>
          </cell>
        </row>
        <row r="194">
          <cell r="CO194">
            <v>0.44089456869009586</v>
          </cell>
          <cell r="CP194">
            <v>0.44397348114335394</v>
          </cell>
          <cell r="CQ194">
            <v>0.38036058113075438</v>
          </cell>
          <cell r="CR194">
            <v>0.42228875840883467</v>
          </cell>
          <cell r="CS194">
            <v>0.38370492705752823</v>
          </cell>
          <cell r="CT194">
            <v>0.38132003009066795</v>
          </cell>
          <cell r="CU194">
            <v>0.30387770320656221</v>
          </cell>
          <cell r="CV194">
            <v>0.3678952947892033</v>
          </cell>
          <cell r="CW194">
            <v>0.30050452403786015</v>
          </cell>
          <cell r="CX194">
            <v>0.29731983774972515</v>
          </cell>
          <cell r="CY194">
            <v>0.11470295099016337</v>
          </cell>
          <cell r="CZ194">
            <v>0.22003628731011418</v>
          </cell>
        </row>
        <row r="196">
          <cell r="CO196">
            <v>47.746935145779084</v>
          </cell>
          <cell r="CP196">
            <v>57.731031128404673</v>
          </cell>
          <cell r="CQ196">
            <v>42.611740919922021</v>
          </cell>
          <cell r="CR196">
            <v>53.732261925115402</v>
          </cell>
          <cell r="CS196">
            <v>41.578076525336094</v>
          </cell>
          <cell r="CT196">
            <v>44.424591413328812</v>
          </cell>
          <cell r="CU196">
            <v>44.849310027598897</v>
          </cell>
          <cell r="CV196">
            <v>49.619540747411087</v>
          </cell>
          <cell r="CW196">
            <v>38.268668926025477</v>
          </cell>
          <cell r="CX196">
            <v>41.267203967761937</v>
          </cell>
          <cell r="CY196">
            <v>31.770070471189712</v>
          </cell>
          <cell r="CZ196">
            <v>43.680174633381846</v>
          </cell>
        </row>
        <row r="197">
          <cell r="CO197">
            <v>4.132858470114587</v>
          </cell>
          <cell r="CP197">
            <v>3.2034963962582426</v>
          </cell>
          <cell r="CQ197">
            <v>4.4826352941176468</v>
          </cell>
          <cell r="CR197">
            <v>3.150047483380817</v>
          </cell>
          <cell r="CS197">
            <v>3.8918918918918917</v>
          </cell>
          <cell r="CT197">
            <v>3.1982874811702211</v>
          </cell>
          <cell r="CU197">
            <v>4.3526152690393456</v>
          </cell>
          <cell r="CV197">
            <v>3.7331160896130351</v>
          </cell>
          <cell r="CW197">
            <v>4.651021225470565</v>
          </cell>
          <cell r="CX197">
            <v>4.0308915048361698</v>
          </cell>
          <cell r="CY197">
            <v>6.5268912008464115</v>
          </cell>
          <cell r="CZ197">
            <v>4.0496595915098119</v>
          </cell>
        </row>
        <row r="198">
          <cell r="CO198">
            <v>0.33773740710156896</v>
          </cell>
          <cell r="CP198">
            <v>0.42467169260700394</v>
          </cell>
          <cell r="CQ198">
            <v>0.31016679904686256</v>
          </cell>
          <cell r="CR198">
            <v>0.41930244486236967</v>
          </cell>
          <cell r="CS198">
            <v>0.3335918648741813</v>
          </cell>
          <cell r="CT198">
            <v>0.39042255906511975</v>
          </cell>
          <cell r="CU198">
            <v>0.32051517939282431</v>
          </cell>
          <cell r="CV198">
            <v>0.36811496322977644</v>
          </cell>
          <cell r="CW198">
            <v>0.28868178099801334</v>
          </cell>
          <cell r="CX198">
            <v>0.321342219466832</v>
          </cell>
          <cell r="CY198">
            <v>0.21885219473999351</v>
          </cell>
          <cell r="CZ198">
            <v>0.33097783499384309</v>
          </cell>
        </row>
        <row r="199">
          <cell r="CO199">
            <v>45.414762083177216</v>
          </cell>
          <cell r="CP199">
            <v>46.546673049305888</v>
          </cell>
          <cell r="CQ199">
            <v>44.663643235071802</v>
          </cell>
          <cell r="CR199">
            <v>57.105818510702441</v>
          </cell>
          <cell r="CS199">
            <v>46.038011695906434</v>
          </cell>
          <cell r="CT199">
            <v>50.492811105602378</v>
          </cell>
          <cell r="CU199">
            <v>54.903669823736273</v>
          </cell>
          <cell r="CV199">
            <v>53.798882681564237</v>
          </cell>
          <cell r="CW199">
            <v>44.817110973341599</v>
          </cell>
          <cell r="CX199">
            <v>47.484375</v>
          </cell>
          <cell r="CY199">
            <v>40.222078132598476</v>
          </cell>
          <cell r="CZ199">
            <v>54.778481012658226</v>
          </cell>
        </row>
        <row r="200">
          <cell r="CO200">
            <v>0.14962205424633174</v>
          </cell>
          <cell r="CP200">
            <v>0.21094763294422822</v>
          </cell>
          <cell r="CQ200">
            <v>0.11040508339952348</v>
          </cell>
          <cell r="CR200">
            <v>0.18821593434775169</v>
          </cell>
          <cell r="CS200">
            <v>0.13679765598069635</v>
          </cell>
          <cell r="CT200">
            <v>0.16229147260563972</v>
          </cell>
          <cell r="CU200">
            <v>9.0505979760809568E-2</v>
          </cell>
          <cell r="CV200">
            <v>0.14998874380909502</v>
          </cell>
          <cell r="CW200">
            <v>0.10301507537688441</v>
          </cell>
          <cell r="CX200">
            <v>0.12540297582145074</v>
          </cell>
          <cell r="CY200">
            <v>5.2818847588779846E-2</v>
          </cell>
          <cell r="CZ200">
            <v>1.8540803761334428E-2</v>
          </cell>
        </row>
        <row r="201">
          <cell r="CO201">
            <v>1.5051028944286433</v>
          </cell>
          <cell r="CP201">
            <v>1.1903027379085755</v>
          </cell>
          <cell r="CQ201">
            <v>1.4346835180772817</v>
          </cell>
          <cell r="CR201">
            <v>1.176239913526558</v>
          </cell>
          <cell r="CS201">
            <v>1.396389891696751</v>
          </cell>
          <cell r="CT201">
            <v>1.1631045011326702</v>
          </cell>
          <cell r="CU201">
            <v>1.3209381455826954</v>
          </cell>
          <cell r="CV201">
            <v>1.3031488362996282</v>
          </cell>
          <cell r="CW201">
            <v>1.6166253394733736</v>
          </cell>
          <cell r="CX201">
            <v>1.4523027056228333</v>
          </cell>
          <cell r="CY201">
            <v>1.8139360013367871</v>
          </cell>
          <cell r="CZ201">
            <v>1.4140646642130672</v>
          </cell>
        </row>
        <row r="202">
          <cell r="CO202">
            <v>5.6597911039938789E-2</v>
          </cell>
          <cell r="CP202">
            <v>2.6824267277770993E-2</v>
          </cell>
          <cell r="CQ202">
            <v>2.786698435719465E-2</v>
          </cell>
          <cell r="CR202">
            <v>1.7495789447223485E-2</v>
          </cell>
          <cell r="CS202">
            <v>3.9374247894103445E-2</v>
          </cell>
          <cell r="CT202">
            <v>5.9095833743721959E-3</v>
          </cell>
          <cell r="CU202">
            <v>2.4960505529226028E-2</v>
          </cell>
          <cell r="CV202">
            <v>2.3958537062389769E-2</v>
          </cell>
          <cell r="CW202">
            <v>6.045577990317632E-2</v>
          </cell>
          <cell r="CX202">
            <v>6.6807725205960455E-2</v>
          </cell>
          <cell r="CY202">
            <v>6.7674826635475194E-2</v>
          </cell>
          <cell r="CZ202">
            <v>4.9388578891131213E-2</v>
          </cell>
        </row>
        <row r="203">
          <cell r="CO203">
            <v>0.15919327731092428</v>
          </cell>
          <cell r="CP203">
            <v>7.2452436799582784E-2</v>
          </cell>
          <cell r="CQ203">
            <v>7.5988700564971742E-2</v>
          </cell>
          <cell r="CR203">
            <v>4.6846604294271885E-2</v>
          </cell>
          <cell r="CS203">
            <v>0.10438333439673313</v>
          </cell>
          <cell r="CT203">
            <v>1.5359017022910766E-2</v>
          </cell>
          <cell r="CU203">
            <v>6.8760042849491484E-2</v>
          </cell>
          <cell r="CV203">
            <v>6.3213571566792956E-2</v>
          </cell>
          <cell r="CW203">
            <v>0.15259895088221276</v>
          </cell>
          <cell r="CX203">
            <v>0.16012084592145012</v>
          </cell>
          <cell r="CY203">
            <v>0.15859030837004456</v>
          </cell>
          <cell r="CZ203">
            <v>0.11384783798576853</v>
          </cell>
        </row>
        <row r="204">
          <cell r="CO204">
            <v>75.478316326530575</v>
          </cell>
          <cell r="CP204">
            <v>39.542397660818594</v>
          </cell>
          <cell r="CQ204">
            <v>39.989808917197465</v>
          </cell>
          <cell r="CR204">
            <v>22.741841004184003</v>
          </cell>
          <cell r="CS204">
            <v>53.726206896551673</v>
          </cell>
          <cell r="CT204">
            <v>-6.1311475409832958</v>
          </cell>
          <cell r="CU204">
            <v>126.23485639686753</v>
          </cell>
          <cell r="CV204">
            <v>28.762376237623482</v>
          </cell>
          <cell r="CW204">
            <v>70.849946751863726</v>
          </cell>
          <cell r="CX204">
            <v>80.234468085106386</v>
          </cell>
          <cell r="CY204">
            <v>88.351123595505896</v>
          </cell>
          <cell r="CZ204">
            <v>63.669230769230481</v>
          </cell>
        </row>
        <row r="205">
          <cell r="CO205">
            <v>0.12199501588254497</v>
          </cell>
          <cell r="CP205">
            <v>6.1787409915728897E-2</v>
          </cell>
          <cell r="CQ205">
            <v>7.0650252051053339E-2</v>
          </cell>
          <cell r="CR205">
            <v>3.8192696287150898E-2</v>
          </cell>
          <cell r="CS205">
            <v>8.7651858873564997E-2</v>
          </cell>
          <cell r="CT205">
            <v>-1.0082880468664715E-2</v>
          </cell>
          <cell r="CU205">
            <v>5.5400182742415302E-2</v>
          </cell>
          <cell r="CV205">
            <v>4.9141254463733956E-2</v>
          </cell>
          <cell r="CW205">
            <v>0.12020180133496837</v>
          </cell>
          <cell r="CX205">
            <v>0.12611020957225255</v>
          </cell>
          <cell r="CY205">
            <v>0.12898915774217956</v>
          </cell>
          <cell r="CZ205">
            <v>8.7493789706239486E-2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4"/>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tails Margins"/>
      <sheetName val="Sales PBT Causal vs Plan"/>
      <sheetName val="Sales PBT Causal vs Fcst 3"/>
      <sheetName val="Sales PBT Causal vs Fcst 5"/>
      <sheetName val="Sales PBT Causal vs Fcst 9"/>
      <sheetName val="OEM-Warranty"/>
      <sheetName val="Inter-Warranty"/>
      <sheetName val="Actuals"/>
      <sheetName val="WHQ-Ship "/>
      <sheetName val="WHQ-Production "/>
      <sheetName val="PLAN $200"/>
      <sheetName val="FCST 5"/>
      <sheetName val="FCST 7"/>
      <sheetName val="FCST 9"/>
      <sheetName val="SHIPSUM"/>
      <sheetName val="Act vs Target"/>
      <sheetName val="Fcst 3"/>
      <sheetName val="Act vs Fcst 3"/>
      <sheetName val="Act vs Fcst 5"/>
      <sheetName val="Act vs Fcst 7"/>
      <sheetName val="Act vs Fcst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art1"/>
      <sheetName val="Chart2"/>
      <sheetName val="Sheet1"/>
      <sheetName val="2002 BNI YoY Coal"/>
      <sheetName val="2001 BNI Coal"/>
      <sheetName val="Exhibits"/>
      <sheetName val="EM"/>
      <sheetName val="CF"/>
      <sheetName val="BS"/>
      <sheetName val="Questions"/>
      <sheetName val="Peak OR Analysis"/>
      <sheetName val="Revenue-Customer Profile"/>
      <sheetName val="Volume Trends"/>
      <sheetName val="Yield Trends"/>
      <sheetName val="Tables"/>
      <sheetName val="Options"/>
      <sheetName val="Off-Balance Sheet"/>
      <sheetName val="Fair Value of Options"/>
      <sheetName val="FV Options"/>
      <sheetName val="__FDSCACHE__"/>
      <sheetName val="BNI"/>
      <sheetName val="Reg AC"/>
      <sheetName val="Yields"/>
      <sheetName val="Misc Exhib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ross-reference"/>
      <sheetName val="AppropSetup"/>
      <sheetName val="engdata"/>
    </sheetNames>
    <sheetDataSet>
      <sheetData sheetId="0" refreshError="1"/>
      <sheetData sheetId="1" refreshError="1"/>
      <sheetData sheetId="2" refreshError="1">
        <row r="7">
          <cell r="D7" t="str">
            <v>I4</v>
          </cell>
        </row>
        <row r="8">
          <cell r="D8" t="str">
            <v>I6</v>
          </cell>
        </row>
        <row r="9">
          <cell r="A9" t="str">
            <v>HUE</v>
          </cell>
          <cell r="D9" t="str">
            <v>V6</v>
          </cell>
        </row>
        <row r="10">
          <cell r="A10" t="str">
            <v>ICC</v>
          </cell>
          <cell r="D10" t="str">
            <v>V8</v>
          </cell>
        </row>
        <row r="11">
          <cell r="A11" t="str">
            <v>INE</v>
          </cell>
        </row>
        <row r="12">
          <cell r="A12" t="str">
            <v>MPE</v>
          </cell>
          <cell r="D12" t="str">
            <v>Other</v>
          </cell>
        </row>
        <row r="13">
          <cell r="A13" t="str">
            <v>MPP</v>
          </cell>
        </row>
        <row r="14">
          <cell r="A14" t="str">
            <v>MAX</v>
          </cell>
        </row>
        <row r="15">
          <cell r="A15" t="str">
            <v>WAU</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ecast 7 Template"/>
      <sheetName val="AppropSetup"/>
      <sheetName val="Causal Fcst 7 to 5"/>
      <sheetName val="Causal Fcst 7 to 3"/>
      <sheetName val="engdata"/>
    </sheetNames>
    <sheetDataSet>
      <sheetData sheetId="0" refreshError="1"/>
      <sheetData sheetId="1" refreshError="1"/>
      <sheetData sheetId="2" refreshError="1"/>
      <sheetData sheetId="3" refreshError="1"/>
      <sheetData sheetId="4" refreshError="1">
        <row r="137">
          <cell r="N137" t="str">
            <v>#3 BAGHOUSE</v>
          </cell>
        </row>
        <row r="138">
          <cell r="N138" t="str">
            <v>7.3T CAPACITY EXPANSION</v>
          </cell>
        </row>
        <row r="139">
          <cell r="N139" t="str">
            <v>AUTO-POUR FURNACE</v>
          </cell>
        </row>
        <row r="140">
          <cell r="N140" t="str">
            <v>BTS CAD SYSTEMS</v>
          </cell>
        </row>
        <row r="141">
          <cell r="N141" t="str">
            <v>BTS TEST CELL PROJECTS</v>
          </cell>
        </row>
        <row r="142">
          <cell r="N142" t="str">
            <v>CO-GEN UPGRADE</v>
          </cell>
        </row>
        <row r="143">
          <cell r="N143" t="str">
            <v>CONSOLIDATED CRANKSHAFT</v>
          </cell>
        </row>
        <row r="144">
          <cell r="N144" t="str">
            <v>CRACKED ROD PROGRAM</v>
          </cell>
        </row>
        <row r="145">
          <cell r="N145" t="str">
            <v>CRANKSHAFT AUTOMATIC DEBURR</v>
          </cell>
        </row>
        <row r="146">
          <cell r="N146" t="str">
            <v>RENOVATE OFFICES</v>
          </cell>
        </row>
        <row r="147">
          <cell r="N147" t="str">
            <v>ENGRG LAB ENTRANCE</v>
          </cell>
        </row>
        <row r="148">
          <cell r="N148" t="str">
            <v>FOUR VALVE HEAD</v>
          </cell>
        </row>
        <row r="149">
          <cell r="N149" t="str">
            <v>FUME SCRUBBERS</v>
          </cell>
        </row>
        <row r="150">
          <cell r="N150" t="str">
            <v>GATE 6</v>
          </cell>
        </row>
        <row r="151">
          <cell r="N151" t="str">
            <v>HP DEVELOPMENT SYSTEMS</v>
          </cell>
        </row>
        <row r="152">
          <cell r="N152" t="str">
            <v>I308 PROGRAM</v>
          </cell>
        </row>
        <row r="153">
          <cell r="N153" t="str">
            <v>I570 PROGRAM</v>
          </cell>
        </row>
        <row r="154">
          <cell r="N154" t="str">
            <v>LEASE BUYOUTS</v>
          </cell>
        </row>
        <row r="155">
          <cell r="N155" t="str">
            <v>MACHINE CENTER-MPP</v>
          </cell>
        </row>
        <row r="156">
          <cell r="N156" t="str">
            <v>MANIFOLD AUTOMATED G</v>
          </cell>
        </row>
        <row r="157">
          <cell r="N157" t="str">
            <v>MATERIAL HANDLING ROBOTS</v>
          </cell>
        </row>
        <row r="158">
          <cell r="N158" t="str">
            <v>MAXION INTERNATIONAL MOTORES JOINT VENTURE</v>
          </cell>
        </row>
        <row r="159">
          <cell r="N159" t="str">
            <v>MECHANIZED CORE HANDLING</v>
          </cell>
        </row>
        <row r="160">
          <cell r="N160" t="str">
            <v>MISCELLANEOUS-EFG</v>
          </cell>
        </row>
        <row r="161">
          <cell r="N161" t="str">
            <v>MISCELLANEOUS-ICC</v>
          </cell>
        </row>
        <row r="162">
          <cell r="N162" t="str">
            <v>MISCELLANEOUS-INE</v>
          </cell>
        </row>
        <row r="163">
          <cell r="N163" t="str">
            <v>MISCELLANEOUS-MPE</v>
          </cell>
        </row>
        <row r="164">
          <cell r="N164" t="str">
            <v>MISCELLANEOUS-MPP</v>
          </cell>
        </row>
        <row r="165">
          <cell r="N165" t="str">
            <v>MISCELLANEOUS-WAU</v>
          </cell>
        </row>
        <row r="166">
          <cell r="N166" t="str">
            <v>MOLD CONVEYOR</v>
          </cell>
        </row>
        <row r="167">
          <cell r="N167" t="str">
            <v>NGDII</v>
          </cell>
        </row>
        <row r="168">
          <cell r="N168" t="str">
            <v>NOISE TC40 SEMI-ANECHOIC</v>
          </cell>
        </row>
        <row r="169">
          <cell r="N169" t="str">
            <v>OTHER NEW FY2001</v>
          </cell>
        </row>
        <row r="170">
          <cell r="N170" t="str">
            <v>PIPING SYSTEM REPLACE</v>
          </cell>
        </row>
        <row r="171">
          <cell r="N171" t="str">
            <v>PLANT VENTILATION-WAUKESHA</v>
          </cell>
        </row>
        <row r="172">
          <cell r="N172" t="str">
            <v>PROTOTYPE MACHINECENTER</v>
          </cell>
        </row>
        <row r="173">
          <cell r="N173" t="str">
            <v>PURCHASE LAND FROM RR</v>
          </cell>
        </row>
        <row r="174">
          <cell r="N174" t="str">
            <v>REFURNISH OFFICES</v>
          </cell>
        </row>
        <row r="175">
          <cell r="N175" t="str">
            <v>RELOC&amp;REFURN ELECTRONICS</v>
          </cell>
        </row>
        <row r="176">
          <cell r="N176" t="str">
            <v>RENOV #5 BAGHOUSE</v>
          </cell>
        </row>
        <row r="177">
          <cell r="N177" t="str">
            <v>RENOVATE #3 BAGHOUSE</v>
          </cell>
        </row>
        <row r="178">
          <cell r="N178" t="str">
            <v>REPLACE (2) CRANKSHAFT</v>
          </cell>
        </row>
        <row r="179">
          <cell r="N179" t="str">
            <v>REPLACE CAM OP #120-7</v>
          </cell>
        </row>
        <row r="180">
          <cell r="N180" t="str">
            <v>REPLACE CAM OP #40-1</v>
          </cell>
        </row>
        <row r="181">
          <cell r="N181" t="str">
            <v>REPLACE CAMSHAFT ANGLE GRINDER</v>
          </cell>
        </row>
        <row r="182">
          <cell r="N182" t="str">
            <v>REPLACE CASE ST 18 UNIT 1</v>
          </cell>
        </row>
        <row r="183">
          <cell r="N183" t="str">
            <v>REPLACE HEATING SYSTEM</v>
          </cell>
        </row>
        <row r="184">
          <cell r="N184" t="str">
            <v>REPLACE IW MAIN BEARING GRINDER</v>
          </cell>
        </row>
        <row r="185">
          <cell r="N185" t="str">
            <v>SINGLE CYL TEST CELL</v>
          </cell>
        </row>
        <row r="186">
          <cell r="N186" t="str">
            <v>STAR CNC GRINDERS (2)</v>
          </cell>
        </row>
        <row r="187">
          <cell r="N187" t="str">
            <v>TRUCK TRAFFIC RELOCATION</v>
          </cell>
        </row>
        <row r="188">
          <cell r="N188" t="str">
            <v>Y2K COMPLIANCE PHONE</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eebler"/>
      <sheetName val="Nabisco"/>
      <sheetName val="Ralston_Purina"/>
      <sheetName val="Van_Melle"/>
      <sheetName val="Quaker_Oats"/>
      <sheetName val="Bestfoods"/>
      <sheetName val="Pillsbury"/>
    </sheetNames>
    <sheetDataSet>
      <sheetData sheetId="0" refreshError="1"/>
      <sheetData sheetId="1" refreshError="1"/>
      <sheetData sheetId="2" refreshError="1"/>
      <sheetData sheetId="3" refreshError="1"/>
      <sheetData sheetId="4" refreshError="1">
        <row r="3">
          <cell r="J3">
            <v>1.05</v>
          </cell>
        </row>
      </sheetData>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andards 07"/>
      <sheetName val="MMH - Plan"/>
      <sheetName val="MMH"/>
      <sheetName val="Vol Adj Allowance"/>
      <sheetName val="VA Allowance"/>
      <sheetName val="P Variances"/>
      <sheetName val="OP Plan"/>
      <sheetName val="Sheet1"/>
      <sheetName val="Load"/>
      <sheetName val="Assumptions"/>
      <sheetName val="Cost of Production"/>
      <sheetName val="ControllableUnc"/>
      <sheetName val="2007 Plan Variances"/>
      <sheetName val="2007 Income Statement"/>
      <sheetName val="2007  Plan Fixed Variable"/>
      <sheetName val="Plan Typical I308"/>
      <sheetName val="Plan Typical I313 &amp; I326"/>
      <sheetName val="Plan Typical I313 &amp; I326 57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arnings-model"/>
      <sheetName val="graphs 2004"/>
      <sheetName val="Management"/>
      <sheetName val="FV-DATA2"/>
      <sheetName val="preview-qtrly"/>
      <sheetName val="qtrly-fax"/>
      <sheetName val="NCPs"/>
      <sheetName val="end mkts"/>
      <sheetName val="graphs 2003"/>
      <sheetName val="Monthly Numbers"/>
      <sheetName val="graphs 2002"/>
      <sheetName val="graphs_data"/>
      <sheetName val="Proxy Segments"/>
      <sheetName val="Segments"/>
      <sheetName val="Reconciliations"/>
      <sheetName val="FV_DATA.XLS"/>
      <sheetName val="Monthly Numbers (OLD)"/>
      <sheetName val="graphs_data (old)"/>
      <sheetName val="Sheet1"/>
      <sheetName val="Dealers"/>
      <sheetName val="Data_for_London"/>
      <sheetName val="Module1"/>
      <sheetName val="website"/>
      <sheetName val="gsr - Caterpillar I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arnings-model"/>
      <sheetName val="graphs 2003"/>
      <sheetName val="qtrly-fax"/>
      <sheetName val="Monthly Numbers"/>
      <sheetName val="graphs 2002"/>
      <sheetName val="graphs_data"/>
      <sheetName val="Proxy Segments"/>
      <sheetName val="Segments"/>
      <sheetName val="Reconciliations"/>
      <sheetName val="FV-DATA2"/>
      <sheetName val="FV_DATA.XLS"/>
      <sheetName val="Monthly Numbers (OLD)"/>
      <sheetName val="graphs_data (old)"/>
      <sheetName val="Sheet1"/>
      <sheetName val="Dealers"/>
      <sheetName val="Data_for_London"/>
      <sheetName val="Module1"/>
      <sheetName val="website"/>
      <sheetName val="Macr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ISTRY"/>
      <sheetName val="Charts"/>
      <sheetName val="Trucks"/>
      <sheetName val="Diversified"/>
      <sheetName val="PH Report"/>
      <sheetName val="HISTRY II"/>
    </sheetNames>
    <sheetDataSet>
      <sheetData sheetId="0" refreshError="1">
        <row r="322">
          <cell r="CR322">
            <v>1.0039731810280605</v>
          </cell>
          <cell r="DE322">
            <v>1.427070457354759</v>
          </cell>
          <cell r="DL322">
            <v>1.2105726872246696</v>
          </cell>
        </row>
        <row r="323">
          <cell r="CR323">
            <v>0.98485224733051879</v>
          </cell>
          <cell r="DE323">
            <v>1.6470951792336217</v>
          </cell>
          <cell r="DL323">
            <v>1.1233480176211454</v>
          </cell>
        </row>
        <row r="324">
          <cell r="CR324">
            <v>0.99577849515768557</v>
          </cell>
          <cell r="DE324">
            <v>1.3844252163164399</v>
          </cell>
          <cell r="DL324">
            <v>1.0281938325991189</v>
          </cell>
        </row>
      </sheetData>
      <sheetData sheetId="1" refreshError="1"/>
      <sheetData sheetId="2" refreshError="1"/>
      <sheetData sheetId="3" refreshError="1"/>
      <sheetData sheetId="4" refreshError="1"/>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_FDSCACHE__"/>
      <sheetName val="Data_Input_Sheet"/>
      <sheetName val="A-J"/>
      <sheetName val="L-Z"/>
      <sheetName val="Price_Sales Comp."/>
      <sheetName val="Industry"/>
      <sheetName val="A-J CONTOURS"/>
      <sheetName val="L-Z CONTOURS"/>
      <sheetName val="GM+F Contours"/>
      <sheetName val="Tires"/>
      <sheetName val="TIRE CONTOURS"/>
      <sheetName val="EBITDA CONTOUR CHARTS"/>
      <sheetName val="LTA"/>
      <sheetName val="EVIC"/>
      <sheetName val="Automakers Data"/>
      <sheetName val="Automakers Summary"/>
      <sheetName val="EV WATERFALL"/>
      <sheetName val="Final Comp Table"/>
      <sheetName val="COMP TABLE"/>
      <sheetName val="Growth Rates"/>
    </sheetNames>
    <sheetDataSet>
      <sheetData sheetId="0" refreshError="1"/>
      <sheetData sheetId="1" refreshError="1"/>
      <sheetData sheetId="2" refreshError="1"/>
      <sheetData sheetId="3" refreshError="1">
        <row r="319">
          <cell r="A319">
            <v>37226</v>
          </cell>
          <cell r="B319">
            <v>38.14</v>
          </cell>
          <cell r="C319">
            <v>65.599999999999994</v>
          </cell>
          <cell r="D319">
            <v>2501.9839999999999</v>
          </cell>
          <cell r="E319">
            <v>87.6</v>
          </cell>
          <cell r="F319">
            <v>3008.2999999999997</v>
          </cell>
          <cell r="G319">
            <v>2920.7</v>
          </cell>
          <cell r="H319">
            <v>101.1</v>
          </cell>
          <cell r="I319">
            <v>62.681999999999995</v>
          </cell>
          <cell r="J319">
            <v>122</v>
          </cell>
          <cell r="K319">
            <v>75.64</v>
          </cell>
          <cell r="L319">
            <v>5561.0059999999994</v>
          </cell>
          <cell r="M319">
            <v>13624.7</v>
          </cell>
          <cell r="N319">
            <v>14424.6</v>
          </cell>
          <cell r="O319">
            <v>0.38552237150423579</v>
          </cell>
          <cell r="P319">
            <v>0.20248048472747943</v>
          </cell>
          <cell r="Q319">
            <v>987.1</v>
          </cell>
          <cell r="R319">
            <v>1044.0999999999999</v>
          </cell>
          <cell r="S319">
            <v>7.3297499999999989</v>
          </cell>
          <cell r="T319">
            <v>8.8449999999999989</v>
          </cell>
          <cell r="U319">
            <v>1003.27475</v>
          </cell>
          <cell r="V319">
            <v>5.1965474441419639</v>
          </cell>
          <cell r="W319">
            <v>0.17345257407484435</v>
          </cell>
          <cell r="Y319">
            <v>63.47</v>
          </cell>
          <cell r="Z319">
            <v>83.1</v>
          </cell>
          <cell r="AA319">
            <v>5274.357</v>
          </cell>
          <cell r="AB319">
            <v>890</v>
          </cell>
          <cell r="AC319">
            <v>720</v>
          </cell>
          <cell r="AD319">
            <v>-170</v>
          </cell>
          <cell r="AE319">
            <v>0</v>
          </cell>
          <cell r="AF319">
            <v>0</v>
          </cell>
          <cell r="AG319">
            <v>113</v>
          </cell>
          <cell r="AH319">
            <v>70.06</v>
          </cell>
          <cell r="AI319">
            <v>277</v>
          </cell>
          <cell r="AJ319">
            <v>5451.4170000000004</v>
          </cell>
          <cell r="AK319">
            <v>11026</v>
          </cell>
          <cell r="AL319">
            <v>12971</v>
          </cell>
          <cell r="AM319">
            <v>0.42027731092436976</v>
          </cell>
          <cell r="AN319">
            <v>-1.310615989515072E-2</v>
          </cell>
          <cell r="AO319">
            <v>1273</v>
          </cell>
          <cell r="AP319">
            <v>1387</v>
          </cell>
          <cell r="AQ319">
            <v>0</v>
          </cell>
          <cell r="AR319">
            <v>8.192499999999999</v>
          </cell>
          <cell r="AS319">
            <v>1281.1925000000001</v>
          </cell>
          <cell r="AT319">
            <v>3.8856815994867957</v>
          </cell>
          <cell r="AU319">
            <v>0.40662685991827924</v>
          </cell>
          <cell r="AW319">
            <v>40.25</v>
          </cell>
          <cell r="AX319">
            <v>25.932680999999999</v>
          </cell>
          <cell r="AY319">
            <v>1043.7904102499999</v>
          </cell>
          <cell r="AZ319">
            <v>106.839</v>
          </cell>
          <cell r="BA319">
            <v>0</v>
          </cell>
          <cell r="BB319">
            <v>-106.839</v>
          </cell>
          <cell r="BC319">
            <v>9.391</v>
          </cell>
          <cell r="BD319">
            <v>5.8224200000000002</v>
          </cell>
          <cell r="BE319">
            <v>0</v>
          </cell>
          <cell r="BF319">
            <v>0</v>
          </cell>
          <cell r="BG319">
            <v>942.77383024999995</v>
          </cell>
          <cell r="BH319">
            <v>643.39499999999998</v>
          </cell>
          <cell r="BI319">
            <v>782.59900000000005</v>
          </cell>
          <cell r="BJ319">
            <v>1.2046703742913036</v>
          </cell>
          <cell r="BK319">
            <v>-0.13651819130870343</v>
          </cell>
          <cell r="BL319">
            <v>104.494</v>
          </cell>
          <cell r="BM319">
            <v>137.85499999999999</v>
          </cell>
          <cell r="BN319">
            <v>0.68084749999999994</v>
          </cell>
          <cell r="BO319">
            <v>0</v>
          </cell>
          <cell r="BP319">
            <v>105.1748475</v>
          </cell>
          <cell r="BQ319">
            <v>6.8023009648976052</v>
          </cell>
          <cell r="BR319">
            <v>1.3337487145396298</v>
          </cell>
          <cell r="BT319">
            <v>9.0299999999999994</v>
          </cell>
          <cell r="BU319">
            <v>48.1</v>
          </cell>
          <cell r="BV319">
            <v>434.34299999999996</v>
          </cell>
          <cell r="BW319">
            <v>21.8</v>
          </cell>
          <cell r="BX319">
            <v>1063.4000000000001</v>
          </cell>
          <cell r="BY319">
            <v>1041.6000000000001</v>
          </cell>
          <cell r="BZ319">
            <v>54.13</v>
          </cell>
          <cell r="CA319">
            <v>33.560600000000001</v>
          </cell>
          <cell r="CB319">
            <v>145.55199999999999</v>
          </cell>
          <cell r="CC319">
            <v>90.242239999999995</v>
          </cell>
          <cell r="CD319">
            <v>1599.7458400000003</v>
          </cell>
          <cell r="CE319">
            <v>2467.4</v>
          </cell>
          <cell r="CF319">
            <v>2754.5</v>
          </cell>
          <cell r="CG319">
            <v>0.58077540025412966</v>
          </cell>
          <cell r="CH319">
            <v>0.37814485387547653</v>
          </cell>
          <cell r="CI319">
            <v>273.10000000000002</v>
          </cell>
          <cell r="CJ319">
            <v>287.8</v>
          </cell>
          <cell r="CK319">
            <v>3.9244249999999998</v>
          </cell>
          <cell r="CL319">
            <v>10.552519999999999</v>
          </cell>
          <cell r="CM319">
            <v>287.57694500000002</v>
          </cell>
          <cell r="CN319">
            <v>5.2831999534476148</v>
          </cell>
          <cell r="CO319">
            <v>0.15768487928843708</v>
          </cell>
          <cell r="CQ319">
            <v>37.04</v>
          </cell>
          <cell r="CR319">
            <v>125.6</v>
          </cell>
          <cell r="CS319">
            <v>4652.2239999999993</v>
          </cell>
          <cell r="CT319">
            <v>240</v>
          </cell>
          <cell r="CU319">
            <v>6036</v>
          </cell>
          <cell r="CV319">
            <v>5796</v>
          </cell>
          <cell r="CW319">
            <v>-420</v>
          </cell>
          <cell r="CX319">
            <v>-260.39999999999998</v>
          </cell>
          <cell r="CY319">
            <v>1273</v>
          </cell>
          <cell r="CZ319">
            <v>789.26</v>
          </cell>
          <cell r="DA319">
            <v>0.05</v>
          </cell>
          <cell r="DB319">
            <v>19.23</v>
          </cell>
          <cell r="DC319">
            <v>164.8</v>
          </cell>
          <cell r="DD319">
            <v>3169.1040000000003</v>
          </cell>
          <cell r="DE319">
            <v>10818.628799999999</v>
          </cell>
          <cell r="DF319">
            <v>16383</v>
          </cell>
          <cell r="DG319">
            <v>16187</v>
          </cell>
          <cell r="DH319">
            <v>0.66835292518687828</v>
          </cell>
          <cell r="DI319">
            <v>0.35806511398035462</v>
          </cell>
          <cell r="DJ319">
            <v>1658</v>
          </cell>
          <cell r="DK319">
            <v>1602.838</v>
          </cell>
          <cell r="DL319">
            <v>-30.45</v>
          </cell>
          <cell r="DM319">
            <v>92.29249999999999</v>
          </cell>
          <cell r="DN319">
            <v>1719.8425</v>
          </cell>
          <cell r="DO319">
            <v>6.2904764825848876</v>
          </cell>
          <cell r="DP319">
            <v>0.28396655069279125</v>
          </cell>
          <cell r="DR319">
            <v>15.04</v>
          </cell>
          <cell r="DS319">
            <v>129.30000000000001</v>
          </cell>
          <cell r="DT319">
            <v>1944.672</v>
          </cell>
          <cell r="DU319">
            <v>1181</v>
          </cell>
          <cell r="DV319">
            <v>1922</v>
          </cell>
          <cell r="DW319">
            <v>741</v>
          </cell>
          <cell r="DX319">
            <v>327</v>
          </cell>
          <cell r="DY319">
            <v>202.74</v>
          </cell>
          <cell r="DZ319">
            <v>2681</v>
          </cell>
          <cell r="EA319">
            <v>1662.22</v>
          </cell>
          <cell r="EB319">
            <v>4550.6320000000005</v>
          </cell>
          <cell r="EC319">
            <v>17843</v>
          </cell>
          <cell r="ED319">
            <v>18395</v>
          </cell>
          <cell r="EE319">
            <v>0.24738418048382715</v>
          </cell>
          <cell r="EF319">
            <v>4.0282685512367494E-2</v>
          </cell>
          <cell r="EG319">
            <v>741</v>
          </cell>
          <cell r="EH319">
            <v>773</v>
          </cell>
          <cell r="EI319">
            <v>23.7075</v>
          </cell>
          <cell r="EJ319">
            <v>194.37249999999997</v>
          </cell>
          <cell r="EK319">
            <v>959.07999999999993</v>
          </cell>
          <cell r="EL319">
            <v>4.2190661397429521</v>
          </cell>
          <cell r="EM319">
            <v>0.10571742321282958</v>
          </cell>
          <cell r="EO319">
            <v>2.04</v>
          </cell>
          <cell r="EP319">
            <v>37.774999999999999</v>
          </cell>
          <cell r="EQ319">
            <v>77.060999999999993</v>
          </cell>
          <cell r="ER319">
            <v>53</v>
          </cell>
          <cell r="ES319">
            <v>1515</v>
          </cell>
          <cell r="ET319">
            <v>1462</v>
          </cell>
          <cell r="EU319">
            <v>113</v>
          </cell>
          <cell r="EV319">
            <v>70.06</v>
          </cell>
          <cell r="EW319">
            <v>137</v>
          </cell>
          <cell r="EX319">
            <v>84.94</v>
          </cell>
          <cell r="EY319">
            <v>15</v>
          </cell>
          <cell r="EZ319">
            <v>1709.0609999999999</v>
          </cell>
          <cell r="FA319">
            <v>3364</v>
          </cell>
          <cell r="FB319">
            <v>300</v>
          </cell>
          <cell r="FC319">
            <v>8.192499999999999</v>
          </cell>
          <cell r="FD319">
            <v>9.9324999999999992</v>
          </cell>
          <cell r="FE319">
            <v>318.125</v>
          </cell>
        </row>
        <row r="320">
          <cell r="A320">
            <v>37257</v>
          </cell>
          <cell r="B320">
            <v>40.159999999999997</v>
          </cell>
          <cell r="C320">
            <v>65.599999999999994</v>
          </cell>
          <cell r="D320">
            <v>2634.4959999999996</v>
          </cell>
          <cell r="E320">
            <v>87.6</v>
          </cell>
          <cell r="F320">
            <v>3008.2999999999997</v>
          </cell>
          <cell r="G320">
            <v>2920.7</v>
          </cell>
          <cell r="H320">
            <v>107.47499999999999</v>
          </cell>
          <cell r="I320">
            <v>66.634500000000003</v>
          </cell>
          <cell r="J320">
            <v>126.95833333333333</v>
          </cell>
          <cell r="K320">
            <v>78.714166666666657</v>
          </cell>
          <cell r="L320">
            <v>5700.5446666666667</v>
          </cell>
          <cell r="M320">
            <v>13691.358333333334</v>
          </cell>
          <cell r="N320">
            <v>14534.775</v>
          </cell>
          <cell r="O320">
            <v>0.39519603085469729</v>
          </cell>
          <cell r="P320">
            <v>0.20248048472747943</v>
          </cell>
          <cell r="Q320">
            <v>991.85</v>
          </cell>
          <cell r="R320">
            <v>1048.3083333333334</v>
          </cell>
          <cell r="S320">
            <v>7.7919374999999986</v>
          </cell>
          <cell r="T320">
            <v>9.2044791666666654</v>
          </cell>
          <cell r="U320">
            <v>1008.8464166666668</v>
          </cell>
          <cell r="V320">
            <v>5.3269409919327142</v>
          </cell>
          <cell r="W320">
            <v>0.18263910264409408</v>
          </cell>
          <cell r="Y320">
            <v>64.95</v>
          </cell>
          <cell r="Z320">
            <v>83.1</v>
          </cell>
          <cell r="AA320">
            <v>5397.3450000000003</v>
          </cell>
          <cell r="AB320">
            <v>890</v>
          </cell>
          <cell r="AC320">
            <v>720</v>
          </cell>
          <cell r="AD320">
            <v>-170</v>
          </cell>
          <cell r="AE320">
            <v>0</v>
          </cell>
          <cell r="AF320">
            <v>0</v>
          </cell>
          <cell r="AG320">
            <v>121.91666666666667</v>
          </cell>
          <cell r="AH320">
            <v>75.588333333333338</v>
          </cell>
          <cell r="AI320">
            <v>277</v>
          </cell>
          <cell r="AJ320">
            <v>5579.9333333333334</v>
          </cell>
          <cell r="AK320">
            <v>11188.083333333334</v>
          </cell>
          <cell r="AL320">
            <v>13168.75</v>
          </cell>
          <cell r="AM320">
            <v>0.43018528512322363</v>
          </cell>
          <cell r="AN320">
            <v>-1.310615989515072E-2</v>
          </cell>
          <cell r="AO320">
            <v>1282.5</v>
          </cell>
          <cell r="AP320">
            <v>1395.3333333333333</v>
          </cell>
          <cell r="AQ320">
            <v>0</v>
          </cell>
          <cell r="AR320">
            <v>8.8389583333333324</v>
          </cell>
          <cell r="AS320">
            <v>1291.3389583333333</v>
          </cell>
          <cell r="AT320">
            <v>3.977285956971619</v>
          </cell>
          <cell r="AU320">
            <v>0.41610862693701334</v>
          </cell>
          <cell r="AW320">
            <v>38.78</v>
          </cell>
          <cell r="AX320">
            <v>25.932680999999999</v>
          </cell>
          <cell r="AY320">
            <v>1005.66936918</v>
          </cell>
          <cell r="AZ320">
            <v>106.839</v>
          </cell>
          <cell r="BA320">
            <v>0</v>
          </cell>
          <cell r="BB320">
            <v>-106.839</v>
          </cell>
          <cell r="BC320">
            <v>9.4604999999999997</v>
          </cell>
          <cell r="BD320">
            <v>5.8655099999999996</v>
          </cell>
          <cell r="BE320">
            <v>0</v>
          </cell>
          <cell r="BF320">
            <v>0</v>
          </cell>
          <cell r="BG320">
            <v>904.69587917999991</v>
          </cell>
          <cell r="BH320">
            <v>654.99533333333329</v>
          </cell>
          <cell r="BI320">
            <v>787.41150000000005</v>
          </cell>
          <cell r="BJ320">
            <v>1.1560146117999126</v>
          </cell>
          <cell r="BK320">
            <v>-0.13651819130870343</v>
          </cell>
          <cell r="BL320">
            <v>107.27408333333334</v>
          </cell>
          <cell r="BM320">
            <v>140.63508333333331</v>
          </cell>
          <cell r="BN320">
            <v>0.68588624999999992</v>
          </cell>
          <cell r="BO320">
            <v>0</v>
          </cell>
          <cell r="BP320">
            <v>107.95996958333333</v>
          </cell>
          <cell r="BQ320">
            <v>6.527560963643964</v>
          </cell>
          <cell r="BR320">
            <v>1.285037891921661</v>
          </cell>
          <cell r="BT320">
            <v>9.3000000000000007</v>
          </cell>
          <cell r="BU320">
            <v>48.1</v>
          </cell>
          <cell r="BV320">
            <v>447.33000000000004</v>
          </cell>
          <cell r="BW320">
            <v>21.8</v>
          </cell>
          <cell r="BX320">
            <v>1063.4000000000001</v>
          </cell>
          <cell r="BY320">
            <v>1041.6000000000001</v>
          </cell>
          <cell r="BZ320">
            <v>56.496083333333338</v>
          </cell>
          <cell r="CA320">
            <v>35.027571666666667</v>
          </cell>
          <cell r="CB320">
            <v>143.78558333333334</v>
          </cell>
          <cell r="CC320">
            <v>89.147061666666673</v>
          </cell>
          <cell r="CD320">
            <v>1613.1046333333338</v>
          </cell>
          <cell r="CE320">
            <v>2491.3250000000003</v>
          </cell>
          <cell r="CF320">
            <v>2759.6040833333332</v>
          </cell>
          <cell r="CG320">
            <v>0.58562520723664324</v>
          </cell>
          <cell r="CH320">
            <v>0.37814485387547653</v>
          </cell>
          <cell r="CI320">
            <v>274.32500000000005</v>
          </cell>
          <cell r="CJ320">
            <v>285.83875</v>
          </cell>
          <cell r="CK320">
            <v>4.0959660416666663</v>
          </cell>
          <cell r="CL320">
            <v>10.424454791666665</v>
          </cell>
          <cell r="CM320">
            <v>288.84542083333338</v>
          </cell>
          <cell r="CN320">
            <v>5.3273176967491285</v>
          </cell>
          <cell r="CO320">
            <v>0.16239970956616448</v>
          </cell>
          <cell r="CQ320">
            <v>42.37</v>
          </cell>
          <cell r="CR320">
            <v>125.6</v>
          </cell>
          <cell r="CS320">
            <v>5321.6719999999996</v>
          </cell>
          <cell r="CT320">
            <v>240</v>
          </cell>
          <cell r="CU320">
            <v>6036</v>
          </cell>
          <cell r="CV320">
            <v>5796</v>
          </cell>
          <cell r="CW320">
            <v>-420</v>
          </cell>
          <cell r="CX320">
            <v>-260.39999999999998</v>
          </cell>
          <cell r="CY320">
            <v>1273</v>
          </cell>
          <cell r="CZ320">
            <v>789.26</v>
          </cell>
          <cell r="DA320">
            <v>0.05</v>
          </cell>
          <cell r="DB320">
            <v>18.309999999999999</v>
          </cell>
          <cell r="DC320">
            <v>164.8</v>
          </cell>
          <cell r="DD320">
            <v>3017.4879999999998</v>
          </cell>
          <cell r="DE320">
            <v>11495.657599999999</v>
          </cell>
          <cell r="DF320">
            <v>16366.666666666666</v>
          </cell>
          <cell r="DG320">
            <v>15780.416666666666</v>
          </cell>
          <cell r="DH320">
            <v>0.728476176695799</v>
          </cell>
          <cell r="DI320">
            <v>0.36729068201621207</v>
          </cell>
          <cell r="DJ320">
            <v>1653.4031666666667</v>
          </cell>
          <cell r="DK320">
            <v>1558.6015</v>
          </cell>
          <cell r="DL320">
            <v>-30.45</v>
          </cell>
          <cell r="DM320">
            <v>92.29249999999999</v>
          </cell>
          <cell r="DN320">
            <v>1715.2456666666667</v>
          </cell>
          <cell r="DO320">
            <v>6.7020473063430943</v>
          </cell>
          <cell r="DP320">
            <v>0.32515307535641547</v>
          </cell>
          <cell r="DR320">
            <v>13.3</v>
          </cell>
          <cell r="DS320">
            <v>130</v>
          </cell>
          <cell r="DT320">
            <v>1729</v>
          </cell>
          <cell r="DU320">
            <v>1181</v>
          </cell>
          <cell r="DV320">
            <v>1922</v>
          </cell>
          <cell r="DW320">
            <v>741</v>
          </cell>
          <cell r="DX320">
            <v>358.41666666666669</v>
          </cell>
          <cell r="DY320">
            <v>222.21833333333333</v>
          </cell>
          <cell r="DZ320">
            <v>2750.1666666666665</v>
          </cell>
          <cell r="EA320">
            <v>1705.1033333333332</v>
          </cell>
          <cell r="EB320">
            <v>4397.3216666666667</v>
          </cell>
          <cell r="EC320">
            <v>17797</v>
          </cell>
          <cell r="ED320">
            <v>18369.25</v>
          </cell>
          <cell r="EE320">
            <v>0.23904983238198785</v>
          </cell>
          <cell r="EF320">
            <v>4.0282685512367494E-2</v>
          </cell>
          <cell r="EG320">
            <v>738.33333333333337</v>
          </cell>
          <cell r="EH320">
            <v>737.66666666666663</v>
          </cell>
          <cell r="EI320">
            <v>25.985208333333333</v>
          </cell>
          <cell r="EJ320">
            <v>199.38708333333332</v>
          </cell>
          <cell r="EK320">
            <v>963.70562500000005</v>
          </cell>
          <cell r="EL320">
            <v>4.0769262268167088</v>
          </cell>
          <cell r="EM320">
            <v>9.3992932862190806E-2</v>
          </cell>
          <cell r="EO320">
            <v>2.4500000000000002</v>
          </cell>
          <cell r="EP320">
            <v>37.774999999999999</v>
          </cell>
          <cell r="EQ320">
            <v>92.548749999999998</v>
          </cell>
          <cell r="ER320">
            <v>53</v>
          </cell>
          <cell r="ES320">
            <v>1515</v>
          </cell>
          <cell r="ET320">
            <v>1462</v>
          </cell>
          <cell r="EU320">
            <v>119</v>
          </cell>
          <cell r="EV320">
            <v>73.78</v>
          </cell>
          <cell r="EW320">
            <v>138.5</v>
          </cell>
          <cell r="EX320">
            <v>85.87</v>
          </cell>
          <cell r="EY320">
            <v>15.333333333333334</v>
          </cell>
          <cell r="EZ320">
            <v>1729.5320833333333</v>
          </cell>
          <cell r="FA320">
            <v>3371.9166666666665</v>
          </cell>
          <cell r="FB320">
            <v>300.5</v>
          </cell>
          <cell r="FC320">
            <v>8.6274999999999995</v>
          </cell>
          <cell r="FD320">
            <v>10.04125</v>
          </cell>
          <cell r="FE320">
            <v>319.16874999999999</v>
          </cell>
        </row>
        <row r="321">
          <cell r="A321">
            <v>37288</v>
          </cell>
          <cell r="B321">
            <v>44.7</v>
          </cell>
          <cell r="C321">
            <v>65.599999999999994</v>
          </cell>
          <cell r="D321">
            <v>2932.3199999999997</v>
          </cell>
          <cell r="E321">
            <v>87.6</v>
          </cell>
          <cell r="F321">
            <v>3008.2999999999997</v>
          </cell>
          <cell r="G321">
            <v>2920.7</v>
          </cell>
          <cell r="H321">
            <v>113.85</v>
          </cell>
          <cell r="I321">
            <v>70.586999999999989</v>
          </cell>
          <cell r="J321">
            <v>131.91666666666666</v>
          </cell>
          <cell r="K321">
            <v>81.788333333333327</v>
          </cell>
          <cell r="L321">
            <v>6005.3953333333329</v>
          </cell>
          <cell r="M321">
            <v>13758.016666666666</v>
          </cell>
          <cell r="N321">
            <v>14644.949999999999</v>
          </cell>
          <cell r="O321">
            <v>0.41633011198461883</v>
          </cell>
          <cell r="P321">
            <v>0.20248048472747943</v>
          </cell>
          <cell r="Q321">
            <v>996.6</v>
          </cell>
          <cell r="R321">
            <v>1052.5166666666669</v>
          </cell>
          <cell r="S321">
            <v>8.2541249999999984</v>
          </cell>
          <cell r="T321">
            <v>9.563958333333332</v>
          </cell>
          <cell r="U321">
            <v>1014.4180833333334</v>
          </cell>
          <cell r="V321">
            <v>5.6118122818956522</v>
          </cell>
          <cell r="W321">
            <v>0.20328605299280395</v>
          </cell>
          <cell r="Y321">
            <v>68.92</v>
          </cell>
          <cell r="Z321">
            <v>83.1</v>
          </cell>
          <cell r="AA321">
            <v>5727.2519999999995</v>
          </cell>
          <cell r="AB321">
            <v>890</v>
          </cell>
          <cell r="AC321">
            <v>720</v>
          </cell>
          <cell r="AD321">
            <v>-170</v>
          </cell>
          <cell r="AE321">
            <v>0</v>
          </cell>
          <cell r="AF321">
            <v>0</v>
          </cell>
          <cell r="AG321">
            <v>130.83333333333334</v>
          </cell>
          <cell r="AH321">
            <v>81.116666666666674</v>
          </cell>
          <cell r="AI321">
            <v>277</v>
          </cell>
          <cell r="AJ321">
            <v>5915.3686666666663</v>
          </cell>
          <cell r="AK321">
            <v>11350.166666666668</v>
          </cell>
          <cell r="AL321">
            <v>13366.5</v>
          </cell>
          <cell r="AM321">
            <v>0.45604569167116382</v>
          </cell>
          <cell r="AN321">
            <v>-1.310615989515072E-2</v>
          </cell>
          <cell r="AO321">
            <v>1292</v>
          </cell>
          <cell r="AP321">
            <v>1403.6666666666665</v>
          </cell>
          <cell r="AQ321">
            <v>0</v>
          </cell>
          <cell r="AR321">
            <v>9.4854166666666675</v>
          </cell>
          <cell r="AS321">
            <v>1301.4854166666667</v>
          </cell>
          <cell r="AT321">
            <v>4.2163788208180382</v>
          </cell>
          <cell r="AU321">
            <v>0.44154282630483382</v>
          </cell>
          <cell r="AW321">
            <v>45</v>
          </cell>
          <cell r="AX321">
            <v>25.932680999999999</v>
          </cell>
          <cell r="AY321">
            <v>1166.9706449999999</v>
          </cell>
          <cell r="AZ321">
            <v>106.839</v>
          </cell>
          <cell r="BA321">
            <v>0</v>
          </cell>
          <cell r="BB321">
            <v>-106.839</v>
          </cell>
          <cell r="BC321">
            <v>9.5299999999999994</v>
          </cell>
          <cell r="BD321">
            <v>5.9085999999999999</v>
          </cell>
          <cell r="BE321">
            <v>0</v>
          </cell>
          <cell r="BF321">
            <v>0</v>
          </cell>
          <cell r="BG321">
            <v>1066.0402449999999</v>
          </cell>
          <cell r="BH321">
            <v>666.5956666666666</v>
          </cell>
          <cell r="BI321">
            <v>792.22400000000005</v>
          </cell>
          <cell r="BJ321">
            <v>1.3621794111671492</v>
          </cell>
          <cell r="BK321">
            <v>-0.13651819130870343</v>
          </cell>
          <cell r="BL321">
            <v>110.05416666666667</v>
          </cell>
          <cell r="BM321">
            <v>143.41516666666664</v>
          </cell>
          <cell r="BN321">
            <v>0.6909249999999999</v>
          </cell>
          <cell r="BO321">
            <v>0</v>
          </cell>
          <cell r="BP321">
            <v>110.74509166666667</v>
          </cell>
          <cell r="BQ321">
            <v>7.6916926992556176</v>
          </cell>
          <cell r="BR321">
            <v>1.4911476311623191</v>
          </cell>
          <cell r="BT321">
            <v>11.5</v>
          </cell>
          <cell r="BU321">
            <v>48.1</v>
          </cell>
          <cell r="BV321">
            <v>553.15</v>
          </cell>
          <cell r="BW321">
            <v>21.8</v>
          </cell>
          <cell r="BX321">
            <v>1063.4000000000001</v>
          </cell>
          <cell r="BY321">
            <v>1041.6000000000001</v>
          </cell>
          <cell r="BZ321">
            <v>58.862166666666674</v>
          </cell>
          <cell r="CA321">
            <v>36.49454333333334</v>
          </cell>
          <cell r="CB321">
            <v>142.01916666666668</v>
          </cell>
          <cell r="CC321">
            <v>88.051883333333336</v>
          </cell>
          <cell r="CD321">
            <v>1719.2964266666665</v>
          </cell>
          <cell r="CE321">
            <v>2515.2500000000005</v>
          </cell>
          <cell r="CF321">
            <v>2764.7081666666663</v>
          </cell>
          <cell r="CG321">
            <v>0.62417731953772615</v>
          </cell>
          <cell r="CH321">
            <v>0.37814485387547653</v>
          </cell>
          <cell r="CI321">
            <v>275.55000000000007</v>
          </cell>
          <cell r="CJ321">
            <v>283.8775</v>
          </cell>
          <cell r="CK321">
            <v>4.2675070833333333</v>
          </cell>
          <cell r="CL321">
            <v>10.296389583333333</v>
          </cell>
          <cell r="CM321">
            <v>290.11389666666673</v>
          </cell>
          <cell r="CN321">
            <v>5.6780187041011345</v>
          </cell>
          <cell r="CO321">
            <v>0.20081684516246143</v>
          </cell>
          <cell r="CQ321">
            <v>50.25</v>
          </cell>
          <cell r="CR321">
            <v>125.6</v>
          </cell>
          <cell r="CS321">
            <v>6311.4</v>
          </cell>
          <cell r="CT321">
            <v>240</v>
          </cell>
          <cell r="CU321">
            <v>6036</v>
          </cell>
          <cell r="CV321">
            <v>5796</v>
          </cell>
          <cell r="CW321">
            <v>-420</v>
          </cell>
          <cell r="CX321">
            <v>-260.39999999999998</v>
          </cell>
          <cell r="CY321">
            <v>1273</v>
          </cell>
          <cell r="CZ321">
            <v>789.26</v>
          </cell>
          <cell r="DA321">
            <v>0.05</v>
          </cell>
          <cell r="DB321">
            <v>15.64</v>
          </cell>
          <cell r="DC321">
            <v>164.8</v>
          </cell>
          <cell r="DD321">
            <v>2577.4720000000002</v>
          </cell>
          <cell r="DE321">
            <v>12507.386399999999</v>
          </cell>
          <cell r="DF321">
            <v>16350.333333333332</v>
          </cell>
          <cell r="DG321">
            <v>15373.833333333332</v>
          </cell>
          <cell r="DH321">
            <v>0.81355027915397382</v>
          </cell>
          <cell r="DI321">
            <v>0.37700421712216647</v>
          </cell>
          <cell r="DJ321">
            <v>1648.8063333333334</v>
          </cell>
          <cell r="DK321">
            <v>1514.365</v>
          </cell>
          <cell r="DL321">
            <v>-30.45</v>
          </cell>
          <cell r="DM321">
            <v>92.29249999999999</v>
          </cell>
          <cell r="DN321">
            <v>1710.6488333333334</v>
          </cell>
          <cell r="DO321">
            <v>7.3114868208388373</v>
          </cell>
          <cell r="DP321">
            <v>0.38601047888931928</v>
          </cell>
          <cell r="DR321">
            <v>14.18</v>
          </cell>
          <cell r="DS321">
            <v>130</v>
          </cell>
          <cell r="DT321">
            <v>1843.3999999999999</v>
          </cell>
          <cell r="DU321">
            <v>1181</v>
          </cell>
          <cell r="DV321">
            <v>1922</v>
          </cell>
          <cell r="DW321">
            <v>741</v>
          </cell>
          <cell r="DX321">
            <v>389.83333333333337</v>
          </cell>
          <cell r="DY321">
            <v>241.69666666666669</v>
          </cell>
          <cell r="DZ321">
            <v>2819.333333333333</v>
          </cell>
          <cell r="EA321">
            <v>1747.9866666666665</v>
          </cell>
          <cell r="EB321">
            <v>4574.083333333333</v>
          </cell>
          <cell r="EC321">
            <v>17751</v>
          </cell>
          <cell r="ED321">
            <v>18343.5</v>
          </cell>
          <cell r="EE321">
            <v>0.24865905590287213</v>
          </cell>
          <cell r="EF321">
            <v>4.0282685512367494E-2</v>
          </cell>
          <cell r="EG321">
            <v>735.66666666666674</v>
          </cell>
          <cell r="EH321">
            <v>702.33333333333326</v>
          </cell>
          <cell r="EI321">
            <v>28.262916666666669</v>
          </cell>
          <cell r="EJ321">
            <v>204.40166666666664</v>
          </cell>
          <cell r="EK321">
            <v>968.33125000000007</v>
          </cell>
          <cell r="EL321">
            <v>4.2408087738206994</v>
          </cell>
          <cell r="EM321">
            <v>0.10021201413427561</v>
          </cell>
          <cell r="EO321">
            <v>2.4199999999999902</v>
          </cell>
          <cell r="EP321">
            <v>37.774999999999999</v>
          </cell>
          <cell r="EQ321">
            <v>91.415499999999625</v>
          </cell>
          <cell r="ER321">
            <v>53</v>
          </cell>
          <cell r="ES321">
            <v>1515</v>
          </cell>
          <cell r="ET321">
            <v>1462</v>
          </cell>
          <cell r="EU321">
            <v>125</v>
          </cell>
          <cell r="EV321">
            <v>77.5</v>
          </cell>
          <cell r="EW321">
            <v>140</v>
          </cell>
          <cell r="EX321">
            <v>86.8</v>
          </cell>
          <cell r="EY321">
            <v>15.666666666666668</v>
          </cell>
          <cell r="EZ321">
            <v>1733.3821666666663</v>
          </cell>
          <cell r="FA321">
            <v>3379.833333333333</v>
          </cell>
          <cell r="FB321">
            <v>301</v>
          </cell>
          <cell r="FC321">
            <v>9.0625</v>
          </cell>
          <cell r="FD321">
            <v>10.149999999999999</v>
          </cell>
          <cell r="FE321">
            <v>320.21249999999998</v>
          </cell>
        </row>
        <row r="322">
          <cell r="A322">
            <v>37316</v>
          </cell>
          <cell r="B322">
            <v>47.6</v>
          </cell>
          <cell r="C322">
            <v>66.3</v>
          </cell>
          <cell r="D322">
            <v>3155.88</v>
          </cell>
          <cell r="E322">
            <v>83.8</v>
          </cell>
          <cell r="F322">
            <v>2840.6000000000004</v>
          </cell>
          <cell r="G322">
            <v>2756.8</v>
          </cell>
          <cell r="H322">
            <v>120.22499999999999</v>
          </cell>
          <cell r="I322">
            <v>74.53949999999999</v>
          </cell>
          <cell r="J322">
            <v>136.875</v>
          </cell>
          <cell r="K322">
            <v>84.862499999999997</v>
          </cell>
          <cell r="L322">
            <v>6072.0820000000003</v>
          </cell>
          <cell r="M322">
            <v>13824.674999999999</v>
          </cell>
          <cell r="N322">
            <v>14755.124999999998</v>
          </cell>
          <cell r="O322">
            <v>0.42095323267196316</v>
          </cell>
          <cell r="P322">
            <v>0.19111795127767842</v>
          </cell>
          <cell r="Q322">
            <v>1001.35</v>
          </cell>
          <cell r="R322">
            <v>1056.7250000000004</v>
          </cell>
          <cell r="S322">
            <v>8.716312499999999</v>
          </cell>
          <cell r="T322">
            <v>9.9234374999999986</v>
          </cell>
          <cell r="U322">
            <v>1019.98975</v>
          </cell>
          <cell r="V322">
            <v>5.6741284216777377</v>
          </cell>
          <cell r="W322">
            <v>0.21878457634873757</v>
          </cell>
          <cell r="Y322">
            <v>73.5</v>
          </cell>
          <cell r="Z322">
            <v>83.4</v>
          </cell>
          <cell r="AA322">
            <v>6129.9000000000005</v>
          </cell>
          <cell r="AB322">
            <v>1047</v>
          </cell>
          <cell r="AC322">
            <v>655</v>
          </cell>
          <cell r="AD322">
            <v>-392</v>
          </cell>
          <cell r="AE322">
            <v>0</v>
          </cell>
          <cell r="AF322">
            <v>0</v>
          </cell>
          <cell r="AG322">
            <v>139.75</v>
          </cell>
          <cell r="AH322">
            <v>86.644999999999996</v>
          </cell>
          <cell r="AI322">
            <v>277</v>
          </cell>
          <cell r="AJ322">
            <v>6101.545000000001</v>
          </cell>
          <cell r="AK322">
            <v>11512.250000000002</v>
          </cell>
          <cell r="AL322">
            <v>13564.25</v>
          </cell>
          <cell r="AM322">
            <v>0.47039896692622013</v>
          </cell>
          <cell r="AN322">
            <v>-3.0221262817053427E-2</v>
          </cell>
          <cell r="AO322">
            <v>1301.5</v>
          </cell>
          <cell r="AP322">
            <v>1411.9999999999998</v>
          </cell>
          <cell r="AQ322">
            <v>0</v>
          </cell>
          <cell r="AR322">
            <v>10.131874999999999</v>
          </cell>
          <cell r="AS322">
            <v>1311.631875</v>
          </cell>
          <cell r="AT322">
            <v>4.3490822908870603</v>
          </cell>
          <cell r="AU322">
            <v>0.47258499730167303</v>
          </cell>
          <cell r="AW322">
            <v>48.78</v>
          </cell>
          <cell r="AX322">
            <v>26.024038000000001</v>
          </cell>
          <cell r="AY322">
            <v>1342.0596396600001</v>
          </cell>
          <cell r="AZ322">
            <v>99.647999999999996</v>
          </cell>
          <cell r="BA322">
            <v>0</v>
          </cell>
          <cell r="BB322">
            <v>-99.647999999999996</v>
          </cell>
          <cell r="BC322">
            <v>9.599499999999999</v>
          </cell>
          <cell r="BD322">
            <v>5.9947799999999996</v>
          </cell>
          <cell r="BE322">
            <v>0</v>
          </cell>
          <cell r="BF322">
            <v>0</v>
          </cell>
          <cell r="BG322">
            <v>1248.4495096600003</v>
          </cell>
          <cell r="BH322">
            <v>678.19599999999991</v>
          </cell>
          <cell r="BI322">
            <v>797.03650000000005</v>
          </cell>
          <cell r="BJ322">
            <v>1.5952608036299565</v>
          </cell>
          <cell r="BK322">
            <v>-0.12732957747198756</v>
          </cell>
          <cell r="BL322">
            <v>112.83425000000001</v>
          </cell>
          <cell r="BM322">
            <v>146.19524999999996</v>
          </cell>
          <cell r="BN322">
            <v>0.70100249999999986</v>
          </cell>
          <cell r="BO322">
            <v>0</v>
          </cell>
          <cell r="BP322">
            <v>116.31533583333335</v>
          </cell>
          <cell r="BQ322">
            <v>9.0078118756586729</v>
          </cell>
          <cell r="BR322">
            <v>1.7148752294086755</v>
          </cell>
          <cell r="BT322">
            <v>13.99</v>
          </cell>
          <cell r="BU322">
            <v>48.3</v>
          </cell>
          <cell r="BV322">
            <v>675.71699999999998</v>
          </cell>
          <cell r="BW322">
            <v>14.6</v>
          </cell>
          <cell r="BX322">
            <v>1109.4000000000001</v>
          </cell>
          <cell r="BY322">
            <v>1094.8000000000002</v>
          </cell>
          <cell r="BZ322">
            <v>61.22825000000001</v>
          </cell>
          <cell r="CA322">
            <v>37.961515000000006</v>
          </cell>
          <cell r="CB322">
            <v>140.25275000000002</v>
          </cell>
          <cell r="CC322">
            <v>86.956705000000014</v>
          </cell>
          <cell r="CD322">
            <v>1895.4352200000003</v>
          </cell>
          <cell r="CE322">
            <v>2539.1750000000006</v>
          </cell>
          <cell r="CF322">
            <v>2769.8122499999995</v>
          </cell>
          <cell r="CG322">
            <v>0.68812315120711576</v>
          </cell>
          <cell r="CH322">
            <v>0.39745870393900895</v>
          </cell>
          <cell r="CI322">
            <v>276.77500000000009</v>
          </cell>
          <cell r="CJ322">
            <v>281.91624999999999</v>
          </cell>
          <cell r="CK322">
            <v>4.4390481250000002</v>
          </cell>
          <cell r="CL322">
            <v>10.168324375000001</v>
          </cell>
          <cell r="CM322">
            <v>291.38237250000009</v>
          </cell>
          <cell r="CN322">
            <v>6.2597213980359339</v>
          </cell>
          <cell r="CO322">
            <v>0.2453138500635324</v>
          </cell>
          <cell r="CQ322">
            <v>51.47</v>
          </cell>
          <cell r="CR322">
            <v>126.9</v>
          </cell>
          <cell r="CS322">
            <v>6531.5430000000006</v>
          </cell>
          <cell r="CT322">
            <v>270</v>
          </cell>
          <cell r="CU322">
            <v>6055</v>
          </cell>
          <cell r="CV322">
            <v>5785</v>
          </cell>
          <cell r="CW322">
            <v>-420</v>
          </cell>
          <cell r="CX322">
            <v>-260.39999999999998</v>
          </cell>
          <cell r="CY322">
            <v>1273</v>
          </cell>
          <cell r="CZ322">
            <v>789.26</v>
          </cell>
          <cell r="DA322">
            <v>0.05</v>
          </cell>
          <cell r="DB322">
            <v>18.52</v>
          </cell>
          <cell r="DC322">
            <v>164.8</v>
          </cell>
          <cell r="DD322">
            <v>3052.096</v>
          </cell>
          <cell r="DE322">
            <v>12692.798200000003</v>
          </cell>
          <cell r="DF322">
            <v>16333.999999999998</v>
          </cell>
          <cell r="DG322">
            <v>14967.249999999998</v>
          </cell>
          <cell r="DH322">
            <v>0.84803809651071538</v>
          </cell>
          <cell r="DI322">
            <v>0.38651054802986523</v>
          </cell>
          <cell r="DJ322">
            <v>1644.2095000000002</v>
          </cell>
          <cell r="DK322">
            <v>1470.1285</v>
          </cell>
          <cell r="DL322">
            <v>-30.45</v>
          </cell>
          <cell r="DM322">
            <v>92.29249999999999</v>
          </cell>
          <cell r="DN322">
            <v>1706.0520000000001</v>
          </cell>
          <cell r="DO322">
            <v>7.4398659595369905</v>
          </cell>
          <cell r="DP322">
            <v>0.39987406636463824</v>
          </cell>
          <cell r="DR322">
            <v>16.55</v>
          </cell>
          <cell r="DS322">
            <v>128.4</v>
          </cell>
          <cell r="DT322">
            <v>2125.02</v>
          </cell>
          <cell r="DU322">
            <v>1072</v>
          </cell>
          <cell r="DV322">
            <v>1916</v>
          </cell>
          <cell r="DW322">
            <v>844</v>
          </cell>
          <cell r="DX322">
            <v>421.25000000000006</v>
          </cell>
          <cell r="DY322">
            <v>261.17500000000001</v>
          </cell>
          <cell r="DZ322">
            <v>2888.4999999999995</v>
          </cell>
          <cell r="EA322">
            <v>1790.8699999999997</v>
          </cell>
          <cell r="EB322">
            <v>5021.0649999999996</v>
          </cell>
          <cell r="EC322">
            <v>17705</v>
          </cell>
          <cell r="ED322">
            <v>18317.75</v>
          </cell>
          <cell r="EE322">
            <v>0.27295814079913017</v>
          </cell>
          <cell r="EF322">
            <v>4.5882033161185103E-2</v>
          </cell>
          <cell r="EG322">
            <v>733.00000000000011</v>
          </cell>
          <cell r="EH322">
            <v>666.99999999999989</v>
          </cell>
          <cell r="EI322">
            <v>30.540625000000002</v>
          </cell>
          <cell r="EJ322">
            <v>209.41624999999996</v>
          </cell>
          <cell r="EK322">
            <v>972.95687500000008</v>
          </cell>
          <cell r="EL322">
            <v>4.6552226870791662</v>
          </cell>
          <cell r="EM322">
            <v>0.11552160913291655</v>
          </cell>
          <cell r="EO322">
            <v>4</v>
          </cell>
          <cell r="EP322">
            <v>39.700000000000003</v>
          </cell>
          <cell r="EQ322">
            <v>158.80000000000001</v>
          </cell>
          <cell r="ER322">
            <v>56</v>
          </cell>
          <cell r="ES322">
            <v>1507</v>
          </cell>
          <cell r="ET322">
            <v>1451</v>
          </cell>
          <cell r="EU322">
            <v>131</v>
          </cell>
          <cell r="EV322">
            <v>81.22</v>
          </cell>
          <cell r="EW322">
            <v>141.5</v>
          </cell>
          <cell r="EX322">
            <v>87.73</v>
          </cell>
          <cell r="EY322">
            <v>16</v>
          </cell>
          <cell r="EZ322">
            <v>1794.75</v>
          </cell>
          <cell r="FA322">
            <v>3387.75</v>
          </cell>
          <cell r="FB322">
            <v>301.5</v>
          </cell>
          <cell r="FC322">
            <v>9.4974999999999987</v>
          </cell>
          <cell r="FD322">
            <v>10.258749999999999</v>
          </cell>
          <cell r="FE322">
            <v>321.25625000000002</v>
          </cell>
        </row>
        <row r="323">
          <cell r="A323">
            <v>37347</v>
          </cell>
          <cell r="B323">
            <v>51.41</v>
          </cell>
          <cell r="C323">
            <v>66.3</v>
          </cell>
          <cell r="D323">
            <v>3408.4829999999997</v>
          </cell>
          <cell r="E323">
            <v>83.8</v>
          </cell>
          <cell r="F323">
            <v>2840.6000000000004</v>
          </cell>
          <cell r="G323">
            <v>2756.8</v>
          </cell>
          <cell r="H323">
            <v>126.6</v>
          </cell>
          <cell r="I323">
            <v>78.49199999999999</v>
          </cell>
          <cell r="J323">
            <v>141.83333333333334</v>
          </cell>
          <cell r="K323">
            <v>91.010833333333338</v>
          </cell>
          <cell r="L323">
            <v>6334.7858333333334</v>
          </cell>
          <cell r="M323">
            <v>13891.333333333332</v>
          </cell>
          <cell r="N323">
            <v>14865.299999999997</v>
          </cell>
          <cell r="O323">
            <v>0.43916544190711237</v>
          </cell>
          <cell r="P323">
            <v>0.19111795127767842</v>
          </cell>
          <cell r="Q323">
            <v>1006.1</v>
          </cell>
          <cell r="R323">
            <v>1060.9333333333338</v>
          </cell>
          <cell r="S323">
            <v>9.1784999999999997</v>
          </cell>
          <cell r="T323">
            <v>10.282916666666667</v>
          </cell>
          <cell r="U323">
            <v>1025.5614166666667</v>
          </cell>
          <cell r="V323">
            <v>5.9196151076612864</v>
          </cell>
          <cell r="W323">
            <v>0.2362965350858949</v>
          </cell>
          <cell r="Y323">
            <v>73.89</v>
          </cell>
          <cell r="Z323">
            <v>83.4</v>
          </cell>
          <cell r="AA323">
            <v>6162.4260000000004</v>
          </cell>
          <cell r="AB323">
            <v>1047</v>
          </cell>
          <cell r="AC323">
            <v>655</v>
          </cell>
          <cell r="AD323">
            <v>-392</v>
          </cell>
          <cell r="AE323">
            <v>0</v>
          </cell>
          <cell r="AF323">
            <v>0</v>
          </cell>
          <cell r="AG323">
            <v>148.66666666666666</v>
          </cell>
          <cell r="AH323">
            <v>92.173333333333332</v>
          </cell>
          <cell r="AI323">
            <v>277</v>
          </cell>
          <cell r="AJ323">
            <v>6139.5993333333336</v>
          </cell>
          <cell r="AK323">
            <v>11674.333333333336</v>
          </cell>
          <cell r="AL323">
            <v>13762</v>
          </cell>
          <cell r="AM323">
            <v>0.47333276796957319</v>
          </cell>
          <cell r="AN323">
            <v>-3.0221262817053427E-2</v>
          </cell>
          <cell r="AO323">
            <v>1311</v>
          </cell>
          <cell r="AP323">
            <v>1420.333333333333</v>
          </cell>
          <cell r="AQ323">
            <v>0</v>
          </cell>
          <cell r="AR323">
            <v>10.778333333333332</v>
          </cell>
          <cell r="AS323">
            <v>1321.7783333333334</v>
          </cell>
          <cell r="AT323">
            <v>4.3762068023331793</v>
          </cell>
          <cell r="AU323">
            <v>0.47509259116490637</v>
          </cell>
          <cell r="AW323">
            <v>51.57</v>
          </cell>
          <cell r="AX323">
            <v>26.024038000000001</v>
          </cell>
          <cell r="AY323">
            <v>1342.0596396600001</v>
          </cell>
          <cell r="AZ323">
            <v>99.647999999999996</v>
          </cell>
          <cell r="BA323">
            <v>0</v>
          </cell>
          <cell r="BB323">
            <v>-99.647999999999996</v>
          </cell>
          <cell r="BC323">
            <v>9.6689999999999987</v>
          </cell>
          <cell r="BD323">
            <v>6.037869999999999</v>
          </cell>
          <cell r="BE323">
            <v>0</v>
          </cell>
          <cell r="BF323">
            <v>0</v>
          </cell>
          <cell r="BG323">
            <v>1097.2498488800002</v>
          </cell>
          <cell r="BH323">
            <v>689.79633333333322</v>
          </cell>
          <cell r="BI323">
            <v>801.84900000000005</v>
          </cell>
          <cell r="BJ323">
            <v>1.4020588435201171</v>
          </cell>
          <cell r="BK323">
            <v>-0.12732957747198756</v>
          </cell>
          <cell r="BL323">
            <v>115.61433333333335</v>
          </cell>
          <cell r="BM323">
            <v>148.97533333333328</v>
          </cell>
          <cell r="BN323">
            <v>0.70100249999999986</v>
          </cell>
          <cell r="BO323">
            <v>0</v>
          </cell>
          <cell r="BP323">
            <v>116.31533583333335</v>
          </cell>
          <cell r="BQ323">
            <v>7.916876207510934</v>
          </cell>
          <cell r="BR323">
            <v>1.7148752294086755</v>
          </cell>
          <cell r="BT323">
            <v>14.67</v>
          </cell>
          <cell r="BU323">
            <v>65.472012000000007</v>
          </cell>
          <cell r="BV323">
            <v>960.47441604000005</v>
          </cell>
          <cell r="BW323">
            <v>14.6</v>
          </cell>
          <cell r="BX323">
            <v>1109.4000000000001</v>
          </cell>
          <cell r="BY323">
            <v>1094.8000000000002</v>
          </cell>
          <cell r="BZ323">
            <v>63.594333333333346</v>
          </cell>
          <cell r="CA323">
            <v>39.428486666666672</v>
          </cell>
          <cell r="CB323">
            <v>138.48633333333336</v>
          </cell>
          <cell r="CC323">
            <v>85.861526666666691</v>
          </cell>
          <cell r="CD323">
            <v>2180.5644293733335</v>
          </cell>
          <cell r="CE323">
            <v>2563.1000000000008</v>
          </cell>
          <cell r="CF323">
            <v>2774.9163333333327</v>
          </cell>
          <cell r="CG323">
            <v>0.79163711358625288</v>
          </cell>
          <cell r="CH323">
            <v>0.39745870393900895</v>
          </cell>
          <cell r="CI323">
            <v>278.00000000000011</v>
          </cell>
          <cell r="CJ323">
            <v>279.95499999999998</v>
          </cell>
          <cell r="CK323">
            <v>4.6105891666666672</v>
          </cell>
          <cell r="CL323">
            <v>10.040259166666669</v>
          </cell>
          <cell r="CM323">
            <v>292.65084833333344</v>
          </cell>
          <cell r="CN323">
            <v>7.2013676195930705</v>
          </cell>
          <cell r="CO323">
            <v>0.34869283573788346</v>
          </cell>
          <cell r="CQ323">
            <v>55.03</v>
          </cell>
          <cell r="CR323">
            <v>126.9</v>
          </cell>
          <cell r="CS323">
            <v>6983.3070000000007</v>
          </cell>
          <cell r="CT323">
            <v>270</v>
          </cell>
          <cell r="CU323">
            <v>6055</v>
          </cell>
          <cell r="CV323">
            <v>5785</v>
          </cell>
          <cell r="CW323">
            <v>-420</v>
          </cell>
          <cell r="CX323">
            <v>-260.39999999999998</v>
          </cell>
          <cell r="CY323">
            <v>1273</v>
          </cell>
          <cell r="CZ323">
            <v>789.26</v>
          </cell>
          <cell r="DA323">
            <v>0.05</v>
          </cell>
          <cell r="DB323">
            <v>17.399999999999999</v>
          </cell>
          <cell r="DC323">
            <v>164.8</v>
          </cell>
          <cell r="DD323">
            <v>2867.52</v>
          </cell>
          <cell r="DE323">
            <v>13153.791000000001</v>
          </cell>
          <cell r="DF323">
            <v>16317.666666666664</v>
          </cell>
          <cell r="DG323">
            <v>14560.666666666664</v>
          </cell>
          <cell r="DH323">
            <v>0.90337834806098649</v>
          </cell>
          <cell r="DI323">
            <v>0.39730323703127152</v>
          </cell>
          <cell r="DJ323">
            <v>1639.6126666666669</v>
          </cell>
          <cell r="DK323">
            <v>1425.8920000000001</v>
          </cell>
          <cell r="DL323">
            <v>-30.45</v>
          </cell>
          <cell r="DM323">
            <v>92.29249999999999</v>
          </cell>
          <cell r="DN323">
            <v>1701.4551666666669</v>
          </cell>
          <cell r="DO323">
            <v>7.7309066131725874</v>
          </cell>
          <cell r="DP323">
            <v>0.42795990031254477</v>
          </cell>
          <cell r="DR323">
            <v>15.44</v>
          </cell>
          <cell r="DS323">
            <v>131</v>
          </cell>
          <cell r="DT323">
            <v>2022.6399999999999</v>
          </cell>
          <cell r="DU323">
            <v>1072</v>
          </cell>
          <cell r="DV323">
            <v>1916</v>
          </cell>
          <cell r="DW323">
            <v>844</v>
          </cell>
          <cell r="DX323">
            <v>452.66666666666674</v>
          </cell>
          <cell r="DY323">
            <v>280.65333333333336</v>
          </cell>
          <cell r="DZ323">
            <v>2957.6666666666661</v>
          </cell>
          <cell r="EA323">
            <v>1876.6366666666661</v>
          </cell>
          <cell r="EB323">
            <v>5023.9299999999994</v>
          </cell>
          <cell r="EC323">
            <v>17659</v>
          </cell>
          <cell r="ED323">
            <v>18292</v>
          </cell>
          <cell r="EE323">
            <v>0.27311388964392497</v>
          </cell>
          <cell r="EF323">
            <v>4.5882033161185103E-2</v>
          </cell>
          <cell r="EG323">
            <v>730.33333333333348</v>
          </cell>
          <cell r="EH323">
            <v>631.66666666666652</v>
          </cell>
          <cell r="EI323">
            <v>32.818333333333335</v>
          </cell>
          <cell r="EJ323">
            <v>214.43083333333328</v>
          </cell>
          <cell r="EK323">
            <v>977.58250000000021</v>
          </cell>
          <cell r="EL323">
            <v>4.6578789388899837</v>
          </cell>
          <cell r="EM323">
            <v>0.1099559662951889</v>
          </cell>
          <cell r="EO323">
            <v>5.5899999999999901</v>
          </cell>
          <cell r="EP323">
            <v>39.700000000000003</v>
          </cell>
          <cell r="EQ323">
            <v>221.92299999999963</v>
          </cell>
          <cell r="ER323">
            <v>56</v>
          </cell>
          <cell r="ES323">
            <v>1507</v>
          </cell>
          <cell r="ET323">
            <v>1451</v>
          </cell>
          <cell r="EU323">
            <v>137</v>
          </cell>
          <cell r="EV323">
            <v>84.94</v>
          </cell>
          <cell r="EW323">
            <v>143</v>
          </cell>
          <cell r="EX323">
            <v>88.66</v>
          </cell>
          <cell r="EY323">
            <v>16.333333333333332</v>
          </cell>
          <cell r="EZ323">
            <v>1862.8563333333329</v>
          </cell>
          <cell r="FA323">
            <v>3395.6666666666661</v>
          </cell>
          <cell r="FB323">
            <v>302</v>
          </cell>
          <cell r="FC323">
            <v>9.9324999999999992</v>
          </cell>
          <cell r="FD323">
            <v>10.3675</v>
          </cell>
          <cell r="FE323">
            <v>322.3</v>
          </cell>
        </row>
        <row r="324">
          <cell r="A324">
            <v>37377</v>
          </cell>
          <cell r="B324">
            <v>46.22</v>
          </cell>
          <cell r="C324">
            <v>66.3</v>
          </cell>
          <cell r="D324">
            <v>3064.386</v>
          </cell>
          <cell r="E324">
            <v>83.8</v>
          </cell>
          <cell r="F324">
            <v>2840.6000000000004</v>
          </cell>
          <cell r="G324">
            <v>2756.8</v>
          </cell>
          <cell r="H324">
            <v>132.97499999999999</v>
          </cell>
          <cell r="I324">
            <v>82.444499999999991</v>
          </cell>
          <cell r="J324">
            <v>146.79166666666669</v>
          </cell>
          <cell r="K324">
            <v>91.010833333333338</v>
          </cell>
          <cell r="L324">
            <v>5994.641333333333</v>
          </cell>
          <cell r="M324">
            <v>13957.991666666665</v>
          </cell>
          <cell r="N324">
            <v>14975.474999999997</v>
          </cell>
          <cell r="O324">
            <v>0.41558458004612486</v>
          </cell>
          <cell r="P324">
            <v>0.19111795127767842</v>
          </cell>
          <cell r="Q324">
            <v>1010.85</v>
          </cell>
          <cell r="R324">
            <v>1065.1416666666673</v>
          </cell>
          <cell r="S324">
            <v>9.6406874999999985</v>
          </cell>
          <cell r="T324">
            <v>10.642395833333333</v>
          </cell>
          <cell r="U324">
            <v>1031.1330833333334</v>
          </cell>
          <cell r="V324">
            <v>5.6017630801479283</v>
          </cell>
          <cell r="W324">
            <v>0.21244166216047586</v>
          </cell>
          <cell r="Y324">
            <v>71</v>
          </cell>
          <cell r="Z324">
            <v>83.4</v>
          </cell>
          <cell r="AA324">
            <v>5921.4000000000005</v>
          </cell>
          <cell r="AB324">
            <v>1047</v>
          </cell>
          <cell r="AC324">
            <v>655</v>
          </cell>
          <cell r="AD324">
            <v>-392</v>
          </cell>
          <cell r="AE324">
            <v>0</v>
          </cell>
          <cell r="AF324">
            <v>0</v>
          </cell>
          <cell r="AG324">
            <v>157.58333333333331</v>
          </cell>
          <cell r="AH324">
            <v>97.701666666666654</v>
          </cell>
          <cell r="AI324">
            <v>277</v>
          </cell>
          <cell r="AJ324">
            <v>5904.1016666666674</v>
          </cell>
          <cell r="AK324">
            <v>11836.41666666667</v>
          </cell>
          <cell r="AL324">
            <v>13959.75</v>
          </cell>
          <cell r="AM324">
            <v>0.45517706165034827</v>
          </cell>
          <cell r="AN324">
            <v>-3.0221262817053427E-2</v>
          </cell>
          <cell r="AO324">
            <v>1320.5</v>
          </cell>
          <cell r="AP324">
            <v>1428.6666666666663</v>
          </cell>
          <cell r="AQ324">
            <v>0</v>
          </cell>
          <cell r="AR324">
            <v>11.424791666666664</v>
          </cell>
          <cell r="AS324">
            <v>1331.9247916666666</v>
          </cell>
          <cell r="AT324">
            <v>4.2083478860021151</v>
          </cell>
          <cell r="AU324">
            <v>0.45651067766556169</v>
          </cell>
          <cell r="AW324">
            <v>45.76</v>
          </cell>
          <cell r="AX324">
            <v>26.024038000000001</v>
          </cell>
          <cell r="AY324">
            <v>1190.85997888</v>
          </cell>
          <cell r="AZ324">
            <v>99.647999999999996</v>
          </cell>
          <cell r="BA324">
            <v>0</v>
          </cell>
          <cell r="BB324">
            <v>-99.647999999999996</v>
          </cell>
          <cell r="BC324">
            <v>9.7384999999999984</v>
          </cell>
          <cell r="BD324">
            <v>6.037869999999999</v>
          </cell>
          <cell r="BE324">
            <v>0</v>
          </cell>
          <cell r="BF324">
            <v>0</v>
          </cell>
          <cell r="BG324">
            <v>1097.2498488800002</v>
          </cell>
          <cell r="BH324">
            <v>701.39666666666653</v>
          </cell>
          <cell r="BI324">
            <v>806.66150000000005</v>
          </cell>
          <cell r="BJ324">
            <v>1.4020588435201171</v>
          </cell>
          <cell r="BK324">
            <v>-0.12732957747198756</v>
          </cell>
          <cell r="BL324">
            <v>118.39441666666669</v>
          </cell>
          <cell r="BM324">
            <v>151.7554166666666</v>
          </cell>
          <cell r="BN324">
            <v>0.70604124999999984</v>
          </cell>
          <cell r="BO324">
            <v>0</v>
          </cell>
          <cell r="BP324">
            <v>119.10045791666668</v>
          </cell>
          <cell r="BQ324">
            <v>7.916876207510934</v>
          </cell>
          <cell r="BR324">
            <v>1.5216732692988362</v>
          </cell>
          <cell r="BT324">
            <v>12.85</v>
          </cell>
          <cell r="BU324">
            <v>65.472012000000007</v>
          </cell>
          <cell r="BV324">
            <v>841.31535420000012</v>
          </cell>
          <cell r="BW324">
            <v>14.6</v>
          </cell>
          <cell r="BX324">
            <v>1109.4000000000001</v>
          </cell>
          <cell r="BY324">
            <v>1094.8000000000002</v>
          </cell>
          <cell r="BZ324">
            <v>65.960416666666674</v>
          </cell>
          <cell r="CA324">
            <v>40.895458333333337</v>
          </cell>
          <cell r="CB324">
            <v>136.71991666666671</v>
          </cell>
          <cell r="CC324">
            <v>84.766348333333355</v>
          </cell>
          <cell r="CD324">
            <v>2061.7771608666671</v>
          </cell>
          <cell r="CE324">
            <v>2587.025000000001</v>
          </cell>
          <cell r="CF324">
            <v>2780.0204166666658</v>
          </cell>
          <cell r="CG324">
            <v>0.74851231107884086</v>
          </cell>
          <cell r="CH324">
            <v>0.39745870393900895</v>
          </cell>
          <cell r="CI324">
            <v>279.22500000000014</v>
          </cell>
          <cell r="CJ324">
            <v>277.99374999999998</v>
          </cell>
          <cell r="CK324">
            <v>4.7821302083333332</v>
          </cell>
          <cell r="CL324">
            <v>9.9121939583333347</v>
          </cell>
          <cell r="CM324">
            <v>293.9193241666668</v>
          </cell>
          <cell r="CN324">
            <v>6.8090697459229705</v>
          </cell>
          <cell r="CO324">
            <v>0.30543305652568531</v>
          </cell>
          <cell r="CQ324">
            <v>54.9</v>
          </cell>
          <cell r="CR324">
            <v>126.9</v>
          </cell>
          <cell r="CS324">
            <v>6966.81</v>
          </cell>
          <cell r="CT324">
            <v>270</v>
          </cell>
          <cell r="CU324">
            <v>6055</v>
          </cell>
          <cell r="CV324">
            <v>5785</v>
          </cell>
          <cell r="CW324">
            <v>-420</v>
          </cell>
          <cell r="CX324">
            <v>-260.39999999999998</v>
          </cell>
          <cell r="CY324">
            <v>1273</v>
          </cell>
          <cell r="CZ324">
            <v>789.26</v>
          </cell>
          <cell r="DA324">
            <v>0.05</v>
          </cell>
          <cell r="DB324">
            <v>18.940000000000001</v>
          </cell>
          <cell r="DC324">
            <v>164.8</v>
          </cell>
          <cell r="DD324">
            <v>3121.3120000000004</v>
          </cell>
          <cell r="DE324">
            <v>13124.604400000002</v>
          </cell>
          <cell r="DF324">
            <v>16301.33333333333</v>
          </cell>
          <cell r="DG324">
            <v>14154.08333333333</v>
          </cell>
          <cell r="DH324">
            <v>0.92726629417894757</v>
          </cell>
          <cell r="DI324">
            <v>0.40871597713262964</v>
          </cell>
          <cell r="DJ324">
            <v>1635.0158333333336</v>
          </cell>
          <cell r="DK324">
            <v>1381.6555000000001</v>
          </cell>
          <cell r="DL324">
            <v>-30.45</v>
          </cell>
          <cell r="DM324">
            <v>92.29249999999999</v>
          </cell>
          <cell r="DN324">
            <v>1696.8583333333336</v>
          </cell>
          <cell r="DO324">
            <v>7.7346494649425654</v>
          </cell>
          <cell r="DP324">
            <v>0.4273766972026829</v>
          </cell>
          <cell r="DR324">
            <v>15.75</v>
          </cell>
          <cell r="DS324">
            <v>131</v>
          </cell>
          <cell r="DT324">
            <v>2063.25</v>
          </cell>
          <cell r="DU324">
            <v>1072</v>
          </cell>
          <cell r="DV324">
            <v>1916</v>
          </cell>
          <cell r="DW324">
            <v>844</v>
          </cell>
          <cell r="DX324">
            <v>484.08333333333343</v>
          </cell>
          <cell r="DY324">
            <v>300.13166666666672</v>
          </cell>
          <cell r="DZ324">
            <v>3026.8333333333326</v>
          </cell>
          <cell r="EA324">
            <v>1919.5199999999995</v>
          </cell>
          <cell r="EB324">
            <v>5126.9016666666666</v>
          </cell>
          <cell r="EC324">
            <v>17613</v>
          </cell>
          <cell r="ED324">
            <v>18266.25</v>
          </cell>
          <cell r="EE324">
            <v>0.27871169701911752</v>
          </cell>
          <cell r="EF324">
            <v>4.5882033161185103E-2</v>
          </cell>
          <cell r="EG324">
            <v>727.66666666666686</v>
          </cell>
          <cell r="EH324">
            <v>596.33333333333314</v>
          </cell>
          <cell r="EI324">
            <v>35.096041666666672</v>
          </cell>
          <cell r="EJ324">
            <v>219.4454166666666</v>
          </cell>
          <cell r="EK324">
            <v>982.20812500000011</v>
          </cell>
          <cell r="EL324">
            <v>4.7533479357647543</v>
          </cell>
          <cell r="EM324">
            <v>0.11216363142158195</v>
          </cell>
          <cell r="EO324">
            <v>6.1699999999999902</v>
          </cell>
          <cell r="EP324">
            <v>39.700000000000003</v>
          </cell>
          <cell r="EQ324">
            <v>244.94899999999961</v>
          </cell>
          <cell r="ER324">
            <v>56</v>
          </cell>
          <cell r="ES324">
            <v>1507</v>
          </cell>
          <cell r="ET324">
            <v>1451</v>
          </cell>
          <cell r="EU324">
            <v>143</v>
          </cell>
          <cell r="EV324">
            <v>88.66</v>
          </cell>
          <cell r="EW324">
            <v>144.5</v>
          </cell>
          <cell r="EX324">
            <v>89.59</v>
          </cell>
          <cell r="EY324">
            <v>16.666666666666664</v>
          </cell>
          <cell r="EZ324">
            <v>1890.8656666666664</v>
          </cell>
          <cell r="FA324">
            <v>3403.5833333333326</v>
          </cell>
          <cell r="FB324">
            <v>302.5</v>
          </cell>
          <cell r="FC324">
            <v>10.3675</v>
          </cell>
          <cell r="FD324">
            <v>10.476249999999999</v>
          </cell>
          <cell r="FE324">
            <v>323.34375</v>
          </cell>
        </row>
        <row r="325">
          <cell r="A325">
            <v>37408</v>
          </cell>
          <cell r="B325">
            <v>46.25</v>
          </cell>
          <cell r="C325">
            <v>67.400000000000006</v>
          </cell>
          <cell r="D325">
            <v>3117.2500000000005</v>
          </cell>
          <cell r="E325">
            <v>99.7</v>
          </cell>
          <cell r="F325">
            <v>2516.1999999999998</v>
          </cell>
          <cell r="G325">
            <v>2416.5</v>
          </cell>
          <cell r="H325">
            <v>139.35</v>
          </cell>
          <cell r="I325">
            <v>86.396999999999991</v>
          </cell>
          <cell r="J325">
            <v>151.75000000000003</v>
          </cell>
          <cell r="K325">
            <v>94.085000000000022</v>
          </cell>
          <cell r="L325">
            <v>5714.232</v>
          </cell>
          <cell r="M325">
            <v>14024.649999999998</v>
          </cell>
          <cell r="N325">
            <v>15085.649999999996</v>
          </cell>
          <cell r="O325">
            <v>0.39614491909654337</v>
          </cell>
          <cell r="P325">
            <v>0.16752630922174619</v>
          </cell>
          <cell r="Q325">
            <v>1015.6</v>
          </cell>
          <cell r="R325">
            <v>1069.3500000000008</v>
          </cell>
          <cell r="S325">
            <v>10.102874999999999</v>
          </cell>
          <cell r="T325">
            <v>11.001875000000002</v>
          </cell>
          <cell r="U325">
            <v>1036.7047499999999</v>
          </cell>
          <cell r="V325">
            <v>5.3397312815045028</v>
          </cell>
          <cell r="W325">
            <v>0.21610651248561488</v>
          </cell>
          <cell r="Y325">
            <v>68.849999999999994</v>
          </cell>
          <cell r="Z325">
            <v>85.5</v>
          </cell>
          <cell r="AA325">
            <v>5886.6749999999993</v>
          </cell>
          <cell r="AB325">
            <v>890</v>
          </cell>
          <cell r="AC325">
            <v>646</v>
          </cell>
          <cell r="AD325">
            <v>-244</v>
          </cell>
          <cell r="AE325">
            <v>0</v>
          </cell>
          <cell r="AF325">
            <v>0</v>
          </cell>
          <cell r="AG325">
            <v>166.49999999999997</v>
          </cell>
          <cell r="AH325">
            <v>103.22999999999998</v>
          </cell>
          <cell r="AI325">
            <v>277</v>
          </cell>
          <cell r="AJ325">
            <v>6022.9049999999988</v>
          </cell>
          <cell r="AK325">
            <v>11998.500000000004</v>
          </cell>
          <cell r="AL325">
            <v>14157.5</v>
          </cell>
          <cell r="AM325">
            <v>0.46433621154883964</v>
          </cell>
          <cell r="AN325">
            <v>-1.8811194202451621E-2</v>
          </cell>
          <cell r="AO325">
            <v>1330</v>
          </cell>
          <cell r="AP325">
            <v>1436.9999999999995</v>
          </cell>
          <cell r="AQ325">
            <v>0</v>
          </cell>
          <cell r="AR325">
            <v>12.071249999999997</v>
          </cell>
          <cell r="AS325">
            <v>1342.07125</v>
          </cell>
          <cell r="AT325">
            <v>4.2930289746605359</v>
          </cell>
          <cell r="AU325">
            <v>0.45383355176933154</v>
          </cell>
          <cell r="AW325">
            <v>46.25</v>
          </cell>
          <cell r="AX325">
            <v>26.618413</v>
          </cell>
          <cell r="AY325">
            <v>1231.1016012499999</v>
          </cell>
          <cell r="AZ325">
            <v>117.128</v>
          </cell>
          <cell r="BA325">
            <v>0</v>
          </cell>
          <cell r="BB325">
            <v>-117.128</v>
          </cell>
          <cell r="BC325">
            <v>9.8079999999999981</v>
          </cell>
          <cell r="BD325">
            <v>6.0809599999999984</v>
          </cell>
          <cell r="BE325">
            <v>0</v>
          </cell>
          <cell r="BF325">
            <v>0</v>
          </cell>
          <cell r="BG325">
            <v>1120.05456125</v>
          </cell>
          <cell r="BH325">
            <v>712.99699999999984</v>
          </cell>
          <cell r="BI325">
            <v>811.47400000000005</v>
          </cell>
          <cell r="BJ325">
            <v>1.431198559223817</v>
          </cell>
          <cell r="BK325">
            <v>-0.14966540974368736</v>
          </cell>
          <cell r="BL325">
            <v>121.17450000000002</v>
          </cell>
          <cell r="BM325">
            <v>154.53549999999993</v>
          </cell>
          <cell r="BN325">
            <v>0.71107999999999982</v>
          </cell>
          <cell r="BO325">
            <v>0</v>
          </cell>
          <cell r="BP325">
            <v>121.88558000000002</v>
          </cell>
          <cell r="BQ325">
            <v>8.0814167494535631</v>
          </cell>
          <cell r="BR325">
            <v>1.5730937571476578</v>
          </cell>
          <cell r="BT325">
            <v>13.95</v>
          </cell>
          <cell r="BU325">
            <v>65.472012000000007</v>
          </cell>
          <cell r="BV325">
            <v>913.33456740000008</v>
          </cell>
          <cell r="BW325">
            <v>28.6</v>
          </cell>
          <cell r="BX325">
            <v>858.4</v>
          </cell>
          <cell r="BY325">
            <v>829.8</v>
          </cell>
          <cell r="BZ325">
            <v>68.32650000000001</v>
          </cell>
          <cell r="CA325">
            <v>42.362430000000003</v>
          </cell>
          <cell r="CB325">
            <v>134.95350000000005</v>
          </cell>
          <cell r="CC325">
            <v>83.671170000000032</v>
          </cell>
          <cell r="CD325">
            <v>1869.1681673999999</v>
          </cell>
          <cell r="CE325">
            <v>2610.9500000000012</v>
          </cell>
          <cell r="CF325">
            <v>2785.124499999999</v>
          </cell>
          <cell r="CG325">
            <v>0.67858710016336898</v>
          </cell>
          <cell r="CH325">
            <v>0.30125249591577419</v>
          </cell>
          <cell r="CI325">
            <v>280.45000000000016</v>
          </cell>
          <cell r="CJ325">
            <v>276.03249999999997</v>
          </cell>
          <cell r="CK325">
            <v>4.9536712500000002</v>
          </cell>
          <cell r="CL325">
            <v>9.7841287500000025</v>
          </cell>
          <cell r="CM325">
            <v>295.18780000000015</v>
          </cell>
          <cell r="CN325">
            <v>6.1729738112608192</v>
          </cell>
          <cell r="CO325">
            <v>0.33157907692866223</v>
          </cell>
          <cell r="CQ325">
            <v>56.98</v>
          </cell>
          <cell r="CR325">
            <v>126.9</v>
          </cell>
          <cell r="CS325">
            <v>7230.7619999999997</v>
          </cell>
          <cell r="CT325">
            <v>270</v>
          </cell>
          <cell r="CU325">
            <v>5890</v>
          </cell>
          <cell r="CV325">
            <v>5620</v>
          </cell>
          <cell r="CW325">
            <v>-420</v>
          </cell>
          <cell r="CX325">
            <v>-260.39999999999998</v>
          </cell>
          <cell r="CY325">
            <v>1273</v>
          </cell>
          <cell r="CZ325">
            <v>789.26</v>
          </cell>
          <cell r="DA325">
            <v>0.05</v>
          </cell>
          <cell r="DB325">
            <v>7.62</v>
          </cell>
          <cell r="DC325">
            <v>164.8</v>
          </cell>
          <cell r="DD325">
            <v>1255.7760000000001</v>
          </cell>
          <cell r="DE325">
            <v>13316.833199999999</v>
          </cell>
          <cell r="DF325">
            <v>16284.999999999996</v>
          </cell>
          <cell r="DG325">
            <v>13747.499999999996</v>
          </cell>
          <cell r="DH325">
            <v>0.96867308237861449</v>
          </cell>
          <cell r="DI325">
            <v>0.40880160029096207</v>
          </cell>
          <cell r="DJ325">
            <v>1630.4190000000003</v>
          </cell>
          <cell r="DK325">
            <v>1337.4190000000001</v>
          </cell>
          <cell r="DL325">
            <v>-30.45</v>
          </cell>
          <cell r="DM325">
            <v>92.29249999999999</v>
          </cell>
          <cell r="DN325">
            <v>1692.2615000000003</v>
          </cell>
          <cell r="DO325">
            <v>7.8692525948265066</v>
          </cell>
          <cell r="DP325">
            <v>0.44401363217684997</v>
          </cell>
          <cell r="DR325">
            <v>14.2</v>
          </cell>
          <cell r="DS325">
            <v>128</v>
          </cell>
          <cell r="DT325">
            <v>1817.6</v>
          </cell>
          <cell r="DU325">
            <v>1219</v>
          </cell>
          <cell r="DV325">
            <v>1824</v>
          </cell>
          <cell r="DW325">
            <v>605</v>
          </cell>
          <cell r="DX325">
            <v>515.50000000000011</v>
          </cell>
          <cell r="DY325">
            <v>319.61000000000007</v>
          </cell>
          <cell r="DZ325">
            <v>3095.9999999999991</v>
          </cell>
          <cell r="EA325">
            <v>1919.5199999999995</v>
          </cell>
          <cell r="EB325">
            <v>4661.7299999999996</v>
          </cell>
          <cell r="EC325">
            <v>17567</v>
          </cell>
          <cell r="ED325">
            <v>18240.5</v>
          </cell>
          <cell r="EE325">
            <v>0.25342375645555854</v>
          </cell>
          <cell r="EF325">
            <v>3.2889372111986954E-2</v>
          </cell>
          <cell r="EG325">
            <v>725.00000000000023</v>
          </cell>
          <cell r="EH325">
            <v>560.99999999999977</v>
          </cell>
          <cell r="EI325">
            <v>37.373750000000008</v>
          </cell>
          <cell r="EJ325">
            <v>224.45999999999992</v>
          </cell>
          <cell r="EK325">
            <v>986.83375000000012</v>
          </cell>
          <cell r="EL325">
            <v>4.3220693731384801</v>
          </cell>
          <cell r="EM325">
            <v>9.88094590921446E-2</v>
          </cell>
          <cell r="EO325">
            <v>6.5999999999999899</v>
          </cell>
          <cell r="EP325">
            <v>39.700000000000003</v>
          </cell>
          <cell r="EQ325">
            <v>262.02</v>
          </cell>
          <cell r="ER325">
            <v>42</v>
          </cell>
          <cell r="ES325">
            <v>1421</v>
          </cell>
          <cell r="ET325">
            <v>1379</v>
          </cell>
          <cell r="EU325">
            <v>149</v>
          </cell>
          <cell r="EV325">
            <v>92.38</v>
          </cell>
          <cell r="EW325">
            <v>146</v>
          </cell>
          <cell r="EX325">
            <v>90.52</v>
          </cell>
          <cell r="EY325">
            <v>16.999999999999996</v>
          </cell>
          <cell r="EZ325">
            <v>1840.92</v>
          </cell>
          <cell r="FA325">
            <v>3411.5</v>
          </cell>
          <cell r="FB325">
            <v>303</v>
          </cell>
          <cell r="FC325">
            <v>10.802499999999998</v>
          </cell>
          <cell r="FD325">
            <v>10.584999999999999</v>
          </cell>
          <cell r="FE325">
            <v>324.38749999999999</v>
          </cell>
        </row>
        <row r="326">
          <cell r="A326">
            <v>37438</v>
          </cell>
          <cell r="B326">
            <v>43.1</v>
          </cell>
          <cell r="C326">
            <v>67.400000000000006</v>
          </cell>
          <cell r="D326">
            <v>2904.9400000000005</v>
          </cell>
          <cell r="E326">
            <v>99.7</v>
          </cell>
          <cell r="F326">
            <v>2516.1999999999998</v>
          </cell>
          <cell r="G326">
            <v>2416.5</v>
          </cell>
          <cell r="H326">
            <v>145.72499999999999</v>
          </cell>
          <cell r="I326">
            <v>90.349499999999992</v>
          </cell>
          <cell r="J326">
            <v>156.70833333333337</v>
          </cell>
          <cell r="K326">
            <v>97.159166666666692</v>
          </cell>
          <cell r="L326">
            <v>5508.9486666666671</v>
          </cell>
          <cell r="M326">
            <v>14091.308333333331</v>
          </cell>
          <cell r="N326">
            <v>15195.824999999995</v>
          </cell>
          <cell r="O326">
            <v>0.38191344416251866</v>
          </cell>
          <cell r="P326">
            <v>0.16752630922174619</v>
          </cell>
          <cell r="Q326">
            <v>1020.35</v>
          </cell>
          <cell r="R326">
            <v>1073.5583333333343</v>
          </cell>
          <cell r="S326">
            <v>10.565062499999998</v>
          </cell>
          <cell r="T326">
            <v>11.361354166666668</v>
          </cell>
          <cell r="U326">
            <v>1042.2764166666666</v>
          </cell>
          <cell r="V326">
            <v>5.1479018569078967</v>
          </cell>
          <cell r="W326">
            <v>0.20138790677037841</v>
          </cell>
          <cell r="Y326">
            <v>58.82</v>
          </cell>
          <cell r="Z326">
            <v>85.5</v>
          </cell>
          <cell r="AA326">
            <v>5029.1099999999997</v>
          </cell>
          <cell r="AB326">
            <v>890</v>
          </cell>
          <cell r="AC326">
            <v>646</v>
          </cell>
          <cell r="AD326">
            <v>-244</v>
          </cell>
          <cell r="AE326">
            <v>0</v>
          </cell>
          <cell r="AF326">
            <v>0</v>
          </cell>
          <cell r="AG326">
            <v>175.41666666666663</v>
          </cell>
          <cell r="AH326">
            <v>108.75833333333331</v>
          </cell>
          <cell r="AI326">
            <v>277</v>
          </cell>
          <cell r="AJ326">
            <v>5170.8683333333329</v>
          </cell>
          <cell r="AK326">
            <v>12160.583333333338</v>
          </cell>
          <cell r="AL326">
            <v>14355.25</v>
          </cell>
          <cell r="AM326">
            <v>0.39864839513787165</v>
          </cell>
          <cell r="AN326">
            <v>-1.8811194202451621E-2</v>
          </cell>
          <cell r="AO326">
            <v>1339.5</v>
          </cell>
          <cell r="AP326">
            <v>1445.3333333333328</v>
          </cell>
          <cell r="AQ326">
            <v>0</v>
          </cell>
          <cell r="AR326">
            <v>12.717708333333329</v>
          </cell>
          <cell r="AS326">
            <v>1352.2177083333333</v>
          </cell>
          <cell r="AT326">
            <v>3.6857110612162463</v>
          </cell>
          <cell r="AU326">
            <v>0.38771952817824373</v>
          </cell>
          <cell r="AW326">
            <v>43.87</v>
          </cell>
          <cell r="AX326">
            <v>26.618413</v>
          </cell>
          <cell r="AY326">
            <v>1167.74977831</v>
          </cell>
          <cell r="AZ326">
            <v>117.128</v>
          </cell>
          <cell r="BA326">
            <v>0</v>
          </cell>
          <cell r="BB326">
            <v>-117.128</v>
          </cell>
          <cell r="BC326">
            <v>9.8774999999999977</v>
          </cell>
          <cell r="BD326">
            <v>6.1240499999999987</v>
          </cell>
          <cell r="BE326">
            <v>0</v>
          </cell>
          <cell r="BF326">
            <v>0</v>
          </cell>
          <cell r="BG326">
            <v>1056.74582831</v>
          </cell>
          <cell r="BH326">
            <v>724.59733333333315</v>
          </cell>
          <cell r="BI326">
            <v>816.28650000000005</v>
          </cell>
          <cell r="BJ326">
            <v>1.3503030649285266</v>
          </cell>
          <cell r="BK326">
            <v>-0.14966540974368736</v>
          </cell>
          <cell r="BL326">
            <v>123.95458333333336</v>
          </cell>
          <cell r="BM326">
            <v>157.31558333333325</v>
          </cell>
          <cell r="BN326">
            <v>0.7161187499999998</v>
          </cell>
          <cell r="BO326">
            <v>0</v>
          </cell>
          <cell r="BP326">
            <v>124.67070208333337</v>
          </cell>
          <cell r="BQ326">
            <v>7.6246316315955385</v>
          </cell>
          <cell r="BR326">
            <v>1.4921432027257893</v>
          </cell>
          <cell r="BT326">
            <v>7.49</v>
          </cell>
          <cell r="BU326">
            <v>65.5</v>
          </cell>
          <cell r="BV326">
            <v>490.59500000000003</v>
          </cell>
          <cell r="BW326">
            <v>28.6</v>
          </cell>
          <cell r="BX326">
            <v>858.4</v>
          </cell>
          <cell r="BY326">
            <v>829.8</v>
          </cell>
          <cell r="BZ326">
            <v>70.692583333333346</v>
          </cell>
          <cell r="CA326">
            <v>43.829401666666676</v>
          </cell>
          <cell r="CB326">
            <v>133.18708333333339</v>
          </cell>
          <cell r="CC326">
            <v>82.575991666666695</v>
          </cell>
          <cell r="CD326">
            <v>1446.8003933333332</v>
          </cell>
          <cell r="CE326">
            <v>2634.8750000000014</v>
          </cell>
          <cell r="CF326">
            <v>2790.2285833333322</v>
          </cell>
          <cell r="CG326">
            <v>0.52524973437405453</v>
          </cell>
          <cell r="CH326">
            <v>0.30125249591577419</v>
          </cell>
          <cell r="CI326">
            <v>281.67500000000018</v>
          </cell>
          <cell r="CJ326">
            <v>274.07124999999996</v>
          </cell>
          <cell r="CK326">
            <v>5.1252122916666671</v>
          </cell>
          <cell r="CL326">
            <v>9.6560635416666702</v>
          </cell>
          <cell r="CM326">
            <v>296.45627583333356</v>
          </cell>
          <cell r="CN326">
            <v>4.7780938569008278</v>
          </cell>
          <cell r="CO326">
            <v>0.17810673443456163</v>
          </cell>
          <cell r="CQ326">
            <v>53.95</v>
          </cell>
          <cell r="CR326">
            <v>126.9</v>
          </cell>
          <cell r="CS326">
            <v>6846.255000000001</v>
          </cell>
          <cell r="CT326">
            <v>270</v>
          </cell>
          <cell r="CU326">
            <v>5890</v>
          </cell>
          <cell r="CV326">
            <v>5620</v>
          </cell>
          <cell r="CW326">
            <v>-420</v>
          </cell>
          <cell r="CX326">
            <v>-260.39999999999998</v>
          </cell>
          <cell r="CY326">
            <v>1273</v>
          </cell>
          <cell r="CZ326">
            <v>789.26</v>
          </cell>
          <cell r="DA326">
            <v>0.05</v>
          </cell>
          <cell r="DB326">
            <v>6.69</v>
          </cell>
          <cell r="DC326">
            <v>164.8</v>
          </cell>
          <cell r="DD326">
            <v>1102.5120000000002</v>
          </cell>
          <cell r="DE326">
            <v>12939.989400000002</v>
          </cell>
          <cell r="DF326">
            <v>16268.666666666662</v>
          </cell>
          <cell r="DG326">
            <v>13340.916666666662</v>
          </cell>
          <cell r="DH326">
            <v>0.96994754733245514</v>
          </cell>
          <cell r="DI326">
            <v>0.42126040814286886</v>
          </cell>
          <cell r="DJ326">
            <v>1625.822166666667</v>
          </cell>
          <cell r="DK326">
            <v>1293.1825000000001</v>
          </cell>
          <cell r="DL326">
            <v>-30.45</v>
          </cell>
          <cell r="DM326">
            <v>92.29249999999999</v>
          </cell>
          <cell r="DN326">
            <v>1687.664666666667</v>
          </cell>
          <cell r="DO326">
            <v>7.6673936804981402</v>
          </cell>
          <cell r="DP326">
            <v>0.4208245912387823</v>
          </cell>
          <cell r="DR326">
            <v>11.14</v>
          </cell>
          <cell r="DS326">
            <v>131</v>
          </cell>
          <cell r="DT326">
            <v>1459.3400000000001</v>
          </cell>
          <cell r="DU326">
            <v>1219</v>
          </cell>
          <cell r="DV326">
            <v>1824</v>
          </cell>
          <cell r="DW326">
            <v>605</v>
          </cell>
          <cell r="DX326">
            <v>546.91666666666674</v>
          </cell>
          <cell r="DY326">
            <v>339.08833333333337</v>
          </cell>
          <cell r="DZ326">
            <v>3165.1666666666656</v>
          </cell>
          <cell r="EA326">
            <v>1962.4033333333327</v>
          </cell>
          <cell r="EB326">
            <v>4365.831666666666</v>
          </cell>
          <cell r="EC326">
            <v>17521</v>
          </cell>
          <cell r="ED326">
            <v>18214.75</v>
          </cell>
          <cell r="EE326">
            <v>0.23733795415420852</v>
          </cell>
          <cell r="EF326">
            <v>3.2889372111986954E-2</v>
          </cell>
          <cell r="EG326">
            <v>722.3333333333336</v>
          </cell>
          <cell r="EH326">
            <v>525.6666666666664</v>
          </cell>
          <cell r="EI326">
            <v>39.651458333333338</v>
          </cell>
          <cell r="EJ326">
            <v>229.47458333333324</v>
          </cell>
          <cell r="EK326">
            <v>991.45937500000025</v>
          </cell>
          <cell r="EL326">
            <v>4.0477306353602902</v>
          </cell>
          <cell r="EM326">
            <v>7.9333514541995109E-2</v>
          </cell>
          <cell r="EO326">
            <v>7.99</v>
          </cell>
          <cell r="EP326">
            <v>39.700000000000003</v>
          </cell>
          <cell r="EQ326">
            <v>317.20300000000003</v>
          </cell>
          <cell r="ER326">
            <v>42</v>
          </cell>
          <cell r="ES326">
            <v>1421</v>
          </cell>
          <cell r="ET326">
            <v>1379</v>
          </cell>
          <cell r="EU326">
            <v>155</v>
          </cell>
          <cell r="EV326">
            <v>96.1</v>
          </cell>
          <cell r="EW326">
            <v>147.5</v>
          </cell>
          <cell r="EX326">
            <v>91.45</v>
          </cell>
          <cell r="EY326">
            <v>17.333333333333329</v>
          </cell>
          <cell r="EZ326">
            <v>1901.0863333333332</v>
          </cell>
          <cell r="FA326">
            <v>3419.4166666666656</v>
          </cell>
          <cell r="FB326">
            <v>303.5</v>
          </cell>
          <cell r="FC326">
            <v>11.237499999999999</v>
          </cell>
          <cell r="FD326">
            <v>10.69375</v>
          </cell>
          <cell r="FE326">
            <v>325.43125000000003</v>
          </cell>
        </row>
        <row r="327">
          <cell r="A327">
            <v>37469</v>
          </cell>
          <cell r="B327">
            <v>46.6</v>
          </cell>
          <cell r="C327">
            <v>67.400000000000006</v>
          </cell>
          <cell r="D327">
            <v>3140.84</v>
          </cell>
          <cell r="E327">
            <v>99.7</v>
          </cell>
          <cell r="F327">
            <v>2516.1999999999998</v>
          </cell>
          <cell r="G327">
            <v>2416.5</v>
          </cell>
          <cell r="H327">
            <v>152.1</v>
          </cell>
          <cell r="I327">
            <v>94.301999999999992</v>
          </cell>
          <cell r="J327">
            <v>161.66666666666671</v>
          </cell>
          <cell r="K327">
            <v>100.23333333333336</v>
          </cell>
          <cell r="L327">
            <v>5751.8753333333334</v>
          </cell>
          <cell r="M327">
            <v>14157.966666666664</v>
          </cell>
          <cell r="N327">
            <v>15305.999999999995</v>
          </cell>
          <cell r="O327">
            <v>0.3987545812939931</v>
          </cell>
          <cell r="P327">
            <v>0.16752630922174619</v>
          </cell>
          <cell r="Q327">
            <v>1025.0999999999999</v>
          </cell>
          <cell r="R327">
            <v>1077.7666666666678</v>
          </cell>
          <cell r="S327">
            <v>11.027249999999999</v>
          </cell>
          <cell r="T327">
            <v>11.720833333333337</v>
          </cell>
          <cell r="U327">
            <v>1047.8480833333333</v>
          </cell>
          <cell r="V327">
            <v>5.3749075369558215</v>
          </cell>
          <cell r="W327">
            <v>0.21774191312064115</v>
          </cell>
          <cell r="Y327">
            <v>63.03</v>
          </cell>
          <cell r="Z327">
            <v>85.5</v>
          </cell>
          <cell r="AA327">
            <v>5389.0650000000005</v>
          </cell>
          <cell r="AB327">
            <v>890</v>
          </cell>
          <cell r="AC327">
            <v>646</v>
          </cell>
          <cell r="AD327">
            <v>-244</v>
          </cell>
          <cell r="AE327">
            <v>0</v>
          </cell>
          <cell r="AF327">
            <v>0</v>
          </cell>
          <cell r="AG327">
            <v>184.33333333333329</v>
          </cell>
          <cell r="AH327">
            <v>114.28666666666663</v>
          </cell>
          <cell r="AI327">
            <v>277</v>
          </cell>
          <cell r="AJ327">
            <v>5536.3516666666674</v>
          </cell>
          <cell r="AK327">
            <v>12322.666666666672</v>
          </cell>
          <cell r="AL327">
            <v>14553</v>
          </cell>
          <cell r="AM327">
            <v>0.42682535399480898</v>
          </cell>
          <cell r="AN327">
            <v>-1.8811194202451621E-2</v>
          </cell>
          <cell r="AO327">
            <v>1349</v>
          </cell>
          <cell r="AP327">
            <v>1453.6666666666661</v>
          </cell>
          <cell r="AQ327">
            <v>0</v>
          </cell>
          <cell r="AR327">
            <v>13.364166666666662</v>
          </cell>
          <cell r="AS327">
            <v>1362.3641666666667</v>
          </cell>
          <cell r="AT327">
            <v>3.9462216519952009</v>
          </cell>
          <cell r="AU327">
            <v>0.41547027985506135</v>
          </cell>
          <cell r="AW327">
            <v>48.08</v>
          </cell>
          <cell r="AX327">
            <v>26.618413</v>
          </cell>
          <cell r="AY327">
            <v>1279.81329704</v>
          </cell>
          <cell r="AZ327">
            <v>117.128</v>
          </cell>
          <cell r="BA327">
            <v>0</v>
          </cell>
          <cell r="BB327">
            <v>-117.128</v>
          </cell>
          <cell r="BC327">
            <v>9.9469999999999974</v>
          </cell>
          <cell r="BD327">
            <v>6.1671399999999981</v>
          </cell>
          <cell r="BE327">
            <v>0</v>
          </cell>
          <cell r="BF327">
            <v>0</v>
          </cell>
          <cell r="BG327">
            <v>1168.85243704</v>
          </cell>
          <cell r="BH327">
            <v>736.19766666666646</v>
          </cell>
          <cell r="BI327">
            <v>821.09900000000005</v>
          </cell>
          <cell r="BJ327">
            <v>1.4935521730030321</v>
          </cell>
          <cell r="BK327">
            <v>-0.14966540974368736</v>
          </cell>
          <cell r="BL327">
            <v>126.7346666666667</v>
          </cell>
          <cell r="BM327">
            <v>160.09566666666657</v>
          </cell>
          <cell r="BN327">
            <v>0.72115749999999978</v>
          </cell>
          <cell r="BO327">
            <v>0</v>
          </cell>
          <cell r="BP327">
            <v>127.4558241666667</v>
          </cell>
          <cell r="BQ327">
            <v>8.4335031427333256</v>
          </cell>
          <cell r="BR327">
            <v>1.6353372506737165</v>
          </cell>
          <cell r="BT327">
            <v>7.97</v>
          </cell>
          <cell r="BU327">
            <v>65.5</v>
          </cell>
          <cell r="BV327">
            <v>522.03499999999997</v>
          </cell>
          <cell r="BW327">
            <v>28.6</v>
          </cell>
          <cell r="BX327">
            <v>858.4</v>
          </cell>
          <cell r="BY327">
            <v>829.8</v>
          </cell>
          <cell r="BZ327">
            <v>73.058666666666682</v>
          </cell>
          <cell r="CA327">
            <v>45.296373333333342</v>
          </cell>
          <cell r="CB327">
            <v>131.42066666666673</v>
          </cell>
          <cell r="CC327">
            <v>81.480813333333373</v>
          </cell>
          <cell r="CD327">
            <v>1478.6121866666667</v>
          </cell>
          <cell r="CE327">
            <v>2658.8000000000015</v>
          </cell>
          <cell r="CF327">
            <v>2795.3326666666653</v>
          </cell>
          <cell r="CG327">
            <v>0.53679876081563505</v>
          </cell>
          <cell r="CH327">
            <v>0.30125249591577419</v>
          </cell>
          <cell r="CI327">
            <v>282.9000000000002</v>
          </cell>
          <cell r="CJ327">
            <v>272.10999999999996</v>
          </cell>
          <cell r="CK327">
            <v>5.2967533333333341</v>
          </cell>
          <cell r="CL327">
            <v>9.527998333333338</v>
          </cell>
          <cell r="CM327">
            <v>297.72475166666692</v>
          </cell>
          <cell r="CN327">
            <v>4.883153086220501</v>
          </cell>
          <cell r="CO327">
            <v>0.18952078417135595</v>
          </cell>
          <cell r="CQ327">
            <v>57.4</v>
          </cell>
          <cell r="CR327">
            <v>126.9</v>
          </cell>
          <cell r="CS327">
            <v>7284.06</v>
          </cell>
          <cell r="CT327">
            <v>270</v>
          </cell>
          <cell r="CU327">
            <v>5890</v>
          </cell>
          <cell r="CV327">
            <v>5620</v>
          </cell>
          <cell r="CW327">
            <v>-420</v>
          </cell>
          <cell r="CX327">
            <v>-260.39999999999998</v>
          </cell>
          <cell r="CY327">
            <v>1273</v>
          </cell>
          <cell r="CZ327">
            <v>789.26</v>
          </cell>
          <cell r="DA327">
            <v>0.05</v>
          </cell>
          <cell r="DB327">
            <v>6.69</v>
          </cell>
          <cell r="DC327">
            <v>164.8</v>
          </cell>
          <cell r="DD327">
            <v>1102.5120000000002</v>
          </cell>
          <cell r="DE327">
            <v>13377.794400000002</v>
          </cell>
          <cell r="DF327">
            <v>16252.333333333328</v>
          </cell>
          <cell r="DG327">
            <v>12934.333333333328</v>
          </cell>
          <cell r="DH327">
            <v>1.0342855758575373</v>
          </cell>
          <cell r="DI327">
            <v>0.43450248692111448</v>
          </cell>
          <cell r="DJ327">
            <v>1621.2253333333338</v>
          </cell>
          <cell r="DK327">
            <v>1248.9460000000001</v>
          </cell>
          <cell r="DL327">
            <v>-30.45</v>
          </cell>
          <cell r="DM327">
            <v>92.29249999999999</v>
          </cell>
          <cell r="DN327">
            <v>1683.0678333333337</v>
          </cell>
          <cell r="DO327">
            <v>7.9484582469294409</v>
          </cell>
          <cell r="DP327">
            <v>0.44818549131406787</v>
          </cell>
          <cell r="DR327">
            <v>11.39</v>
          </cell>
          <cell r="DS327">
            <v>131</v>
          </cell>
          <cell r="DT327">
            <v>1492.0900000000001</v>
          </cell>
          <cell r="DU327">
            <v>1219</v>
          </cell>
          <cell r="DV327">
            <v>1824</v>
          </cell>
          <cell r="DW327">
            <v>605</v>
          </cell>
          <cell r="DX327">
            <v>578.33333333333337</v>
          </cell>
          <cell r="DY327">
            <v>358.56666666666666</v>
          </cell>
          <cell r="DZ327">
            <v>3234.3333333333321</v>
          </cell>
          <cell r="EA327">
            <v>2005.286666666666</v>
          </cell>
          <cell r="EB327">
            <v>4460.9433333333327</v>
          </cell>
          <cell r="EC327">
            <v>17475</v>
          </cell>
          <cell r="ED327">
            <v>18189</v>
          </cell>
          <cell r="EE327">
            <v>0.2425084715049379</v>
          </cell>
          <cell r="EF327">
            <v>3.2889372111986954E-2</v>
          </cell>
          <cell r="EG327">
            <v>719.66666666666697</v>
          </cell>
          <cell r="EH327">
            <v>490.33333333333309</v>
          </cell>
          <cell r="EI327">
            <v>41.929166666666667</v>
          </cell>
          <cell r="EJ327">
            <v>234.48916666666656</v>
          </cell>
          <cell r="EK327">
            <v>996.08500000000026</v>
          </cell>
          <cell r="EL327">
            <v>4.1359123236022421</v>
          </cell>
          <cell r="EM327">
            <v>8.1113889643924991E-2</v>
          </cell>
          <cell r="EO327">
            <v>6.08</v>
          </cell>
          <cell r="EP327">
            <v>39.700000000000003</v>
          </cell>
          <cell r="EQ327">
            <v>241.37600000000003</v>
          </cell>
          <cell r="ER327">
            <v>42</v>
          </cell>
          <cell r="ES327">
            <v>1421</v>
          </cell>
          <cell r="ET327">
            <v>1379</v>
          </cell>
          <cell r="EU327">
            <v>161</v>
          </cell>
          <cell r="EV327">
            <v>99.82</v>
          </cell>
          <cell r="EW327">
            <v>149</v>
          </cell>
          <cell r="EX327">
            <v>92.38</v>
          </cell>
          <cell r="EY327">
            <v>17.666666666666661</v>
          </cell>
          <cell r="EZ327">
            <v>1830.2426666666668</v>
          </cell>
          <cell r="FA327">
            <v>3427.3333333333321</v>
          </cell>
          <cell r="FB327">
            <v>304</v>
          </cell>
          <cell r="FC327">
            <v>11.672499999999999</v>
          </cell>
          <cell r="FD327">
            <v>10.802499999999998</v>
          </cell>
          <cell r="FE327">
            <v>326.47500000000002</v>
          </cell>
        </row>
        <row r="328">
          <cell r="A328">
            <v>37500</v>
          </cell>
          <cell r="B328">
            <v>41.65</v>
          </cell>
          <cell r="C328">
            <v>67.099999999999994</v>
          </cell>
          <cell r="D328">
            <v>2794.7149999999997</v>
          </cell>
          <cell r="E328">
            <v>86.4</v>
          </cell>
          <cell r="F328">
            <v>2483.9</v>
          </cell>
          <cell r="G328">
            <v>2397.5</v>
          </cell>
          <cell r="H328">
            <v>158.47499999999999</v>
          </cell>
          <cell r="I328">
            <v>98.254499999999993</v>
          </cell>
          <cell r="J328">
            <v>166.62500000000006</v>
          </cell>
          <cell r="K328">
            <v>103.30750000000003</v>
          </cell>
          <cell r="L328">
            <v>5393.777</v>
          </cell>
          <cell r="M328">
            <v>14224.624999999996</v>
          </cell>
          <cell r="N328">
            <v>15416.174999999994</v>
          </cell>
          <cell r="O328">
            <v>0.37392905175880092</v>
          </cell>
          <cell r="P328">
            <v>0.16620911498412433</v>
          </cell>
          <cell r="Q328">
            <v>1029.8499999999999</v>
          </cell>
          <cell r="R328">
            <v>1081.9750000000013</v>
          </cell>
          <cell r="S328">
            <v>11.489437499999999</v>
          </cell>
          <cell r="T328">
            <v>12.080312500000003</v>
          </cell>
          <cell r="U328">
            <v>1053.4197499999998</v>
          </cell>
          <cell r="V328">
            <v>5.0402783387792987</v>
          </cell>
          <cell r="W328">
            <v>0.19374644704185903</v>
          </cell>
          <cell r="Y328">
            <v>56.38</v>
          </cell>
          <cell r="Z328">
            <v>90.3</v>
          </cell>
          <cell r="AA328">
            <v>5091.1140000000005</v>
          </cell>
          <cell r="AB328">
            <v>1165</v>
          </cell>
          <cell r="AC328">
            <v>579</v>
          </cell>
          <cell r="AD328">
            <v>-586</v>
          </cell>
          <cell r="AE328">
            <v>0</v>
          </cell>
          <cell r="AF328">
            <v>0</v>
          </cell>
          <cell r="AG328">
            <v>193.24999999999994</v>
          </cell>
          <cell r="AH328">
            <v>119.81499999999997</v>
          </cell>
          <cell r="AI328">
            <v>277</v>
          </cell>
          <cell r="AJ328">
            <v>4901.9290000000001</v>
          </cell>
          <cell r="AK328">
            <v>12484.750000000005</v>
          </cell>
          <cell r="AL328">
            <v>14750.75</v>
          </cell>
          <cell r="AM328">
            <v>0.3779145015804487</v>
          </cell>
          <cell r="AN328">
            <v>-4.5177704109166605E-2</v>
          </cell>
          <cell r="AO328">
            <v>1358.5</v>
          </cell>
          <cell r="AP328">
            <v>1461.9999999999993</v>
          </cell>
          <cell r="AQ328">
            <v>0</v>
          </cell>
          <cell r="AR328">
            <v>14.010624999999996</v>
          </cell>
          <cell r="AS328">
            <v>1372.5106249999999</v>
          </cell>
          <cell r="AT328">
            <v>3.4940154674079618</v>
          </cell>
          <cell r="AU328">
            <v>0.39249973016729633</v>
          </cell>
          <cell r="AW328">
            <v>47.08</v>
          </cell>
          <cell r="AX328">
            <v>26.581</v>
          </cell>
          <cell r="AY328">
            <v>1251.4334799999999</v>
          </cell>
          <cell r="AZ328">
            <v>98.707999999999998</v>
          </cell>
          <cell r="BA328">
            <v>0</v>
          </cell>
          <cell r="BB328">
            <v>-98.707999999999998</v>
          </cell>
          <cell r="BC328">
            <v>10.016499999999997</v>
          </cell>
          <cell r="BD328">
            <v>6.2102299999999984</v>
          </cell>
          <cell r="BE328">
            <v>0</v>
          </cell>
          <cell r="BF328">
            <v>0</v>
          </cell>
          <cell r="BG328">
            <v>1158.9357099999997</v>
          </cell>
          <cell r="BH328">
            <v>747.79799999999977</v>
          </cell>
          <cell r="BI328">
            <v>825.91150000000005</v>
          </cell>
          <cell r="BJ328">
            <v>1.4808806425768493</v>
          </cell>
          <cell r="BK328">
            <v>-0.12612845148026</v>
          </cell>
          <cell r="BL328">
            <v>129.51475000000002</v>
          </cell>
          <cell r="BM328">
            <v>162.8757499999999</v>
          </cell>
          <cell r="BN328">
            <v>0.72619624999999977</v>
          </cell>
          <cell r="BO328">
            <v>0</v>
          </cell>
          <cell r="BP328">
            <v>130.24094625000001</v>
          </cell>
          <cell r="BQ328">
            <v>8.3619519819475716</v>
          </cell>
          <cell r="BR328">
            <v>1.5990737018575283</v>
          </cell>
          <cell r="BT328">
            <v>6.7</v>
          </cell>
          <cell r="BU328">
            <v>65.612499999999997</v>
          </cell>
          <cell r="BV328">
            <v>439.60374999999999</v>
          </cell>
          <cell r="BW328">
            <v>25.923999999999999</v>
          </cell>
          <cell r="BX328">
            <v>897.30500000000006</v>
          </cell>
          <cell r="BY328">
            <v>871.38100000000009</v>
          </cell>
          <cell r="BZ328">
            <v>75.424750000000017</v>
          </cell>
          <cell r="CA328">
            <v>46.763345000000008</v>
          </cell>
          <cell r="CB328">
            <v>129.65425000000008</v>
          </cell>
          <cell r="CC328">
            <v>80.38563500000005</v>
          </cell>
          <cell r="CD328">
            <v>1438.1337300000002</v>
          </cell>
          <cell r="CE328">
            <v>2682.7250000000017</v>
          </cell>
          <cell r="CF328">
            <v>2800.4367499999985</v>
          </cell>
          <cell r="CG328">
            <v>0.52210336903249233</v>
          </cell>
          <cell r="CH328">
            <v>0.31634815756035584</v>
          </cell>
          <cell r="CI328">
            <v>284.12500000000023</v>
          </cell>
          <cell r="CJ328">
            <v>270.14874999999995</v>
          </cell>
          <cell r="CK328">
            <v>5.468294375000001</v>
          </cell>
          <cell r="CL328">
            <v>9.399933125000004</v>
          </cell>
          <cell r="CM328">
            <v>298.99322750000027</v>
          </cell>
          <cell r="CN328">
            <v>4.749471988242485</v>
          </cell>
          <cell r="CO328">
            <v>0.15959475403884552</v>
          </cell>
          <cell r="CQ328">
            <v>58.55</v>
          </cell>
          <cell r="CR328">
            <v>129.1</v>
          </cell>
          <cell r="CS328">
            <v>7558.8049999999994</v>
          </cell>
          <cell r="CT328">
            <v>313</v>
          </cell>
          <cell r="CU328">
            <v>5981</v>
          </cell>
          <cell r="CV328">
            <v>5668</v>
          </cell>
          <cell r="CW328">
            <v>-420</v>
          </cell>
          <cell r="CX328">
            <v>-260.39999999999998</v>
          </cell>
          <cell r="CY328">
            <v>1273</v>
          </cell>
          <cell r="CZ328">
            <v>789.26</v>
          </cell>
          <cell r="DA328">
            <v>0.05</v>
          </cell>
          <cell r="DC328">
            <v>164.8</v>
          </cell>
          <cell r="DD328">
            <v>0</v>
          </cell>
          <cell r="DE328">
            <v>13755.665000000001</v>
          </cell>
          <cell r="DF328">
            <v>16235.999999999995</v>
          </cell>
          <cell r="DG328">
            <v>12527.749999999995</v>
          </cell>
          <cell r="DH328">
            <v>1.0980156053561101</v>
          </cell>
          <cell r="DI328">
            <v>0.45243559298357666</v>
          </cell>
          <cell r="DJ328">
            <v>1616.6285000000005</v>
          </cell>
          <cell r="DK328">
            <v>1204.7095000000002</v>
          </cell>
          <cell r="DL328">
            <v>-30.45</v>
          </cell>
          <cell r="DM328">
            <v>92.29249999999999</v>
          </cell>
          <cell r="DN328">
            <v>1678.4710000000005</v>
          </cell>
          <cell r="DO328">
            <v>8.1953545816400748</v>
          </cell>
          <cell r="DP328">
            <v>0.46555832717418094</v>
          </cell>
          <cell r="DR328">
            <v>9.4700000000000006</v>
          </cell>
          <cell r="DS328">
            <v>127.8</v>
          </cell>
          <cell r="DT328">
            <v>1210.2660000000001</v>
          </cell>
          <cell r="DU328">
            <v>1001</v>
          </cell>
          <cell r="DV328">
            <v>1835</v>
          </cell>
          <cell r="DW328">
            <v>834</v>
          </cell>
          <cell r="DX328">
            <v>609.75</v>
          </cell>
          <cell r="DY328">
            <v>378.04500000000002</v>
          </cell>
          <cell r="DZ328">
            <v>3303.4999999999986</v>
          </cell>
          <cell r="EA328">
            <v>2048.1699999999992</v>
          </cell>
          <cell r="EB328">
            <v>4470.4809999999998</v>
          </cell>
          <cell r="EC328">
            <v>17429</v>
          </cell>
          <cell r="ED328">
            <v>18163.25</v>
          </cell>
          <cell r="EE328">
            <v>0.24302696384887196</v>
          </cell>
          <cell r="EF328">
            <v>4.5338407175863009E-2</v>
          </cell>
          <cell r="EG328">
            <v>717.00000000000034</v>
          </cell>
          <cell r="EH328">
            <v>454.99999999999977</v>
          </cell>
          <cell r="EI328">
            <v>44.206874999999997</v>
          </cell>
          <cell r="EJ328">
            <v>239.50374999999988</v>
          </cell>
          <cell r="EK328">
            <v>1000.7106250000002</v>
          </cell>
          <cell r="EL328">
            <v>4.144755061596765</v>
          </cell>
          <cell r="EM328">
            <v>6.5793204675183473E-2</v>
          </cell>
          <cell r="EO328">
            <v>4.21</v>
          </cell>
          <cell r="EP328">
            <v>39.799999999999997</v>
          </cell>
          <cell r="EQ328">
            <v>167.55799999999999</v>
          </cell>
          <cell r="ER328">
            <v>46</v>
          </cell>
          <cell r="ES328">
            <v>1407</v>
          </cell>
          <cell r="ET328">
            <v>1361</v>
          </cell>
          <cell r="EU328">
            <v>167</v>
          </cell>
          <cell r="EV328">
            <v>103.54</v>
          </cell>
          <cell r="EW328">
            <v>150.5</v>
          </cell>
          <cell r="EX328">
            <v>93.31</v>
          </cell>
          <cell r="EY328">
            <v>17.999999999999993</v>
          </cell>
          <cell r="EZ328">
            <v>1743.4079999999999</v>
          </cell>
          <cell r="FA328">
            <v>3435.25</v>
          </cell>
          <cell r="FB328">
            <v>304.5</v>
          </cell>
          <cell r="FC328">
            <v>12.1075</v>
          </cell>
          <cell r="FD328">
            <v>10.911249999999999</v>
          </cell>
          <cell r="FE328">
            <v>327.51875000000001</v>
          </cell>
        </row>
        <row r="329">
          <cell r="A329">
            <v>37530</v>
          </cell>
          <cell r="B329">
            <v>36.549999999999997</v>
          </cell>
          <cell r="C329">
            <v>67.099999999999994</v>
          </cell>
          <cell r="D329">
            <v>2452.5049999999997</v>
          </cell>
          <cell r="E329">
            <v>86.4</v>
          </cell>
          <cell r="F329">
            <v>2483.9</v>
          </cell>
          <cell r="G329">
            <v>2397.5</v>
          </cell>
          <cell r="H329">
            <v>164.85</v>
          </cell>
          <cell r="I329">
            <v>102.20699999999999</v>
          </cell>
          <cell r="J329">
            <v>171.5833333333334</v>
          </cell>
          <cell r="K329">
            <v>106.3816666666667</v>
          </cell>
          <cell r="L329">
            <v>5058.5936666666666</v>
          </cell>
          <cell r="M329">
            <v>14291.283333333329</v>
          </cell>
          <cell r="N329">
            <v>15526.349999999993</v>
          </cell>
          <cell r="O329">
            <v>0.35069212780019315</v>
          </cell>
          <cell r="P329">
            <v>0.16620911498412433</v>
          </cell>
          <cell r="Q329">
            <v>1034.5999999999999</v>
          </cell>
          <cell r="R329">
            <v>1086.1833333333348</v>
          </cell>
          <cell r="S329">
            <v>11.951624999999998</v>
          </cell>
          <cell r="T329">
            <v>12.43979166666667</v>
          </cell>
          <cell r="U329">
            <v>1058.9914166666665</v>
          </cell>
          <cell r="V329">
            <v>4.7270623317920171</v>
          </cell>
          <cell r="W329">
            <v>0.17002239230203955</v>
          </cell>
          <cell r="Y329">
            <v>54.05</v>
          </cell>
          <cell r="Z329">
            <v>90.3</v>
          </cell>
          <cell r="AA329">
            <v>4880.7149999999992</v>
          </cell>
          <cell r="AB329">
            <v>1165</v>
          </cell>
          <cell r="AC329">
            <v>579</v>
          </cell>
          <cell r="AD329">
            <v>-586</v>
          </cell>
          <cell r="AE329">
            <v>0</v>
          </cell>
          <cell r="AF329">
            <v>0</v>
          </cell>
          <cell r="AG329">
            <v>202.1666666666666</v>
          </cell>
          <cell r="AH329">
            <v>125.34333333333329</v>
          </cell>
          <cell r="AI329">
            <v>277</v>
          </cell>
          <cell r="AJ329">
            <v>4697.0583333333325</v>
          </cell>
          <cell r="AK329">
            <v>12646.833333333339</v>
          </cell>
          <cell r="AL329">
            <v>14948.5</v>
          </cell>
          <cell r="AM329">
            <v>0.36211998560892239</v>
          </cell>
          <cell r="AN329">
            <v>-4.5177704109166605E-2</v>
          </cell>
          <cell r="AO329">
            <v>1368</v>
          </cell>
          <cell r="AP329">
            <v>1470.3333333333326</v>
          </cell>
          <cell r="AQ329">
            <v>0</v>
          </cell>
          <cell r="AR329">
            <v>14.657083333333327</v>
          </cell>
          <cell r="AS329">
            <v>1382.6570833333333</v>
          </cell>
          <cell r="AT329">
            <v>3.3479869798163389</v>
          </cell>
          <cell r="AU329">
            <v>0.37627900701565026</v>
          </cell>
          <cell r="AW329">
            <v>42.47</v>
          </cell>
          <cell r="AX329">
            <v>26.581</v>
          </cell>
          <cell r="AY329">
            <v>1128.89507</v>
          </cell>
          <cell r="AZ329">
            <v>98.707999999999998</v>
          </cell>
          <cell r="BA329">
            <v>0</v>
          </cell>
          <cell r="BB329">
            <v>-98.707999999999998</v>
          </cell>
          <cell r="BC329">
            <v>10.085999999999997</v>
          </cell>
          <cell r="BD329">
            <v>6.2533199999999978</v>
          </cell>
          <cell r="BE329">
            <v>0</v>
          </cell>
          <cell r="BF329">
            <v>0</v>
          </cell>
          <cell r="BG329">
            <v>1036.44039</v>
          </cell>
          <cell r="BH329">
            <v>759.39833333333308</v>
          </cell>
          <cell r="BI329">
            <v>830.72400000000005</v>
          </cell>
          <cell r="BJ329">
            <v>1.3243569056438864</v>
          </cell>
          <cell r="BK329">
            <v>-0.12612845148026</v>
          </cell>
          <cell r="BL329">
            <v>132.29483333333334</v>
          </cell>
          <cell r="BM329">
            <v>165.65583333333322</v>
          </cell>
          <cell r="BN329">
            <v>0.73123499999999975</v>
          </cell>
          <cell r="BO329">
            <v>0</v>
          </cell>
          <cell r="BP329">
            <v>133.02606833333334</v>
          </cell>
          <cell r="BQ329">
            <v>7.4781238497957885</v>
          </cell>
          <cell r="BR329">
            <v>1.4424949047979871</v>
          </cell>
          <cell r="BT329">
            <v>5.3</v>
          </cell>
          <cell r="BU329">
            <v>65.612499999999997</v>
          </cell>
          <cell r="BV329">
            <v>347.74624999999997</v>
          </cell>
          <cell r="BW329">
            <v>25.923999999999999</v>
          </cell>
          <cell r="BX329">
            <v>897.30500000000006</v>
          </cell>
          <cell r="BY329">
            <v>871.38100000000009</v>
          </cell>
          <cell r="BZ329">
            <v>77.790833333333353</v>
          </cell>
          <cell r="CA329">
            <v>48.230316666666681</v>
          </cell>
          <cell r="CB329">
            <v>127.8878333333334</v>
          </cell>
          <cell r="CC329">
            <v>79.290456666666714</v>
          </cell>
          <cell r="CD329">
            <v>1346.6480233333332</v>
          </cell>
          <cell r="CE329">
            <v>2706.6500000000019</v>
          </cell>
          <cell r="CF329">
            <v>2805.5408333333316</v>
          </cell>
          <cell r="CG329">
            <v>0.48889018817692254</v>
          </cell>
          <cell r="CH329">
            <v>0.31634815756035584</v>
          </cell>
          <cell r="CI329">
            <v>285.35000000000025</v>
          </cell>
          <cell r="CJ329">
            <v>268.18749999999994</v>
          </cell>
          <cell r="CK329">
            <v>5.639835416666668</v>
          </cell>
          <cell r="CL329">
            <v>9.2718679166666718</v>
          </cell>
          <cell r="CM329">
            <v>300.26170333333357</v>
          </cell>
          <cell r="CN329">
            <v>4.4473381935376599</v>
          </cell>
          <cell r="CO329">
            <v>0.12624659647848974</v>
          </cell>
          <cell r="CQ329">
            <v>53.3</v>
          </cell>
          <cell r="CR329">
            <v>129.1</v>
          </cell>
          <cell r="CS329">
            <v>6881.03</v>
          </cell>
          <cell r="CT329">
            <v>313</v>
          </cell>
          <cell r="CU329">
            <v>5981</v>
          </cell>
          <cell r="CV329">
            <v>5668</v>
          </cell>
          <cell r="CW329">
            <v>-420</v>
          </cell>
          <cell r="CX329">
            <v>-260.39999999999998</v>
          </cell>
          <cell r="CY329">
            <v>1273</v>
          </cell>
          <cell r="CZ329">
            <v>789.26</v>
          </cell>
          <cell r="DA329">
            <v>0.05</v>
          </cell>
          <cell r="DC329">
            <v>164.8</v>
          </cell>
          <cell r="DD329">
            <v>0</v>
          </cell>
          <cell r="DE329">
            <v>13077.89</v>
          </cell>
          <cell r="DF329">
            <v>16219.666666666661</v>
          </cell>
          <cell r="DG329">
            <v>12121.166666666661</v>
          </cell>
          <cell r="DH329">
            <v>1.0789299709873916</v>
          </cell>
          <cell r="DI329">
            <v>0.46761175354407603</v>
          </cell>
          <cell r="DJ329">
            <v>1612.0316666666672</v>
          </cell>
          <cell r="DK329">
            <v>1160.4730000000002</v>
          </cell>
          <cell r="DL329">
            <v>-30.45</v>
          </cell>
          <cell r="DM329">
            <v>92.29249999999999</v>
          </cell>
          <cell r="DN329">
            <v>1673.8741666666672</v>
          </cell>
          <cell r="DO329">
            <v>7.812946911083019</v>
          </cell>
          <cell r="DP329">
            <v>0.42423991450708004</v>
          </cell>
          <cell r="DR329">
            <v>6.59</v>
          </cell>
          <cell r="DS329">
            <v>127.8</v>
          </cell>
          <cell r="DT329">
            <v>842.202</v>
          </cell>
          <cell r="DU329">
            <v>1001</v>
          </cell>
          <cell r="DV329">
            <v>1835</v>
          </cell>
          <cell r="DW329">
            <v>834</v>
          </cell>
          <cell r="DX329">
            <v>641.16666666666663</v>
          </cell>
          <cell r="DY329">
            <v>397.52333333333331</v>
          </cell>
          <cell r="DZ329">
            <v>3372.6666666666652</v>
          </cell>
          <cell r="EA329">
            <v>2091.0533333333324</v>
          </cell>
          <cell r="EB329">
            <v>4164.7786666666652</v>
          </cell>
          <cell r="EC329">
            <v>17383</v>
          </cell>
          <cell r="ED329">
            <v>18137.5</v>
          </cell>
          <cell r="EE329">
            <v>0.2264081906315121</v>
          </cell>
          <cell r="EF329">
            <v>4.5338407175863009E-2</v>
          </cell>
          <cell r="EG329">
            <v>714.33333333333371</v>
          </cell>
          <cell r="EH329">
            <v>419.66666666666646</v>
          </cell>
          <cell r="EI329">
            <v>46.484583333333326</v>
          </cell>
          <cell r="EJ329">
            <v>244.5183333333332</v>
          </cell>
          <cell r="EK329">
            <v>1005.3362500000003</v>
          </cell>
          <cell r="EL329">
            <v>3.8613266579361114</v>
          </cell>
          <cell r="EM329">
            <v>4.5784289209024193E-2</v>
          </cell>
          <cell r="EO329">
            <v>5.75</v>
          </cell>
          <cell r="EP329">
            <v>39.799999999999997</v>
          </cell>
          <cell r="EQ329">
            <v>228.85</v>
          </cell>
          <cell r="ER329">
            <v>46</v>
          </cell>
          <cell r="ES329">
            <v>1407</v>
          </cell>
          <cell r="ET329">
            <v>1361</v>
          </cell>
          <cell r="EU329">
            <v>173</v>
          </cell>
          <cell r="EV329">
            <v>107.26</v>
          </cell>
          <cell r="EW329">
            <v>152</v>
          </cell>
          <cell r="EX329">
            <v>94.24</v>
          </cell>
          <cell r="EY329">
            <v>18.333333333333325</v>
          </cell>
          <cell r="EZ329">
            <v>1809.6833333333332</v>
          </cell>
          <cell r="FA329">
            <v>3443.1666666666652</v>
          </cell>
          <cell r="FB329">
            <v>305</v>
          </cell>
          <cell r="FC329">
            <v>12.542499999999999</v>
          </cell>
          <cell r="FD329">
            <v>11.02</v>
          </cell>
          <cell r="FE329">
            <v>328.5625</v>
          </cell>
        </row>
        <row r="330">
          <cell r="A330">
            <v>37561</v>
          </cell>
          <cell r="B330">
            <v>36.69</v>
          </cell>
          <cell r="C330">
            <v>67.099999999999994</v>
          </cell>
          <cell r="D330">
            <v>2461.8989999999994</v>
          </cell>
          <cell r="E330">
            <v>86.4</v>
          </cell>
          <cell r="F330">
            <v>2483.9</v>
          </cell>
          <cell r="G330">
            <v>2397.5</v>
          </cell>
          <cell r="H330">
            <v>171.22499999999999</v>
          </cell>
          <cell r="I330">
            <v>106.15949999999999</v>
          </cell>
          <cell r="J330">
            <v>176.54166666666674</v>
          </cell>
          <cell r="K330">
            <v>109.45583333333337</v>
          </cell>
          <cell r="L330">
            <v>5075.0143333333326</v>
          </cell>
          <cell r="M330">
            <v>14357.941666666662</v>
          </cell>
          <cell r="N330">
            <v>15636.524999999992</v>
          </cell>
          <cell r="O330">
            <v>0.32229065984195626</v>
          </cell>
          <cell r="P330">
            <v>0.15225412308610692</v>
          </cell>
          <cell r="Q330">
            <v>1039.3499999999999</v>
          </cell>
          <cell r="R330">
            <v>1090.3916666666682</v>
          </cell>
          <cell r="S330">
            <v>12.413812499999999</v>
          </cell>
          <cell r="T330">
            <v>12.799270833333338</v>
          </cell>
          <cell r="U330">
            <v>1064.5630833333332</v>
          </cell>
          <cell r="V330">
            <v>4.5220843794800683</v>
          </cell>
          <cell r="W330">
            <v>0.15634380536874387</v>
          </cell>
          <cell r="Y330">
            <v>55.83</v>
          </cell>
          <cell r="Z330">
            <v>90.3</v>
          </cell>
          <cell r="AA330">
            <v>5041.4489999999996</v>
          </cell>
          <cell r="AB330">
            <v>1165</v>
          </cell>
          <cell r="AC330">
            <v>579</v>
          </cell>
          <cell r="AD330">
            <v>-586</v>
          </cell>
          <cell r="AE330">
            <v>0</v>
          </cell>
          <cell r="AF330">
            <v>0</v>
          </cell>
          <cell r="AG330">
            <v>211.08333333333326</v>
          </cell>
          <cell r="AH330">
            <v>130.87166666666661</v>
          </cell>
          <cell r="AI330">
            <v>277</v>
          </cell>
          <cell r="AJ330">
            <v>4863.3206666666665</v>
          </cell>
          <cell r="AK330">
            <v>12808.916666666673</v>
          </cell>
          <cell r="AL330">
            <v>15146.25</v>
          </cell>
          <cell r="AM330">
            <v>0.31695259819256166</v>
          </cell>
          <cell r="AN330">
            <v>-3.8190823774765383E-2</v>
          </cell>
          <cell r="AO330">
            <v>1377.5</v>
          </cell>
          <cell r="AP330">
            <v>1478.6666666666658</v>
          </cell>
          <cell r="AQ330">
            <v>0</v>
          </cell>
          <cell r="AR330">
            <v>15.303541666666661</v>
          </cell>
          <cell r="AS330">
            <v>1392.8035416666667</v>
          </cell>
          <cell r="AT330">
            <v>3.2279087621136773</v>
          </cell>
          <cell r="AU330">
            <v>0.32856158759124088</v>
          </cell>
          <cell r="AW330">
            <v>42.13</v>
          </cell>
          <cell r="AX330">
            <v>26.581</v>
          </cell>
          <cell r="AY330">
            <v>1119.85753</v>
          </cell>
          <cell r="AZ330">
            <v>98.707999999999998</v>
          </cell>
          <cell r="BA330">
            <v>0</v>
          </cell>
          <cell r="BB330">
            <v>-98.707999999999998</v>
          </cell>
          <cell r="BC330">
            <v>10.155499999999996</v>
          </cell>
          <cell r="BD330">
            <v>6.2964099999999981</v>
          </cell>
          <cell r="BE330">
            <v>0</v>
          </cell>
          <cell r="BF330">
            <v>0</v>
          </cell>
          <cell r="BG330">
            <v>1027.4459400000001</v>
          </cell>
          <cell r="BH330">
            <v>770.9986666666664</v>
          </cell>
          <cell r="BI330">
            <v>835.53650000000005</v>
          </cell>
          <cell r="BJ330">
            <v>1.2226419499517462</v>
          </cell>
          <cell r="BK330">
            <v>-0.11746072167635113</v>
          </cell>
          <cell r="BL330">
            <v>135.07491666666667</v>
          </cell>
          <cell r="BM330">
            <v>168.43591666666654</v>
          </cell>
          <cell r="BN330">
            <v>0.73627374999999973</v>
          </cell>
          <cell r="BO330">
            <v>0</v>
          </cell>
          <cell r="BP330">
            <v>135.81119041666668</v>
          </cell>
          <cell r="BQ330">
            <v>7.5838162073387902</v>
          </cell>
          <cell r="BR330">
            <v>1.3326100584400051</v>
          </cell>
          <cell r="BT330">
            <v>5.65</v>
          </cell>
          <cell r="BU330">
            <v>65.612499999999997</v>
          </cell>
          <cell r="BV330">
            <v>370.71062499999999</v>
          </cell>
          <cell r="BW330">
            <v>25.923999999999999</v>
          </cell>
          <cell r="BX330">
            <v>897.30500000000006</v>
          </cell>
          <cell r="BY330">
            <v>871.38100000000009</v>
          </cell>
          <cell r="BZ330">
            <v>80.156916666666689</v>
          </cell>
          <cell r="CA330">
            <v>49.697288333333347</v>
          </cell>
          <cell r="CB330">
            <v>126.12141666666673</v>
          </cell>
          <cell r="CC330">
            <v>78.195278333333377</v>
          </cell>
          <cell r="CD330">
            <v>1369.9841916666667</v>
          </cell>
          <cell r="CE330">
            <v>2730.5750000000021</v>
          </cell>
          <cell r="CF330">
            <v>2810.6449166666648</v>
          </cell>
          <cell r="CG330">
            <v>0.48654343539380351</v>
          </cell>
          <cell r="CH330">
            <v>0.30946685943953106</v>
          </cell>
          <cell r="CI330">
            <v>286.57500000000027</v>
          </cell>
          <cell r="CJ330">
            <v>266.22624999999994</v>
          </cell>
          <cell r="CK330">
            <v>5.8113764583333349</v>
          </cell>
          <cell r="CL330">
            <v>9.1438027083333377</v>
          </cell>
          <cell r="CM330">
            <v>301.53017916666693</v>
          </cell>
          <cell r="CN330">
            <v>4.859768792649378</v>
          </cell>
          <cell r="CO330">
            <v>0.13165613305731441</v>
          </cell>
          <cell r="CQ330">
            <v>51.69</v>
          </cell>
          <cell r="CR330">
            <v>129.1</v>
          </cell>
          <cell r="CS330">
            <v>6673.1789999999992</v>
          </cell>
          <cell r="CT330">
            <v>313</v>
          </cell>
          <cell r="CU330">
            <v>5981</v>
          </cell>
          <cell r="CV330">
            <v>5668</v>
          </cell>
          <cell r="CW330">
            <v>-420</v>
          </cell>
          <cell r="CX330">
            <v>-260.39999999999998</v>
          </cell>
          <cell r="CY330">
            <v>1273</v>
          </cell>
          <cell r="CZ330">
            <v>789.26</v>
          </cell>
          <cell r="DA330">
            <v>0.05</v>
          </cell>
          <cell r="DC330">
            <v>164.8</v>
          </cell>
          <cell r="DD330">
            <v>0</v>
          </cell>
          <cell r="DE330">
            <v>12870.039000000001</v>
          </cell>
          <cell r="DF330">
            <v>16203.333333333327</v>
          </cell>
          <cell r="DG330">
            <v>11714.583333333327</v>
          </cell>
          <cell r="DH330">
            <v>1.0986339534056559</v>
          </cell>
          <cell r="DI330">
            <v>0.48384136581895815</v>
          </cell>
          <cell r="DJ330">
            <v>1607.4348333333339</v>
          </cell>
          <cell r="DK330">
            <v>1116.2365000000002</v>
          </cell>
          <cell r="DL330">
            <v>-30.45</v>
          </cell>
          <cell r="DM330">
            <v>92.29249999999999</v>
          </cell>
          <cell r="DN330">
            <v>1669.2773333333339</v>
          </cell>
          <cell r="DO330">
            <v>7.709946539740149</v>
          </cell>
          <cell r="DP330">
            <v>0.41183988891174667</v>
          </cell>
          <cell r="DR330">
            <v>8.0500000000000007</v>
          </cell>
          <cell r="DS330">
            <v>127.8</v>
          </cell>
          <cell r="DT330">
            <v>1028.79</v>
          </cell>
          <cell r="DU330">
            <v>1001</v>
          </cell>
          <cell r="DV330">
            <v>1835</v>
          </cell>
          <cell r="DW330">
            <v>834</v>
          </cell>
          <cell r="DX330">
            <v>672.58333333333326</v>
          </cell>
          <cell r="DY330">
            <v>417.00166666666661</v>
          </cell>
          <cell r="DZ330">
            <v>3441.8333333333317</v>
          </cell>
          <cell r="EA330">
            <v>2133.9366666666656</v>
          </cell>
          <cell r="EB330">
            <v>4413.7283333333326</v>
          </cell>
          <cell r="EC330">
            <v>17337</v>
          </cell>
          <cell r="ED330">
            <v>18111.75</v>
          </cell>
          <cell r="EE330">
            <v>0.24404115522134981</v>
          </cell>
          <cell r="EF330">
            <v>4.6113015592170743E-2</v>
          </cell>
          <cell r="EG330">
            <v>711.66666666666708</v>
          </cell>
          <cell r="EH330">
            <v>384.33333333333314</v>
          </cell>
          <cell r="EI330">
            <v>48.762291666666655</v>
          </cell>
          <cell r="EJ330">
            <v>249.53291666666652</v>
          </cell>
          <cell r="EK330">
            <v>1009.9618750000003</v>
          </cell>
          <cell r="EL330">
            <v>9.2496088128868212</v>
          </cell>
          <cell r="EM330">
            <v>5.6883224593608311E-2</v>
          </cell>
          <cell r="EO330">
            <v>4.12</v>
          </cell>
          <cell r="EP330">
            <v>39.799999999999997</v>
          </cell>
          <cell r="EQ330">
            <v>163.976</v>
          </cell>
          <cell r="ER330">
            <v>46</v>
          </cell>
          <cell r="ES330">
            <v>1407</v>
          </cell>
          <cell r="ET330">
            <v>1361</v>
          </cell>
          <cell r="EU330">
            <v>179</v>
          </cell>
          <cell r="EV330">
            <v>110.98</v>
          </cell>
          <cell r="EW330">
            <v>153.5</v>
          </cell>
          <cell r="EX330">
            <v>95.17</v>
          </cell>
          <cell r="EY330">
            <v>18.666666666666657</v>
          </cell>
          <cell r="EZ330">
            <v>1749.7926666666669</v>
          </cell>
          <cell r="FA330">
            <v>3451.0833333333317</v>
          </cell>
          <cell r="FB330">
            <v>305.5</v>
          </cell>
          <cell r="FC330">
            <v>12.977499999999999</v>
          </cell>
          <cell r="FD330">
            <v>11.128749999999998</v>
          </cell>
          <cell r="FE330">
            <v>329.60625000000005</v>
          </cell>
        </row>
        <row r="331">
          <cell r="A331">
            <v>37591</v>
          </cell>
          <cell r="B331">
            <v>33.28</v>
          </cell>
          <cell r="C331">
            <v>67.099999999999994</v>
          </cell>
          <cell r="D331">
            <v>2233.0879999999997</v>
          </cell>
          <cell r="E331">
            <v>91.7</v>
          </cell>
          <cell r="F331">
            <v>2363</v>
          </cell>
          <cell r="G331">
            <v>2271.3000000000002</v>
          </cell>
          <cell r="H331">
            <v>177.6</v>
          </cell>
          <cell r="I331">
            <v>110.11199999999999</v>
          </cell>
          <cell r="J331">
            <v>181.5</v>
          </cell>
          <cell r="K331">
            <v>112.53</v>
          </cell>
          <cell r="L331">
            <v>4727.03</v>
          </cell>
          <cell r="M331">
            <v>14424.6</v>
          </cell>
          <cell r="N331">
            <v>15746.7</v>
          </cell>
          <cell r="O331">
            <v>0.3001917862155245</v>
          </cell>
          <cell r="P331">
            <v>0.14423974547047955</v>
          </cell>
          <cell r="Q331">
            <v>1044.0999999999999</v>
          </cell>
          <cell r="R331">
            <v>1094.6000000000008</v>
          </cell>
          <cell r="S331">
            <v>12.875999999999999</v>
          </cell>
          <cell r="T331">
            <v>13.15875</v>
          </cell>
          <cell r="U331">
            <v>1070.1347499999999</v>
          </cell>
          <cell r="V331">
            <v>4.2120134289933375</v>
          </cell>
          <cell r="W331">
            <v>0.14181307829576989</v>
          </cell>
          <cell r="Y331">
            <v>56.15</v>
          </cell>
          <cell r="Z331">
            <v>95.4</v>
          </cell>
          <cell r="AA331">
            <v>5356.71</v>
          </cell>
          <cell r="AB331">
            <v>1227</v>
          </cell>
          <cell r="AC331">
            <v>689</v>
          </cell>
          <cell r="AD331">
            <v>-538</v>
          </cell>
          <cell r="AE331">
            <v>0</v>
          </cell>
          <cell r="AF331">
            <v>0</v>
          </cell>
          <cell r="AG331">
            <v>220</v>
          </cell>
          <cell r="AH331">
            <v>136.4</v>
          </cell>
          <cell r="AI331">
            <v>277</v>
          </cell>
          <cell r="AJ331">
            <v>5232.1099999999997</v>
          </cell>
          <cell r="AK331">
            <v>12971</v>
          </cell>
          <cell r="AL331">
            <v>15344</v>
          </cell>
          <cell r="AM331">
            <v>0.34098735662148066</v>
          </cell>
          <cell r="AN331">
            <v>-3.5062565172054222E-2</v>
          </cell>
          <cell r="AO331">
            <v>1387</v>
          </cell>
          <cell r="AP331">
            <v>1487</v>
          </cell>
          <cell r="AQ331">
            <v>0</v>
          </cell>
          <cell r="AR331">
            <v>15.95</v>
          </cell>
          <cell r="AS331">
            <v>1402.95</v>
          </cell>
          <cell r="AT331">
            <v>3.4726835573682626</v>
          </cell>
          <cell r="AU331">
            <v>0.34910779457768509</v>
          </cell>
          <cell r="AW331">
            <v>41.36</v>
          </cell>
          <cell r="AX331">
            <v>27</v>
          </cell>
          <cell r="AY331">
            <v>1116.72</v>
          </cell>
          <cell r="AZ331">
            <v>96.144999999999996</v>
          </cell>
          <cell r="BA331">
            <v>0</v>
          </cell>
          <cell r="BB331">
            <v>-96.144999999999996</v>
          </cell>
          <cell r="BC331">
            <v>10.225</v>
          </cell>
          <cell r="BD331">
            <v>6.3395000000000001</v>
          </cell>
          <cell r="BE331">
            <v>0</v>
          </cell>
          <cell r="BF331">
            <v>0</v>
          </cell>
          <cell r="BG331">
            <v>1026.9145000000001</v>
          </cell>
          <cell r="BH331">
            <v>782.59900000000005</v>
          </cell>
          <cell r="BI331">
            <v>840.34900000000005</v>
          </cell>
          <cell r="BJ331">
            <v>1.2220095460338503</v>
          </cell>
          <cell r="BK331">
            <v>-0.11441079837067693</v>
          </cell>
          <cell r="BL331">
            <v>137.85499999999999</v>
          </cell>
          <cell r="BM331">
            <v>134.5</v>
          </cell>
          <cell r="BN331">
            <v>0.74131249999999993</v>
          </cell>
          <cell r="BO331">
            <v>0</v>
          </cell>
          <cell r="BP331">
            <v>138.59631249999998</v>
          </cell>
          <cell r="BQ331">
            <v>7.5798935257374325</v>
          </cell>
          <cell r="BR331">
            <v>1.3288764549014753</v>
          </cell>
          <cell r="BT331">
            <v>4.5</v>
          </cell>
          <cell r="BU331">
            <v>65.400000000000006</v>
          </cell>
          <cell r="BV331">
            <v>294.3</v>
          </cell>
          <cell r="BW331">
            <v>13.7</v>
          </cell>
          <cell r="BX331">
            <v>885.40500000000009</v>
          </cell>
          <cell r="BY331">
            <v>871.70500000000004</v>
          </cell>
          <cell r="BZ331">
            <v>82.522999999999996</v>
          </cell>
          <cell r="CA331">
            <v>51.164259999999999</v>
          </cell>
          <cell r="CB331">
            <v>124.355</v>
          </cell>
          <cell r="CC331">
            <v>77.100099999999998</v>
          </cell>
          <cell r="CD331">
            <v>1294.2693600000002</v>
          </cell>
          <cell r="CE331">
            <v>2754.5</v>
          </cell>
          <cell r="CF331">
            <v>2815.7489999999998</v>
          </cell>
          <cell r="CG331">
            <v>0.45965366941442592</v>
          </cell>
          <cell r="CH331">
            <v>0.30958192651404659</v>
          </cell>
          <cell r="CI331">
            <v>287.8</v>
          </cell>
          <cell r="CJ331">
            <v>264.26500000000004</v>
          </cell>
          <cell r="CK331">
            <v>5.9829174999999992</v>
          </cell>
          <cell r="CL331">
            <v>9.0157375000000002</v>
          </cell>
          <cell r="CM331">
            <v>302.798655</v>
          </cell>
          <cell r="CN331">
            <v>4.5911842510812555</v>
          </cell>
          <cell r="CO331">
            <v>0.10451925935159705</v>
          </cell>
          <cell r="CR331">
            <v>129.1</v>
          </cell>
          <cell r="CS331">
            <v>0</v>
          </cell>
          <cell r="CT331">
            <v>313</v>
          </cell>
          <cell r="CU331">
            <v>5981</v>
          </cell>
          <cell r="CV331">
            <v>5668</v>
          </cell>
          <cell r="CW331">
            <v>-420</v>
          </cell>
          <cell r="CX331">
            <v>-260.39999999999998</v>
          </cell>
          <cell r="CY331">
            <v>1273</v>
          </cell>
          <cell r="CZ331">
            <v>789.26</v>
          </cell>
          <cell r="DA331">
            <v>0.05</v>
          </cell>
          <cell r="DC331">
            <v>164.8</v>
          </cell>
          <cell r="DD331">
            <v>0</v>
          </cell>
          <cell r="DE331">
            <v>6196.8600000000006</v>
          </cell>
          <cell r="DF331">
            <v>16187</v>
          </cell>
          <cell r="DG331">
            <v>11308</v>
          </cell>
          <cell r="DH331">
            <v>0.54800672090555369</v>
          </cell>
          <cell r="DI331">
            <v>0.50123806154934558</v>
          </cell>
          <cell r="DJ331">
            <v>1602.838</v>
          </cell>
          <cell r="DK331">
            <v>1072</v>
          </cell>
          <cell r="DL331">
            <v>-30.45</v>
          </cell>
          <cell r="DM331">
            <v>92.29249999999999</v>
          </cell>
          <cell r="DN331">
            <v>1664.6804999999999</v>
          </cell>
          <cell r="DO331">
            <v>5.2852360584570386</v>
          </cell>
          <cell r="DP331">
            <v>0</v>
          </cell>
          <cell r="DR331">
            <v>6.96</v>
          </cell>
          <cell r="DS331">
            <v>127.7</v>
          </cell>
          <cell r="DT331">
            <v>888.79200000000003</v>
          </cell>
          <cell r="DU331">
            <v>1278</v>
          </cell>
          <cell r="DV331">
            <v>1646</v>
          </cell>
          <cell r="DW331">
            <v>368</v>
          </cell>
          <cell r="DX331">
            <v>704</v>
          </cell>
          <cell r="DY331">
            <v>436.48</v>
          </cell>
          <cell r="DZ331">
            <v>3511</v>
          </cell>
          <cell r="EA331">
            <v>2176.8200000000002</v>
          </cell>
          <cell r="EB331">
            <v>3870.0920000000001</v>
          </cell>
          <cell r="EC331">
            <v>18395</v>
          </cell>
          <cell r="ED331">
            <v>18086</v>
          </cell>
          <cell r="EE331">
            <v>0.21398274908769213</v>
          </cell>
          <cell r="EF331">
            <v>2.0347229901581335E-2</v>
          </cell>
          <cell r="EG331">
            <v>773</v>
          </cell>
          <cell r="EH331">
            <v>349</v>
          </cell>
          <cell r="EI331">
            <v>51.04</v>
          </cell>
          <cell r="EJ331">
            <v>254.54749999999999</v>
          </cell>
          <cell r="EK331">
            <v>1078.5874999999999</v>
          </cell>
          <cell r="EL331">
            <v>8.1103399136594163</v>
          </cell>
          <cell r="EM331">
            <v>4.9142541192082279E-2</v>
          </cell>
          <cell r="EO331">
            <v>4.04</v>
          </cell>
          <cell r="EP331">
            <v>39.774999999999999</v>
          </cell>
          <cell r="EQ331">
            <v>160.691</v>
          </cell>
          <cell r="ER331">
            <v>54</v>
          </cell>
          <cell r="ES331">
            <v>1445</v>
          </cell>
          <cell r="ET331">
            <v>1391</v>
          </cell>
          <cell r="EU331">
            <v>185</v>
          </cell>
          <cell r="EV331">
            <v>114.7</v>
          </cell>
          <cell r="EW331">
            <v>155</v>
          </cell>
          <cell r="EX331">
            <v>96.1</v>
          </cell>
          <cell r="EY331">
            <v>19</v>
          </cell>
          <cell r="EZ331">
            <v>1781.491</v>
          </cell>
          <cell r="FA331">
            <v>3459</v>
          </cell>
          <cell r="FB331">
            <v>306</v>
          </cell>
          <cell r="FC331">
            <v>13.4125</v>
          </cell>
          <cell r="FD331">
            <v>11.237499999999999</v>
          </cell>
          <cell r="FE331">
            <v>330.65000000000003</v>
          </cell>
        </row>
        <row r="332">
          <cell r="A332">
            <v>37622</v>
          </cell>
          <cell r="B332">
            <v>40.299999999999997</v>
          </cell>
          <cell r="C332">
            <v>67.099999999999994</v>
          </cell>
          <cell r="D332">
            <v>2704.1299999999997</v>
          </cell>
          <cell r="E332">
            <v>91.7</v>
          </cell>
          <cell r="F332">
            <v>2363</v>
          </cell>
          <cell r="G332">
            <v>2271.3000000000002</v>
          </cell>
          <cell r="H332">
            <v>177.98333333333332</v>
          </cell>
          <cell r="I332">
            <v>110.34966666666666</v>
          </cell>
          <cell r="J332">
            <v>183</v>
          </cell>
          <cell r="K332">
            <v>113.46</v>
          </cell>
          <cell r="L332">
            <v>5199.2396666666673</v>
          </cell>
          <cell r="M332">
            <v>14534.775</v>
          </cell>
          <cell r="N332">
            <v>15847.808333333334</v>
          </cell>
          <cell r="O332">
            <v>0.33017963552151669</v>
          </cell>
          <cell r="P332">
            <v>0.14423974547047955</v>
          </cell>
          <cell r="Q332">
            <v>1048.3083333333334</v>
          </cell>
          <cell r="R332">
            <v>1096.6500000000008</v>
          </cell>
          <cell r="S332">
            <v>12.903791666666665</v>
          </cell>
          <cell r="T332">
            <v>13.267499999999998</v>
          </cell>
          <cell r="U332">
            <v>1074.4796249999999</v>
          </cell>
          <cell r="V332">
            <v>4.6327751879202896</v>
          </cell>
          <cell r="W332">
            <v>0.17172677449878385</v>
          </cell>
          <cell r="Y332">
            <v>50.405910000000006</v>
          </cell>
          <cell r="Z332">
            <v>95.4</v>
          </cell>
          <cell r="AA332">
            <v>4808.7238140000009</v>
          </cell>
          <cell r="AB332">
            <v>1227</v>
          </cell>
          <cell r="AC332">
            <v>689</v>
          </cell>
          <cell r="AD332">
            <v>-538</v>
          </cell>
          <cell r="AE332">
            <v>0</v>
          </cell>
          <cell r="AF332">
            <v>0</v>
          </cell>
          <cell r="AG332">
            <v>224.25</v>
          </cell>
          <cell r="AH332">
            <v>139.035</v>
          </cell>
          <cell r="AI332">
            <v>277</v>
          </cell>
          <cell r="AJ332">
            <v>4686.7588140000007</v>
          </cell>
          <cell r="AK332">
            <v>13168.75</v>
          </cell>
          <cell r="AL332">
            <v>15786.416666666666</v>
          </cell>
          <cell r="AM332">
            <v>0.3054456995568301</v>
          </cell>
          <cell r="AN332">
            <v>-3.5062565172054222E-2</v>
          </cell>
          <cell r="AO332">
            <v>1395.3333333333333</v>
          </cell>
          <cell r="AP332">
            <v>1509.4166666666667</v>
          </cell>
          <cell r="AQ332">
            <v>0</v>
          </cell>
          <cell r="AR332">
            <v>16.258125</v>
          </cell>
          <cell r="AS332">
            <v>1411.5914583333333</v>
          </cell>
          <cell r="AT332">
            <v>3.1107202009760084</v>
          </cell>
          <cell r="AU332">
            <v>0.31339440915015648</v>
          </cell>
          <cell r="AW332">
            <v>41.37</v>
          </cell>
          <cell r="AX332">
            <v>27</v>
          </cell>
          <cell r="AY332">
            <v>1116.99</v>
          </cell>
          <cell r="AZ332">
            <v>96.144999999999996</v>
          </cell>
          <cell r="BA332">
            <v>0</v>
          </cell>
          <cell r="BB332">
            <v>-96.144999999999996</v>
          </cell>
          <cell r="BC332">
            <v>10.497916666666667</v>
          </cell>
          <cell r="BD332">
            <v>6.5087083333333338</v>
          </cell>
          <cell r="BE332">
            <v>0</v>
          </cell>
          <cell r="BF332">
            <v>0</v>
          </cell>
          <cell r="BG332">
            <v>1027.3537083333333</v>
          </cell>
          <cell r="BH332">
            <v>787.41150000000005</v>
          </cell>
          <cell r="BI332">
            <v>845.48658333333333</v>
          </cell>
          <cell r="BJ332">
            <v>1.2225321959487465</v>
          </cell>
          <cell r="BK332">
            <v>-0.11441079837067693</v>
          </cell>
          <cell r="BL332">
            <v>140.63508333333331</v>
          </cell>
          <cell r="BM332">
            <v>133.14977808732695</v>
          </cell>
          <cell r="BN332">
            <v>0.7610989583333333</v>
          </cell>
          <cell r="BO332">
            <v>0</v>
          </cell>
          <cell r="BP332">
            <v>141.39618229166663</v>
          </cell>
          <cell r="BQ332">
            <v>7.5831354240671205</v>
          </cell>
          <cell r="BR332">
            <v>1.3291977499824477</v>
          </cell>
          <cell r="BT332">
            <v>3.49</v>
          </cell>
          <cell r="BU332">
            <v>65.400000000000006</v>
          </cell>
          <cell r="BV332">
            <v>228.24600000000004</v>
          </cell>
          <cell r="BW332">
            <v>13.7</v>
          </cell>
          <cell r="BX332">
            <v>885.40500000000009</v>
          </cell>
          <cell r="BY332">
            <v>871.70500000000004</v>
          </cell>
          <cell r="BZ332">
            <v>84.652416666666667</v>
          </cell>
          <cell r="CA332">
            <v>52.484498333333335</v>
          </cell>
          <cell r="CB332">
            <v>125.2595</v>
          </cell>
          <cell r="CC332">
            <v>77.660889999999995</v>
          </cell>
          <cell r="CD332">
            <v>1230.0963883333334</v>
          </cell>
          <cell r="CE332">
            <v>2759.6040833333332</v>
          </cell>
          <cell r="CF332">
            <v>2841.8726937499996</v>
          </cell>
          <cell r="CG332">
            <v>0.43686294067167686</v>
          </cell>
          <cell r="CH332">
            <v>0.30958192651404659</v>
          </cell>
          <cell r="CI332">
            <v>285.83875</v>
          </cell>
          <cell r="CJ332">
            <v>262.70125000000002</v>
          </cell>
          <cell r="CK332">
            <v>6.1373002083333326</v>
          </cell>
          <cell r="CL332">
            <v>9.0813137499999996</v>
          </cell>
          <cell r="CM332">
            <v>301.05736395833333</v>
          </cell>
          <cell r="CN332">
            <v>4.3635423505876174</v>
          </cell>
          <cell r="CO332">
            <v>8.1060492252683053E-2</v>
          </cell>
          <cell r="CQ332">
            <v>0</v>
          </cell>
          <cell r="CR332">
            <v>129.1</v>
          </cell>
          <cell r="CS332">
            <v>0</v>
          </cell>
          <cell r="CT332">
            <v>313</v>
          </cell>
          <cell r="CU332">
            <v>5981</v>
          </cell>
          <cell r="CV332">
            <v>5668</v>
          </cell>
          <cell r="CW332">
            <v>-351</v>
          </cell>
          <cell r="CX332">
            <v>-217.62</v>
          </cell>
          <cell r="CY332">
            <v>1248.4166666666667</v>
          </cell>
          <cell r="CZ332">
            <v>774.01833333333343</v>
          </cell>
          <cell r="DA332">
            <v>0.05</v>
          </cell>
          <cell r="DC332">
            <v>164.8</v>
          </cell>
          <cell r="DD332">
            <v>0</v>
          </cell>
          <cell r="DE332">
            <v>6224.3983333333335</v>
          </cell>
          <cell r="DF332">
            <v>15780.416666666666</v>
          </cell>
          <cell r="DG332">
            <v>11366.583333333334</v>
          </cell>
          <cell r="DH332">
            <v>0.55044201745077237</v>
          </cell>
          <cell r="DI332">
            <v>6.8448738356325908E-2</v>
          </cell>
          <cell r="DJ332">
            <v>1558.6015</v>
          </cell>
          <cell r="DK332">
            <v>1073.25</v>
          </cell>
          <cell r="DL332">
            <v>-25.447499999999998</v>
          </cell>
          <cell r="DM332">
            <v>90.510208333333338</v>
          </cell>
          <cell r="DN332">
            <v>1623.6642083333334</v>
          </cell>
          <cell r="DO332">
            <v>5.3087232103893305</v>
          </cell>
          <cell r="DP332">
            <v>0</v>
          </cell>
          <cell r="DR332">
            <v>6.87</v>
          </cell>
          <cell r="DS332">
            <v>127.7</v>
          </cell>
          <cell r="DT332">
            <v>877.29899999999998</v>
          </cell>
          <cell r="DU332">
            <v>1278</v>
          </cell>
          <cell r="DV332">
            <v>1646</v>
          </cell>
          <cell r="DW332">
            <v>368</v>
          </cell>
          <cell r="DX332">
            <v>690.16666666666663</v>
          </cell>
          <cell r="DY332">
            <v>427.90333333333331</v>
          </cell>
          <cell r="DZ332">
            <v>3293.25</v>
          </cell>
          <cell r="EA332">
            <v>2041.8150000000001</v>
          </cell>
          <cell r="EB332">
            <v>3715.0173333333332</v>
          </cell>
          <cell r="EC332">
            <v>18369.25</v>
          </cell>
          <cell r="ED332">
            <v>18136.416666666668</v>
          </cell>
          <cell r="EE332">
            <v>0.20540845589590476</v>
          </cell>
          <cell r="EF332">
            <v>2.0347229901581335E-2</v>
          </cell>
          <cell r="EG332">
            <v>737.66666666666663</v>
          </cell>
          <cell r="EH332">
            <v>371.91666666666669</v>
          </cell>
          <cell r="EI332">
            <v>50.037083333333328</v>
          </cell>
          <cell r="EJ332">
            <v>238.76062499999998</v>
          </cell>
          <cell r="EK332">
            <v>1026.4643749999998</v>
          </cell>
          <cell r="EL332">
            <v>7.7853584251924506</v>
          </cell>
          <cell r="EM332">
            <v>4.8507077297357072E-2</v>
          </cell>
          <cell r="EO332">
            <v>3.4399999999999902</v>
          </cell>
          <cell r="EP332">
            <v>39.774999999999999</v>
          </cell>
          <cell r="EQ332">
            <v>136.8259999999996</v>
          </cell>
          <cell r="ER332">
            <v>54</v>
          </cell>
          <cell r="ES332">
            <v>1445</v>
          </cell>
          <cell r="ET332">
            <v>1391</v>
          </cell>
          <cell r="EU332">
            <v>187.91666666666666</v>
          </cell>
          <cell r="EV332">
            <v>116.50833333333333</v>
          </cell>
          <cell r="EW332">
            <v>152</v>
          </cell>
          <cell r="EX332">
            <v>94.24</v>
          </cell>
          <cell r="EY332">
            <v>19.333333333333332</v>
          </cell>
          <cell r="EZ332">
            <v>1757.907666666666</v>
          </cell>
          <cell r="FA332">
            <v>3484.5833333333335</v>
          </cell>
          <cell r="FB332">
            <v>309.41666666666669</v>
          </cell>
          <cell r="FC332">
            <v>13.623958333333333</v>
          </cell>
          <cell r="FD332">
            <v>11.02</v>
          </cell>
          <cell r="FE332">
            <v>334.06062500000002</v>
          </cell>
        </row>
        <row r="333">
          <cell r="A333">
            <v>37653</v>
          </cell>
          <cell r="B333">
            <v>37.979999999999997</v>
          </cell>
          <cell r="C333">
            <v>67.099999999999994</v>
          </cell>
          <cell r="D333">
            <v>2548.4579999999996</v>
          </cell>
          <cell r="E333">
            <v>91.7</v>
          </cell>
          <cell r="F333">
            <v>2363</v>
          </cell>
          <cell r="G333">
            <v>2271.3000000000002</v>
          </cell>
          <cell r="H333">
            <v>178.36666666666665</v>
          </cell>
          <cell r="I333">
            <v>110.58733333333332</v>
          </cell>
          <cell r="J333">
            <v>184.5</v>
          </cell>
          <cell r="K333">
            <v>114.39</v>
          </cell>
          <cell r="L333">
            <v>5044.7353333333331</v>
          </cell>
          <cell r="M333">
            <v>14644.949999999999</v>
          </cell>
          <cell r="N333">
            <v>15948.916666666668</v>
          </cell>
          <cell r="O333">
            <v>0.32036778076253009</v>
          </cell>
          <cell r="P333">
            <v>0.14423974547047955</v>
          </cell>
          <cell r="Q333">
            <v>1052.5166666666669</v>
          </cell>
          <cell r="R333">
            <v>1098.7000000000007</v>
          </cell>
          <cell r="S333">
            <v>12.931583333333331</v>
          </cell>
          <cell r="T333">
            <v>13.376249999999999</v>
          </cell>
          <cell r="U333">
            <v>1078.8245000000002</v>
          </cell>
          <cell r="V333">
            <v>4.4951043191427136</v>
          </cell>
          <cell r="W333">
            <v>0.16184076663681912</v>
          </cell>
          <cell r="Y333">
            <v>49.548130000000008</v>
          </cell>
          <cell r="Z333">
            <v>95.4</v>
          </cell>
          <cell r="AA333">
            <v>4726.8916020000006</v>
          </cell>
          <cell r="AB333">
            <v>1227</v>
          </cell>
          <cell r="AC333">
            <v>689</v>
          </cell>
          <cell r="AD333">
            <v>-538</v>
          </cell>
          <cell r="AE333">
            <v>0</v>
          </cell>
          <cell r="AF333">
            <v>0</v>
          </cell>
          <cell r="AG333">
            <v>228.5</v>
          </cell>
          <cell r="AH333">
            <v>141.66999999999999</v>
          </cell>
          <cell r="AI333">
            <v>277</v>
          </cell>
          <cell r="AJ333">
            <v>4607.5616020000007</v>
          </cell>
          <cell r="AK333">
            <v>13366.5</v>
          </cell>
          <cell r="AL333">
            <v>16228.833333333332</v>
          </cell>
          <cell r="AM333">
            <v>0.30028425456204383</v>
          </cell>
          <cell r="AN333">
            <v>-3.5062565172054222E-2</v>
          </cell>
          <cell r="AO333">
            <v>1403.6666666666665</v>
          </cell>
          <cell r="AP333">
            <v>1531.8333333333335</v>
          </cell>
          <cell r="AQ333">
            <v>0</v>
          </cell>
          <cell r="AR333">
            <v>16.56625</v>
          </cell>
          <cell r="AS333">
            <v>1420.2329166666666</v>
          </cell>
          <cell r="AT333">
            <v>3.0581550110427291</v>
          </cell>
          <cell r="AU333">
            <v>0.30806123579249223</v>
          </cell>
          <cell r="AW333">
            <v>38.74</v>
          </cell>
          <cell r="AX333">
            <v>27</v>
          </cell>
          <cell r="AY333">
            <v>1045.98</v>
          </cell>
          <cell r="AZ333">
            <v>96.144999999999996</v>
          </cell>
          <cell r="BA333">
            <v>0</v>
          </cell>
          <cell r="BB333">
            <v>-96.144999999999996</v>
          </cell>
          <cell r="BC333">
            <v>10.770833333333334</v>
          </cell>
          <cell r="BD333">
            <v>6.6779166666666674</v>
          </cell>
          <cell r="BE333">
            <v>0</v>
          </cell>
          <cell r="BF333">
            <v>0</v>
          </cell>
          <cell r="BG333">
            <v>956.51291666666668</v>
          </cell>
          <cell r="BH333">
            <v>792.22400000000005</v>
          </cell>
          <cell r="BI333">
            <v>850.62416666666661</v>
          </cell>
          <cell r="BJ333">
            <v>1.1382329444869532</v>
          </cell>
          <cell r="BK333">
            <v>-0.11441079837067693</v>
          </cell>
          <cell r="BL333">
            <v>143.41516666666664</v>
          </cell>
          <cell r="BM333">
            <v>131.7995561746539</v>
          </cell>
          <cell r="BN333">
            <v>0.78088541666666667</v>
          </cell>
          <cell r="BO333">
            <v>0</v>
          </cell>
          <cell r="BP333">
            <v>144.19605208333331</v>
          </cell>
          <cell r="BQ333">
            <v>7.0602431500635099</v>
          </cell>
          <cell r="BR333">
            <v>1.24469714368673</v>
          </cell>
          <cell r="BT333">
            <v>3.35</v>
          </cell>
          <cell r="BU333">
            <v>65.400000000000006</v>
          </cell>
          <cell r="BV333">
            <v>219.09000000000003</v>
          </cell>
          <cell r="BW333">
            <v>13.7</v>
          </cell>
          <cell r="BX333">
            <v>885.40500000000009</v>
          </cell>
          <cell r="BY333">
            <v>871.70500000000004</v>
          </cell>
          <cell r="BZ333">
            <v>86.781833333333338</v>
          </cell>
          <cell r="CA333">
            <v>53.80473666666667</v>
          </cell>
          <cell r="CB333">
            <v>126.164</v>
          </cell>
          <cell r="CC333">
            <v>78.221680000000006</v>
          </cell>
          <cell r="CD333">
            <v>1222.8214166666669</v>
          </cell>
          <cell r="CE333">
            <v>2764.7081666666663</v>
          </cell>
          <cell r="CF333">
            <v>2867.9963874999994</v>
          </cell>
          <cell r="CG333">
            <v>0.43427926873690337</v>
          </cell>
          <cell r="CH333">
            <v>0.30958192651404659</v>
          </cell>
          <cell r="CI333">
            <v>283.8775</v>
          </cell>
          <cell r="CJ333">
            <v>261.13749999999999</v>
          </cell>
          <cell r="CK333">
            <v>6.2916829166666668</v>
          </cell>
          <cell r="CL333">
            <v>9.1468899999999991</v>
          </cell>
          <cell r="CM333">
            <v>299.31607291666666</v>
          </cell>
          <cell r="CN333">
            <v>4.3377357168409443</v>
          </cell>
          <cell r="CO333">
            <v>7.7808781961744483E-2</v>
          </cell>
          <cell r="CQ333">
            <v>0</v>
          </cell>
          <cell r="CR333">
            <v>129.1</v>
          </cell>
          <cell r="CS333">
            <v>0</v>
          </cell>
          <cell r="CT333">
            <v>313</v>
          </cell>
          <cell r="CU333">
            <v>5981</v>
          </cell>
          <cell r="CV333">
            <v>5668</v>
          </cell>
          <cell r="CW333">
            <v>-282</v>
          </cell>
          <cell r="CX333">
            <v>-174.84</v>
          </cell>
          <cell r="CY333">
            <v>1223.8333333333335</v>
          </cell>
          <cell r="CZ333">
            <v>758.77666666666676</v>
          </cell>
          <cell r="DA333">
            <v>0.05</v>
          </cell>
          <cell r="DC333">
            <v>164.8</v>
          </cell>
          <cell r="DD333">
            <v>0</v>
          </cell>
          <cell r="DE333">
            <v>6251.9366666666665</v>
          </cell>
          <cell r="DF333">
            <v>15373.833333333332</v>
          </cell>
          <cell r="DG333">
            <v>11425.166666666668</v>
          </cell>
          <cell r="DH333">
            <v>0.55287731399599105</v>
          </cell>
          <cell r="DI333">
            <v>6.7100872538615741E-2</v>
          </cell>
          <cell r="DJ333">
            <v>1514.365</v>
          </cell>
          <cell r="DK333">
            <v>1074.5</v>
          </cell>
          <cell r="DL333">
            <v>-20.445</v>
          </cell>
          <cell r="DM333">
            <v>88.727916666666673</v>
          </cell>
          <cell r="DN333">
            <v>1582.6479166666668</v>
          </cell>
          <cell r="DO333">
            <v>5.3322103623216224</v>
          </cell>
          <cell r="DP333">
            <v>0</v>
          </cell>
          <cell r="DR333">
            <v>6.35</v>
          </cell>
          <cell r="DS333">
            <v>127.7</v>
          </cell>
          <cell r="DT333">
            <v>810.89499999999998</v>
          </cell>
          <cell r="DU333">
            <v>1278</v>
          </cell>
          <cell r="DV333">
            <v>1646</v>
          </cell>
          <cell r="DW333">
            <v>368</v>
          </cell>
          <cell r="DX333">
            <v>676.33333333333326</v>
          </cell>
          <cell r="DY333">
            <v>419.3266666666666</v>
          </cell>
          <cell r="DZ333">
            <v>3075.5</v>
          </cell>
          <cell r="EA333">
            <v>1906.81</v>
          </cell>
          <cell r="EB333">
            <v>3505.0316666666668</v>
          </cell>
          <cell r="EC333">
            <v>18343.5</v>
          </cell>
          <cell r="ED333">
            <v>18186.833333333336</v>
          </cell>
          <cell r="EE333">
            <v>0.19379805742931919</v>
          </cell>
          <cell r="EF333">
            <v>2.0347229901581335E-2</v>
          </cell>
          <cell r="EG333">
            <v>702.33333333333326</v>
          </cell>
          <cell r="EH333">
            <v>394.83333333333337</v>
          </cell>
          <cell r="EI333">
            <v>49.034166666666657</v>
          </cell>
          <cell r="EJ333">
            <v>222.97375</v>
          </cell>
          <cell r="EK333">
            <v>974.34124999999995</v>
          </cell>
          <cell r="EL333">
            <v>7.3453029604481896</v>
          </cell>
          <cell r="EM333">
            <v>4.4835508127833684E-2</v>
          </cell>
          <cell r="EO333">
            <v>2.35</v>
          </cell>
          <cell r="EP333">
            <v>39.774999999999999</v>
          </cell>
          <cell r="EQ333">
            <v>93.471249999999998</v>
          </cell>
          <cell r="ER333">
            <v>54</v>
          </cell>
          <cell r="ES333">
            <v>1445</v>
          </cell>
          <cell r="ET333">
            <v>1391</v>
          </cell>
          <cell r="EU333">
            <v>190.83333333333331</v>
          </cell>
          <cell r="EV333">
            <v>118.31666666666665</v>
          </cell>
          <cell r="EW333">
            <v>149</v>
          </cell>
          <cell r="EX333">
            <v>92.38</v>
          </cell>
          <cell r="EY333">
            <v>19.666666666666664</v>
          </cell>
          <cell r="EZ333">
            <v>1714.8345833333335</v>
          </cell>
          <cell r="FA333">
            <v>3510.166666666667</v>
          </cell>
          <cell r="FB333">
            <v>312.83333333333337</v>
          </cell>
          <cell r="FC333">
            <v>13.835416666666664</v>
          </cell>
          <cell r="FD333">
            <v>10.802499999999998</v>
          </cell>
          <cell r="FE333">
            <v>337.47125000000005</v>
          </cell>
        </row>
        <row r="334">
          <cell r="A334">
            <v>37681</v>
          </cell>
          <cell r="B334">
            <v>35.35</v>
          </cell>
          <cell r="C334">
            <v>67.400000000000006</v>
          </cell>
          <cell r="D334">
            <v>2382.59</v>
          </cell>
          <cell r="E334">
            <v>89.9</v>
          </cell>
          <cell r="F334">
            <v>2391</v>
          </cell>
          <cell r="G334">
            <v>2301.1</v>
          </cell>
          <cell r="H334">
            <v>178.74999999999997</v>
          </cell>
          <cell r="I334">
            <v>110.82499999999999</v>
          </cell>
          <cell r="J334">
            <v>186</v>
          </cell>
          <cell r="K334">
            <v>115.32</v>
          </cell>
          <cell r="L334">
            <v>4909.835</v>
          </cell>
          <cell r="M334">
            <v>14755.124999999998</v>
          </cell>
          <cell r="N334">
            <v>16050.025000000001</v>
          </cell>
          <cell r="O334">
            <v>0.31180088526484911</v>
          </cell>
          <cell r="P334">
            <v>0.14613220547797315</v>
          </cell>
          <cell r="Q334">
            <v>1056.7250000000004</v>
          </cell>
          <cell r="R334">
            <v>1100.7500000000007</v>
          </cell>
          <cell r="S334">
            <v>12.959374999999998</v>
          </cell>
          <cell r="T334">
            <v>13.484999999999999</v>
          </cell>
          <cell r="U334">
            <v>1083.1693750000002</v>
          </cell>
          <cell r="V334">
            <v>4.374901566975776</v>
          </cell>
          <cell r="W334">
            <v>0.15130725802866632</v>
          </cell>
          <cell r="Y334">
            <v>46.231950000000005</v>
          </cell>
          <cell r="Z334">
            <v>95.6</v>
          </cell>
          <cell r="AA334">
            <v>4419.7744200000006</v>
          </cell>
          <cell r="AB334">
            <v>1508</v>
          </cell>
          <cell r="AC334">
            <v>705</v>
          </cell>
          <cell r="AD334">
            <v>-803</v>
          </cell>
          <cell r="AE334">
            <v>0</v>
          </cell>
          <cell r="AF334">
            <v>0</v>
          </cell>
          <cell r="AG334">
            <v>232.75</v>
          </cell>
          <cell r="AH334">
            <v>144.30500000000001</v>
          </cell>
          <cell r="AI334">
            <v>277</v>
          </cell>
          <cell r="AJ334">
            <v>4038.0794200000005</v>
          </cell>
          <cell r="AK334">
            <v>13564.25</v>
          </cell>
          <cell r="AL334">
            <v>16671.25</v>
          </cell>
          <cell r="AM334">
            <v>0.26316993091762253</v>
          </cell>
          <cell r="AN334">
            <v>-5.2333159541188737E-2</v>
          </cell>
          <cell r="AO334">
            <v>1411.9999999999998</v>
          </cell>
          <cell r="AP334">
            <v>1554.2500000000002</v>
          </cell>
          <cell r="AQ334">
            <v>0</v>
          </cell>
          <cell r="AR334">
            <v>16.874375000000001</v>
          </cell>
          <cell r="AS334">
            <v>1428.8743749999999</v>
          </cell>
          <cell r="AT334">
            <v>2.6801753031150288</v>
          </cell>
          <cell r="AU334">
            <v>0.28804577815432747</v>
          </cell>
          <cell r="AW334">
            <v>36.43</v>
          </cell>
          <cell r="AX334">
            <v>25.988</v>
          </cell>
          <cell r="AY334">
            <v>946.74284</v>
          </cell>
          <cell r="AZ334">
            <v>130.60599999999999</v>
          </cell>
          <cell r="BA334">
            <v>0</v>
          </cell>
          <cell r="BB334">
            <v>-130.60599999999999</v>
          </cell>
          <cell r="BC334">
            <v>11.043750000000001</v>
          </cell>
          <cell r="BD334">
            <v>6.847125000000001</v>
          </cell>
          <cell r="BE334">
            <v>0</v>
          </cell>
          <cell r="BF334">
            <v>0</v>
          </cell>
          <cell r="BG334">
            <v>822.98396500000001</v>
          </cell>
          <cell r="BH334">
            <v>797.03650000000005</v>
          </cell>
          <cell r="BI334">
            <v>855.76174999999989</v>
          </cell>
          <cell r="BJ334">
            <v>0.97933592471699249</v>
          </cell>
          <cell r="BK334">
            <v>-0.15541876053877612</v>
          </cell>
          <cell r="BL334">
            <v>146.19524999999996</v>
          </cell>
          <cell r="BM334">
            <v>130.44933426198085</v>
          </cell>
          <cell r="BN334">
            <v>0.80067187500000003</v>
          </cell>
          <cell r="BO334">
            <v>0</v>
          </cell>
          <cell r="BP334">
            <v>146.99592187499996</v>
          </cell>
          <cell r="BQ334">
            <v>6.0746350626943348</v>
          </cell>
          <cell r="BR334">
            <v>1.1266067312509445</v>
          </cell>
          <cell r="BT334">
            <v>2.37</v>
          </cell>
          <cell r="BU334">
            <v>56.2</v>
          </cell>
          <cell r="BV334">
            <v>133.19400000000002</v>
          </cell>
          <cell r="BW334">
            <v>19</v>
          </cell>
          <cell r="BX334">
            <v>1192.9009999999998</v>
          </cell>
          <cell r="BY334">
            <v>1173.9009999999998</v>
          </cell>
          <cell r="BZ334">
            <v>88.91125000000001</v>
          </cell>
          <cell r="CA334">
            <v>55.124975000000006</v>
          </cell>
          <cell r="CB334">
            <v>127.0685</v>
          </cell>
          <cell r="CC334">
            <v>78.782470000000004</v>
          </cell>
          <cell r="CD334">
            <v>1441.0024449999999</v>
          </cell>
          <cell r="CE334">
            <v>2769.8122499999995</v>
          </cell>
          <cell r="CF334">
            <v>2894.1200812499992</v>
          </cell>
          <cell r="CG334">
            <v>0.51176523369092908</v>
          </cell>
          <cell r="CH334">
            <v>0.41690541308902174</v>
          </cell>
          <cell r="CI334">
            <v>281.91624999999999</v>
          </cell>
          <cell r="CJ334">
            <v>259.57374999999996</v>
          </cell>
          <cell r="CK334">
            <v>6.4460656250000001</v>
          </cell>
          <cell r="CL334">
            <v>9.2124662499999985</v>
          </cell>
          <cell r="CM334">
            <v>297.57478187499999</v>
          </cell>
          <cell r="CN334">
            <v>5.1116930800661011</v>
          </cell>
          <cell r="CO334">
            <v>4.730322198463003E-2</v>
          </cell>
          <cell r="CQ334">
            <v>0</v>
          </cell>
          <cell r="CR334">
            <v>129.1</v>
          </cell>
          <cell r="CS334">
            <v>0</v>
          </cell>
          <cell r="CT334">
            <v>313</v>
          </cell>
          <cell r="CU334">
            <v>5981</v>
          </cell>
          <cell r="CV334">
            <v>5668</v>
          </cell>
          <cell r="CW334">
            <v>-213</v>
          </cell>
          <cell r="CX334">
            <v>-132.06</v>
          </cell>
          <cell r="CY334">
            <v>1199.2500000000002</v>
          </cell>
          <cell r="CZ334">
            <v>743.53500000000008</v>
          </cell>
          <cell r="DA334">
            <v>0.05</v>
          </cell>
          <cell r="DC334">
            <v>164.8</v>
          </cell>
          <cell r="DD334">
            <v>0</v>
          </cell>
          <cell r="DE334">
            <v>6279.4749999999995</v>
          </cell>
          <cell r="DF334">
            <v>14967.249999999998</v>
          </cell>
          <cell r="DG334">
            <v>11483.750000000002</v>
          </cell>
          <cell r="DH334">
            <v>0.55531261054120973</v>
          </cell>
          <cell r="DI334">
            <v>6.575300672090556E-2</v>
          </cell>
          <cell r="DJ334">
            <v>1470.1285</v>
          </cell>
          <cell r="DK334">
            <v>1075.75</v>
          </cell>
          <cell r="DL334">
            <v>-15.442499999999999</v>
          </cell>
          <cell r="DM334">
            <v>86.945625000000007</v>
          </cell>
          <cell r="DN334">
            <v>1541.631625</v>
          </cell>
          <cell r="DO334">
            <v>5.3556975142539134</v>
          </cell>
          <cell r="DP334">
            <v>0</v>
          </cell>
          <cell r="DR334">
            <v>5.94</v>
          </cell>
          <cell r="DS334">
            <v>126</v>
          </cell>
          <cell r="DT334">
            <v>748.44</v>
          </cell>
          <cell r="DU334">
            <v>947</v>
          </cell>
          <cell r="DV334">
            <v>1642</v>
          </cell>
          <cell r="DW334">
            <v>695</v>
          </cell>
          <cell r="DX334">
            <v>662.49999999999989</v>
          </cell>
          <cell r="DY334">
            <v>410.74999999999994</v>
          </cell>
          <cell r="DZ334">
            <v>2857.75</v>
          </cell>
          <cell r="EA334">
            <v>1771.8050000000001</v>
          </cell>
          <cell r="EB334">
            <v>3625.9949999999999</v>
          </cell>
          <cell r="EC334">
            <v>18317.75</v>
          </cell>
          <cell r="ED334">
            <v>18237.250000000004</v>
          </cell>
          <cell r="EE334">
            <v>0.20048628773637067</v>
          </cell>
          <cell r="EF334">
            <v>3.8427512993475618E-2</v>
          </cell>
          <cell r="EG334">
            <v>666.99999999999989</v>
          </cell>
          <cell r="EH334">
            <v>417.75000000000006</v>
          </cell>
          <cell r="EI334">
            <v>48.031249999999986</v>
          </cell>
          <cell r="EJ334">
            <v>207.18687499999999</v>
          </cell>
          <cell r="EK334">
            <v>922.21812499999987</v>
          </cell>
          <cell r="EL334">
            <v>7.5987991952722247</v>
          </cell>
          <cell r="EM334">
            <v>4.1382284640053085E-2</v>
          </cell>
          <cell r="EO334">
            <v>2.25999999999999</v>
          </cell>
          <cell r="EP334">
            <v>40.1</v>
          </cell>
          <cell r="EQ334">
            <v>90.625999999999607</v>
          </cell>
          <cell r="ER334">
            <v>58</v>
          </cell>
          <cell r="ES334">
            <v>1443</v>
          </cell>
          <cell r="ET334">
            <v>1385</v>
          </cell>
          <cell r="EU334">
            <v>193.75</v>
          </cell>
          <cell r="EV334">
            <v>120.125</v>
          </cell>
          <cell r="EW334">
            <v>146</v>
          </cell>
          <cell r="EX334">
            <v>90.52</v>
          </cell>
          <cell r="EY334">
            <v>19.999999999999996</v>
          </cell>
          <cell r="EZ334">
            <v>1706.2709999999995</v>
          </cell>
          <cell r="FA334">
            <v>3535.75</v>
          </cell>
          <cell r="FB334">
            <v>316.25</v>
          </cell>
          <cell r="FC334">
            <v>14.046874999999998</v>
          </cell>
          <cell r="FD334">
            <v>10.584999999999999</v>
          </cell>
          <cell r="FE334">
            <v>340.88187499999998</v>
          </cell>
        </row>
        <row r="335">
          <cell r="A335">
            <v>37712</v>
          </cell>
          <cell r="B335">
            <v>39.74</v>
          </cell>
          <cell r="C335">
            <v>67.400000000000006</v>
          </cell>
          <cell r="D335">
            <v>2678.4760000000006</v>
          </cell>
          <cell r="E335">
            <v>89.9</v>
          </cell>
          <cell r="F335">
            <v>2391</v>
          </cell>
          <cell r="G335">
            <v>2301.1</v>
          </cell>
          <cell r="H335">
            <v>179.1333333333333</v>
          </cell>
          <cell r="I335">
            <v>111.06266666666664</v>
          </cell>
          <cell r="J335">
            <v>187.5</v>
          </cell>
          <cell r="K335">
            <v>116.25</v>
          </cell>
          <cell r="L335">
            <v>5206.8886666666676</v>
          </cell>
          <cell r="M335">
            <v>14865.299999999997</v>
          </cell>
          <cell r="N335">
            <v>16151.133333333335</v>
          </cell>
          <cell r="O335">
            <v>0.33066538809189655</v>
          </cell>
          <cell r="P335">
            <v>0.14613220547797315</v>
          </cell>
          <cell r="Q335">
            <v>1060.9333333333338</v>
          </cell>
          <cell r="R335">
            <v>1102.8000000000006</v>
          </cell>
          <cell r="S335">
            <v>12.987166666666663</v>
          </cell>
          <cell r="T335">
            <v>13.593749999999998</v>
          </cell>
          <cell r="U335">
            <v>1087.5142500000004</v>
          </cell>
          <cell r="V335">
            <v>4.6395908186055976</v>
          </cell>
          <cell r="W335">
            <v>0.17009760775273552</v>
          </cell>
          <cell r="Y335">
            <v>51.847350000000006</v>
          </cell>
          <cell r="Z335">
            <v>95.6</v>
          </cell>
          <cell r="AA335">
            <v>4956.6066600000004</v>
          </cell>
          <cell r="AB335">
            <v>1508</v>
          </cell>
          <cell r="AC335">
            <v>705</v>
          </cell>
          <cell r="AD335">
            <v>-803</v>
          </cell>
          <cell r="AE335">
            <v>0</v>
          </cell>
          <cell r="AF335">
            <v>0</v>
          </cell>
          <cell r="AG335">
            <v>237</v>
          </cell>
          <cell r="AH335">
            <v>146.94</v>
          </cell>
          <cell r="AI335">
            <v>277</v>
          </cell>
          <cell r="AJ335">
            <v>4577.54666</v>
          </cell>
          <cell r="AK335">
            <v>13762</v>
          </cell>
          <cell r="AL335">
            <v>17113.666666666668</v>
          </cell>
          <cell r="AM335">
            <v>0.29832811913451512</v>
          </cell>
          <cell r="AN335">
            <v>-5.2333159541188737E-2</v>
          </cell>
          <cell r="AO335">
            <v>1420.333333333333</v>
          </cell>
          <cell r="AP335">
            <v>1576.666666666667</v>
          </cell>
          <cell r="AQ335">
            <v>0</v>
          </cell>
          <cell r="AR335">
            <v>17.182499999999997</v>
          </cell>
          <cell r="AS335">
            <v>1437.5158333333329</v>
          </cell>
          <cell r="AT335">
            <v>3.0382333359329237</v>
          </cell>
          <cell r="AU335">
            <v>0.32303223800834202</v>
          </cell>
          <cell r="AW335">
            <v>39.56</v>
          </cell>
          <cell r="AX335">
            <v>25.988</v>
          </cell>
          <cell r="AY335">
            <v>1028.08528</v>
          </cell>
          <cell r="AZ335">
            <v>130.60599999999999</v>
          </cell>
          <cell r="BA335">
            <v>0</v>
          </cell>
          <cell r="BB335">
            <v>-130.60599999999999</v>
          </cell>
          <cell r="BC335">
            <v>11.316666666666668</v>
          </cell>
          <cell r="BD335">
            <v>7.0163333333333346</v>
          </cell>
          <cell r="BE335">
            <v>0</v>
          </cell>
          <cell r="BF335">
            <v>0</v>
          </cell>
          <cell r="BG335">
            <v>904.49561333333338</v>
          </cell>
          <cell r="BH335">
            <v>801.84900000000005</v>
          </cell>
          <cell r="BI335">
            <v>860.89933333333317</v>
          </cell>
          <cell r="BJ335">
            <v>1.0763333012038252</v>
          </cell>
          <cell r="BK335">
            <v>-0.15541876053877612</v>
          </cell>
          <cell r="BL335">
            <v>148.97533333333328</v>
          </cell>
          <cell r="BM335">
            <v>129.0991123493078</v>
          </cell>
          <cell r="BN335">
            <v>0.8204583333333334</v>
          </cell>
          <cell r="BO335">
            <v>0</v>
          </cell>
          <cell r="BP335">
            <v>149.79579166666662</v>
          </cell>
          <cell r="BQ335">
            <v>6.6762913987125909</v>
          </cell>
          <cell r="BR335">
            <v>1.2234027529038529</v>
          </cell>
          <cell r="BT335">
            <v>2.8</v>
          </cell>
          <cell r="BU335">
            <v>56.2</v>
          </cell>
          <cell r="BV335">
            <v>157.35999999999999</v>
          </cell>
          <cell r="BW335">
            <v>19</v>
          </cell>
          <cell r="BX335">
            <v>1192.9009999999998</v>
          </cell>
          <cell r="BY335">
            <v>1173.9009999999998</v>
          </cell>
          <cell r="BZ335">
            <v>91.040666666666681</v>
          </cell>
          <cell r="CA335">
            <v>56.445213333333342</v>
          </cell>
          <cell r="CB335">
            <v>127.973</v>
          </cell>
          <cell r="CC335">
            <v>79.343260000000001</v>
          </cell>
          <cell r="CD335">
            <v>1467.0494733333333</v>
          </cell>
          <cell r="CE335">
            <v>2774.9163333333327</v>
          </cell>
          <cell r="CF335">
            <v>2920.243774999999</v>
          </cell>
          <cell r="CG335">
            <v>0.52101571316666839</v>
          </cell>
          <cell r="CH335">
            <v>0.41690541308902174</v>
          </cell>
          <cell r="CI335">
            <v>279.95499999999998</v>
          </cell>
          <cell r="CJ335">
            <v>258.00999999999993</v>
          </cell>
          <cell r="CK335">
            <v>6.6004483333333335</v>
          </cell>
          <cell r="CL335">
            <v>9.2780424999999997</v>
          </cell>
          <cell r="CM335">
            <v>295.83349083333337</v>
          </cell>
          <cell r="CN335">
            <v>5.2040901574963101</v>
          </cell>
          <cell r="CO335">
            <v>5.5885663104204245E-2</v>
          </cell>
          <cell r="CQ335">
            <v>0</v>
          </cell>
          <cell r="CR335">
            <v>129.1</v>
          </cell>
          <cell r="CS335">
            <v>0</v>
          </cell>
          <cell r="CT335">
            <v>313</v>
          </cell>
          <cell r="CU335">
            <v>5981</v>
          </cell>
          <cell r="CV335">
            <v>5668</v>
          </cell>
          <cell r="CW335">
            <v>-144</v>
          </cell>
          <cell r="CX335">
            <v>-89.28</v>
          </cell>
          <cell r="CY335">
            <v>1174.666666666667</v>
          </cell>
          <cell r="CZ335">
            <v>728.29333333333352</v>
          </cell>
          <cell r="DA335">
            <v>0.05</v>
          </cell>
          <cell r="DC335">
            <v>164.8</v>
          </cell>
          <cell r="DD335">
            <v>0</v>
          </cell>
          <cell r="DE335">
            <v>6307.0133333333342</v>
          </cell>
          <cell r="DF335">
            <v>14560.666666666664</v>
          </cell>
          <cell r="DG335">
            <v>11542.333333333336</v>
          </cell>
          <cell r="DH335">
            <v>0.55774790708642852</v>
          </cell>
          <cell r="DI335">
            <v>6.4405140903195393E-2</v>
          </cell>
          <cell r="DJ335">
            <v>1425.8920000000001</v>
          </cell>
          <cell r="DK335">
            <v>1077</v>
          </cell>
          <cell r="DL335">
            <v>-10.44</v>
          </cell>
          <cell r="DM335">
            <v>85.163333333333355</v>
          </cell>
          <cell r="DN335">
            <v>1500.6153333333334</v>
          </cell>
          <cell r="DO335">
            <v>5.3791846661862071</v>
          </cell>
          <cell r="DP335">
            <v>0</v>
          </cell>
          <cell r="DR335">
            <v>7.01</v>
          </cell>
          <cell r="DS335">
            <v>126</v>
          </cell>
          <cell r="DT335">
            <v>883.26</v>
          </cell>
          <cell r="DU335">
            <v>947</v>
          </cell>
          <cell r="DV335">
            <v>1642</v>
          </cell>
          <cell r="DW335">
            <v>695</v>
          </cell>
          <cell r="DX335">
            <v>648.66666666666652</v>
          </cell>
          <cell r="DY335">
            <v>402.17333333333323</v>
          </cell>
          <cell r="DZ335">
            <v>2640</v>
          </cell>
          <cell r="EA335">
            <v>1636.8</v>
          </cell>
          <cell r="EB335">
            <v>3617.2333333333331</v>
          </cell>
          <cell r="EC335">
            <v>18292</v>
          </cell>
          <cell r="ED335">
            <v>18287.666666666672</v>
          </cell>
          <cell r="EE335">
            <v>0.20000184304618673</v>
          </cell>
          <cell r="EF335">
            <v>3.8427512993475618E-2</v>
          </cell>
          <cell r="EG335">
            <v>631.66666666666652</v>
          </cell>
          <cell r="EH335">
            <v>440.66666666666674</v>
          </cell>
          <cell r="EI335">
            <v>47.028333333333322</v>
          </cell>
          <cell r="EJ335">
            <v>191.39999999999998</v>
          </cell>
          <cell r="EK335">
            <v>870.0949999999998</v>
          </cell>
          <cell r="EL335">
            <v>7.5804378501473941</v>
          </cell>
          <cell r="EM335">
            <v>4.8836669246931329E-2</v>
          </cell>
          <cell r="EO335">
            <v>3.91</v>
          </cell>
          <cell r="EP335">
            <v>40.1</v>
          </cell>
          <cell r="EQ335">
            <v>156.79100000000003</v>
          </cell>
          <cell r="ER335">
            <v>58</v>
          </cell>
          <cell r="ES335">
            <v>1443</v>
          </cell>
          <cell r="ET335">
            <v>1385</v>
          </cell>
          <cell r="EU335">
            <v>196.66666666666663</v>
          </cell>
          <cell r="EV335">
            <v>121.93333333333331</v>
          </cell>
          <cell r="EW335">
            <v>143</v>
          </cell>
          <cell r="EX335">
            <v>88.66</v>
          </cell>
          <cell r="EY335">
            <v>20.333333333333329</v>
          </cell>
          <cell r="EZ335">
            <v>1772.7176666666667</v>
          </cell>
          <cell r="FA335">
            <v>3561.3333333333339</v>
          </cell>
          <cell r="FB335">
            <v>319.66666666666674</v>
          </cell>
          <cell r="FC335">
            <v>14.258333333333329</v>
          </cell>
          <cell r="FD335">
            <v>10.3675</v>
          </cell>
          <cell r="FE335">
            <v>344.29250000000008</v>
          </cell>
        </row>
        <row r="336">
          <cell r="A336">
            <v>37742</v>
          </cell>
          <cell r="B336">
            <v>39.78</v>
          </cell>
          <cell r="C336">
            <v>67.400000000000006</v>
          </cell>
          <cell r="D336">
            <v>2681.1720000000005</v>
          </cell>
          <cell r="E336">
            <v>89.9</v>
          </cell>
          <cell r="F336">
            <v>2391</v>
          </cell>
          <cell r="G336">
            <v>2301.1</v>
          </cell>
          <cell r="H336">
            <v>179.51666666666662</v>
          </cell>
          <cell r="I336">
            <v>111.3003333333333</v>
          </cell>
          <cell r="J336">
            <v>189</v>
          </cell>
          <cell r="K336">
            <v>117.17999999999999</v>
          </cell>
          <cell r="L336">
            <v>5210.7523333333347</v>
          </cell>
          <cell r="M336">
            <v>14975.474999999997</v>
          </cell>
          <cell r="N336">
            <v>16252.241666666669</v>
          </cell>
          <cell r="O336">
            <v>0.33091075167072048</v>
          </cell>
          <cell r="P336">
            <v>0.14613220547797315</v>
          </cell>
          <cell r="Q336">
            <v>1065.1416666666673</v>
          </cell>
          <cell r="R336">
            <v>1104.8500000000006</v>
          </cell>
          <cell r="S336">
            <v>13.014958333333329</v>
          </cell>
          <cell r="T336">
            <v>13.702499999999999</v>
          </cell>
          <cell r="U336">
            <v>1091.8591250000009</v>
          </cell>
          <cell r="V336">
            <v>4.6430335333514652</v>
          </cell>
          <cell r="W336">
            <v>0.17026881822858125</v>
          </cell>
          <cell r="Y336">
            <v>59.337490000000003</v>
          </cell>
          <cell r="Z336">
            <v>95.6</v>
          </cell>
          <cell r="AA336">
            <v>5672.6640440000001</v>
          </cell>
          <cell r="AB336">
            <v>1508</v>
          </cell>
          <cell r="AC336">
            <v>705</v>
          </cell>
          <cell r="AD336">
            <v>-803</v>
          </cell>
          <cell r="AE336">
            <v>0</v>
          </cell>
          <cell r="AF336">
            <v>0</v>
          </cell>
          <cell r="AG336">
            <v>241.25</v>
          </cell>
          <cell r="AH336">
            <v>149.57499999999999</v>
          </cell>
          <cell r="AI336">
            <v>277</v>
          </cell>
          <cell r="AJ336">
            <v>5296.2390439999999</v>
          </cell>
          <cell r="AK336">
            <v>13959.75</v>
          </cell>
          <cell r="AL336">
            <v>17556.083333333336</v>
          </cell>
          <cell r="AM336">
            <v>0.34516677815432739</v>
          </cell>
          <cell r="AN336">
            <v>-5.2333159541188737E-2</v>
          </cell>
          <cell r="AO336">
            <v>1428.6666666666663</v>
          </cell>
          <cell r="AP336">
            <v>1599.0833333333337</v>
          </cell>
          <cell r="AQ336">
            <v>0</v>
          </cell>
          <cell r="AR336">
            <v>17.490624999999998</v>
          </cell>
          <cell r="AS336">
            <v>1446.1572916666662</v>
          </cell>
          <cell r="AT336">
            <v>3.5152476236146808</v>
          </cell>
          <cell r="AU336">
            <v>0.36969916866527636</v>
          </cell>
          <cell r="AW336">
            <v>39.090000000000003</v>
          </cell>
          <cell r="AX336">
            <v>25.988</v>
          </cell>
          <cell r="AY336">
            <v>1015.8709200000001</v>
          </cell>
          <cell r="AZ336">
            <v>130.60599999999999</v>
          </cell>
          <cell r="BA336">
            <v>0</v>
          </cell>
          <cell r="BB336">
            <v>-130.60599999999999</v>
          </cell>
          <cell r="BC336">
            <v>11.589583333333335</v>
          </cell>
          <cell r="BD336">
            <v>7.1855416666666683</v>
          </cell>
          <cell r="BE336">
            <v>0</v>
          </cell>
          <cell r="BF336">
            <v>0</v>
          </cell>
          <cell r="BG336">
            <v>892.4504616666668</v>
          </cell>
          <cell r="BH336">
            <v>806.66150000000005</v>
          </cell>
          <cell r="BI336">
            <v>866.03691666666646</v>
          </cell>
          <cell r="BJ336">
            <v>1.0619997901665459</v>
          </cell>
          <cell r="BK336">
            <v>-0.15541876053877612</v>
          </cell>
          <cell r="BL336">
            <v>151.7554166666666</v>
          </cell>
          <cell r="BM336">
            <v>127.74889043663474</v>
          </cell>
          <cell r="BN336">
            <v>0.84024479166666677</v>
          </cell>
          <cell r="BO336">
            <v>0</v>
          </cell>
          <cell r="BP336">
            <v>152.59566145833327</v>
          </cell>
          <cell r="BQ336">
            <v>6.5873833473269192</v>
          </cell>
          <cell r="BR336">
            <v>1.2088678870326495</v>
          </cell>
          <cell r="BT336">
            <v>3.59</v>
          </cell>
          <cell r="BU336">
            <v>56.2</v>
          </cell>
          <cell r="BV336">
            <v>201.75800000000001</v>
          </cell>
          <cell r="BW336">
            <v>19</v>
          </cell>
          <cell r="BX336">
            <v>1192.9009999999998</v>
          </cell>
          <cell r="BY336">
            <v>1173.9009999999998</v>
          </cell>
          <cell r="BZ336">
            <v>93.170083333333352</v>
          </cell>
          <cell r="CA336">
            <v>57.765451666666678</v>
          </cell>
          <cell r="CB336">
            <v>128.8775</v>
          </cell>
          <cell r="CC336">
            <v>79.904049999999998</v>
          </cell>
          <cell r="CD336">
            <v>1513.3285016666666</v>
          </cell>
          <cell r="CE336">
            <v>2780.0204166666658</v>
          </cell>
          <cell r="CF336">
            <v>2946.3674687499988</v>
          </cell>
          <cell r="CG336">
            <v>0.53745149218437682</v>
          </cell>
          <cell r="CH336">
            <v>0.41690541308902174</v>
          </cell>
          <cell r="CI336">
            <v>277.99374999999998</v>
          </cell>
          <cell r="CJ336">
            <v>256.44624999999991</v>
          </cell>
          <cell r="CK336">
            <v>6.7548310416666677</v>
          </cell>
          <cell r="CL336">
            <v>9.3436187499999992</v>
          </cell>
          <cell r="CM336">
            <v>294.09219979166664</v>
          </cell>
          <cell r="CN336">
            <v>5.3682565610333164</v>
          </cell>
          <cell r="CO336">
            <v>7.1653403765747595E-2</v>
          </cell>
          <cell r="CQ336">
            <v>0</v>
          </cell>
          <cell r="CR336">
            <v>129.1</v>
          </cell>
          <cell r="CS336">
            <v>0</v>
          </cell>
          <cell r="CT336">
            <v>313</v>
          </cell>
          <cell r="CU336">
            <v>5981</v>
          </cell>
          <cell r="CV336">
            <v>5668</v>
          </cell>
          <cell r="CW336">
            <v>-75</v>
          </cell>
          <cell r="CX336">
            <v>-46.5</v>
          </cell>
          <cell r="CY336">
            <v>1150.0833333333337</v>
          </cell>
          <cell r="CZ336">
            <v>713.05166666666685</v>
          </cell>
          <cell r="DA336">
            <v>0.05</v>
          </cell>
          <cell r="DC336">
            <v>164.8</v>
          </cell>
          <cell r="DD336">
            <v>0</v>
          </cell>
          <cell r="DE336">
            <v>6334.5516666666672</v>
          </cell>
          <cell r="DF336">
            <v>14154.08333333333</v>
          </cell>
          <cell r="DG336">
            <v>11600.91666666667</v>
          </cell>
          <cell r="DH336">
            <v>0.56018320363164731</v>
          </cell>
          <cell r="DI336">
            <v>6.3057275085485212E-2</v>
          </cell>
          <cell r="DJ336">
            <v>1381.6555000000001</v>
          </cell>
          <cell r="DK336">
            <v>1078.25</v>
          </cell>
          <cell r="DL336">
            <v>-5.4375</v>
          </cell>
          <cell r="DM336">
            <v>83.38104166666669</v>
          </cell>
          <cell r="DN336">
            <v>1459.5990416666668</v>
          </cell>
          <cell r="DO336">
            <v>5.4026718181184989</v>
          </cell>
          <cell r="DP336">
            <v>0</v>
          </cell>
          <cell r="DR336">
            <v>6.15</v>
          </cell>
          <cell r="DS336">
            <v>126</v>
          </cell>
          <cell r="DT336">
            <v>774.90000000000009</v>
          </cell>
          <cell r="DU336">
            <v>947</v>
          </cell>
          <cell r="DV336">
            <v>1642</v>
          </cell>
          <cell r="DW336">
            <v>695</v>
          </cell>
          <cell r="DX336">
            <v>634.83333333333314</v>
          </cell>
          <cell r="DY336">
            <v>393.59666666666652</v>
          </cell>
          <cell r="DZ336">
            <v>2422.25</v>
          </cell>
          <cell r="EA336">
            <v>1501.7950000000001</v>
          </cell>
          <cell r="EB336">
            <v>3365.291666666667</v>
          </cell>
          <cell r="EC336">
            <v>18266.25</v>
          </cell>
          <cell r="ED336">
            <v>18338.083333333339</v>
          </cell>
          <cell r="EE336">
            <v>0.1860716392052785</v>
          </cell>
          <cell r="EF336">
            <v>3.8427512993475618E-2</v>
          </cell>
          <cell r="EG336">
            <v>596.33333333333314</v>
          </cell>
          <cell r="EH336">
            <v>463.58333333333343</v>
          </cell>
          <cell r="EI336">
            <v>46.025416666666651</v>
          </cell>
          <cell r="EJ336">
            <v>175.613125</v>
          </cell>
          <cell r="EK336">
            <v>817.97187499999973</v>
          </cell>
          <cell r="EL336">
            <v>7.0524574933288644</v>
          </cell>
          <cell r="EM336">
            <v>4.2845294703085263E-2</v>
          </cell>
          <cell r="EO336">
            <v>3.8399999999999901</v>
          </cell>
          <cell r="EP336">
            <v>40.1</v>
          </cell>
          <cell r="EQ336">
            <v>153.98399999999961</v>
          </cell>
          <cell r="ER336">
            <v>58</v>
          </cell>
          <cell r="ES336">
            <v>1443</v>
          </cell>
          <cell r="ET336">
            <v>1385</v>
          </cell>
          <cell r="EU336">
            <v>199.58333333333329</v>
          </cell>
          <cell r="EV336">
            <v>123.74166666666663</v>
          </cell>
          <cell r="EW336">
            <v>140</v>
          </cell>
          <cell r="EX336">
            <v>86.8</v>
          </cell>
          <cell r="EY336">
            <v>20.666666666666661</v>
          </cell>
          <cell r="EZ336">
            <v>1770.192333333333</v>
          </cell>
          <cell r="FA336">
            <v>3586.9166666666674</v>
          </cell>
          <cell r="FB336">
            <v>323.08333333333343</v>
          </cell>
          <cell r="FC336">
            <v>14.469791666666662</v>
          </cell>
          <cell r="FD336">
            <v>10.149999999999999</v>
          </cell>
          <cell r="FE336">
            <v>347.70312500000006</v>
          </cell>
        </row>
        <row r="337">
          <cell r="A337">
            <v>37773</v>
          </cell>
          <cell r="B337">
            <v>46.02</v>
          </cell>
          <cell r="C337">
            <v>66</v>
          </cell>
          <cell r="D337">
            <v>3037.32</v>
          </cell>
          <cell r="E337">
            <v>103.1</v>
          </cell>
          <cell r="F337">
            <v>2093.4</v>
          </cell>
          <cell r="G337">
            <v>1990.3000000000002</v>
          </cell>
          <cell r="H337">
            <v>179.89999999999995</v>
          </cell>
          <cell r="I337">
            <v>111.53799999999997</v>
          </cell>
          <cell r="J337">
            <v>190.5</v>
          </cell>
          <cell r="K337">
            <v>118.11</v>
          </cell>
          <cell r="L337">
            <v>5257.268</v>
          </cell>
          <cell r="M337">
            <v>15085.649999999996</v>
          </cell>
          <cell r="N337">
            <v>16353.350000000002</v>
          </cell>
          <cell r="O337">
            <v>0.33386474626429663</v>
          </cell>
          <cell r="P337">
            <v>0.12639473667498588</v>
          </cell>
          <cell r="Q337">
            <v>1069.3500000000008</v>
          </cell>
          <cell r="R337">
            <v>1106.9000000000005</v>
          </cell>
          <cell r="S337">
            <v>13.042749999999995</v>
          </cell>
          <cell r="T337">
            <v>13.811249999999999</v>
          </cell>
          <cell r="U337">
            <v>1096.2040000000009</v>
          </cell>
          <cell r="V337">
            <v>4.684481252671751</v>
          </cell>
          <cell r="W337">
            <v>0.19288612852216655</v>
          </cell>
          <cell r="Y337">
            <v>59.487820000000006</v>
          </cell>
          <cell r="Z337">
            <v>95.6</v>
          </cell>
          <cell r="AA337">
            <v>5687.0355920000002</v>
          </cell>
          <cell r="AB337">
            <v>1484</v>
          </cell>
          <cell r="AC337">
            <v>671</v>
          </cell>
          <cell r="AD337">
            <v>-813</v>
          </cell>
          <cell r="AE337">
            <v>0</v>
          </cell>
          <cell r="AF337">
            <v>0</v>
          </cell>
          <cell r="AG337">
            <v>245.5</v>
          </cell>
          <cell r="AH337">
            <v>152.21</v>
          </cell>
          <cell r="AI337">
            <v>277</v>
          </cell>
          <cell r="AJ337">
            <v>5303.2455920000002</v>
          </cell>
          <cell r="AK337">
            <v>14157.5</v>
          </cell>
          <cell r="AL337">
            <v>17998.500000000004</v>
          </cell>
          <cell r="AM337">
            <v>0.34562340928050056</v>
          </cell>
          <cell r="AN337">
            <v>-5.2984880083420227E-2</v>
          </cell>
          <cell r="AO337">
            <v>1436.9999999999995</v>
          </cell>
          <cell r="AP337">
            <v>1621.5000000000005</v>
          </cell>
          <cell r="AQ337">
            <v>0</v>
          </cell>
          <cell r="AR337">
            <v>17.798749999999998</v>
          </cell>
          <cell r="AS337">
            <v>1454.7987499999995</v>
          </cell>
          <cell r="AT337">
            <v>3.5198980464906358</v>
          </cell>
          <cell r="AU337">
            <v>0.37063579197080293</v>
          </cell>
          <cell r="AW337">
            <v>41.7</v>
          </cell>
          <cell r="AX337">
            <v>26.597000000000001</v>
          </cell>
          <cell r="AY337">
            <v>1109.0949000000001</v>
          </cell>
          <cell r="AZ337">
            <v>152.809</v>
          </cell>
          <cell r="BA337">
            <v>0</v>
          </cell>
          <cell r="BB337">
            <v>-152.809</v>
          </cell>
          <cell r="BC337">
            <v>11.862500000000002</v>
          </cell>
          <cell r="BD337">
            <v>7.3547500000000019</v>
          </cell>
          <cell r="BE337">
            <v>0</v>
          </cell>
          <cell r="BF337">
            <v>0</v>
          </cell>
          <cell r="BG337">
            <v>963.64065000000005</v>
          </cell>
          <cell r="BH337">
            <v>811.47400000000005</v>
          </cell>
          <cell r="BI337">
            <v>871.17449999999974</v>
          </cell>
          <cell r="BJ337">
            <v>1.1467148172961472</v>
          </cell>
          <cell r="BK337">
            <v>-0.18183992603073246</v>
          </cell>
          <cell r="BL337">
            <v>154.53549999999993</v>
          </cell>
          <cell r="BM337">
            <v>126.39866852396167</v>
          </cell>
          <cell r="BN337">
            <v>0.86003125000000014</v>
          </cell>
          <cell r="BO337">
            <v>0</v>
          </cell>
          <cell r="BP337">
            <v>155.39553124999992</v>
          </cell>
          <cell r="BQ337">
            <v>7.1128545989684735</v>
          </cell>
          <cell r="BR337">
            <v>1.319802724820283</v>
          </cell>
          <cell r="BT337">
            <v>3.66</v>
          </cell>
          <cell r="BU337">
            <v>56.6</v>
          </cell>
          <cell r="BV337">
            <v>207.15600000000001</v>
          </cell>
          <cell r="BW337">
            <v>205.3</v>
          </cell>
          <cell r="BX337">
            <v>1086.287</v>
          </cell>
          <cell r="BY337">
            <v>880.98700000000008</v>
          </cell>
          <cell r="BZ337">
            <v>95.299500000000023</v>
          </cell>
          <cell r="CA337">
            <v>59.085690000000014</v>
          </cell>
          <cell r="CB337">
            <v>129.78200000000001</v>
          </cell>
          <cell r="CC337">
            <v>80.464840000000009</v>
          </cell>
          <cell r="CD337">
            <v>1227.6935300000002</v>
          </cell>
          <cell r="CE337">
            <v>2785.124499999999</v>
          </cell>
          <cell r="CF337">
            <v>2972.4911624999986</v>
          </cell>
          <cell r="CG337">
            <v>0.43600957684793651</v>
          </cell>
          <cell r="CH337">
            <v>0.31287838511174121</v>
          </cell>
          <cell r="CI337">
            <v>276.03249999999997</v>
          </cell>
          <cell r="CJ337">
            <v>254.88249999999991</v>
          </cell>
          <cell r="CK337">
            <v>6.909213750000001</v>
          </cell>
          <cell r="CL337">
            <v>9.4091950000000004</v>
          </cell>
          <cell r="CM337">
            <v>292.35090874999997</v>
          </cell>
          <cell r="CN337">
            <v>4.3550186493562304</v>
          </cell>
          <cell r="CO337">
            <v>7.3570478050422827E-2</v>
          </cell>
          <cell r="CQ337">
            <v>0</v>
          </cell>
          <cell r="CR337">
            <v>129.1</v>
          </cell>
          <cell r="CS337">
            <v>0</v>
          </cell>
          <cell r="CT337">
            <v>313</v>
          </cell>
          <cell r="CU337">
            <v>5981</v>
          </cell>
          <cell r="CV337">
            <v>5668</v>
          </cell>
          <cell r="CW337">
            <v>-6</v>
          </cell>
          <cell r="CX337">
            <v>-3.7199999999999998</v>
          </cell>
          <cell r="CY337">
            <v>1125.5000000000005</v>
          </cell>
          <cell r="CZ337">
            <v>697.81000000000029</v>
          </cell>
          <cell r="DA337">
            <v>0.05</v>
          </cell>
          <cell r="DC337">
            <v>164.8</v>
          </cell>
          <cell r="DD337">
            <v>0</v>
          </cell>
          <cell r="DE337">
            <v>6362.09</v>
          </cell>
          <cell r="DF337">
            <v>13747.499999999996</v>
          </cell>
          <cell r="DG337">
            <v>11659.500000000004</v>
          </cell>
          <cell r="DH337">
            <v>0.56261850017686599</v>
          </cell>
          <cell r="DI337">
            <v>6.1709409267775052E-2</v>
          </cell>
          <cell r="DJ337">
            <v>1337.4190000000001</v>
          </cell>
          <cell r="DK337">
            <v>1079.5</v>
          </cell>
          <cell r="DL337">
            <v>-0.43499999999999994</v>
          </cell>
          <cell r="DM337">
            <v>81.598750000000024</v>
          </cell>
          <cell r="DN337">
            <v>1418.5827500000003</v>
          </cell>
          <cell r="DO337">
            <v>5.42615897005079</v>
          </cell>
          <cell r="DP337">
            <v>0</v>
          </cell>
          <cell r="DR337">
            <v>6.87</v>
          </cell>
          <cell r="DS337">
            <v>125.7</v>
          </cell>
          <cell r="DT337">
            <v>863.55900000000008</v>
          </cell>
          <cell r="DU337">
            <v>851</v>
          </cell>
          <cell r="DV337">
            <v>1700</v>
          </cell>
          <cell r="DW337">
            <v>849</v>
          </cell>
          <cell r="DX337">
            <v>620.99999999999977</v>
          </cell>
          <cell r="DY337">
            <v>385.01999999999987</v>
          </cell>
          <cell r="DZ337">
            <v>2204.5</v>
          </cell>
          <cell r="EA337">
            <v>1366.79</v>
          </cell>
          <cell r="EB337">
            <v>3464.3690000000001</v>
          </cell>
          <cell r="EC337">
            <v>18240.5</v>
          </cell>
          <cell r="ED337">
            <v>18388.500000000007</v>
          </cell>
          <cell r="EE337">
            <v>0.19154976224704193</v>
          </cell>
          <cell r="EF337">
            <v>4.6942386376202586E-2</v>
          </cell>
          <cell r="EG337">
            <v>560.99999999999977</v>
          </cell>
          <cell r="EH337">
            <v>486.50000000000011</v>
          </cell>
          <cell r="EI337">
            <v>45.02249999999998</v>
          </cell>
          <cell r="EJ337">
            <v>159.82624999999999</v>
          </cell>
          <cell r="EK337">
            <v>765.84874999999977</v>
          </cell>
          <cell r="EL337">
            <v>7.2600884362295162</v>
          </cell>
          <cell r="EM337">
            <v>4.7747373659183905E-2</v>
          </cell>
          <cell r="EO337">
            <v>3.6</v>
          </cell>
          <cell r="EP337">
            <v>40.1</v>
          </cell>
          <cell r="EQ337">
            <v>144.36000000000001</v>
          </cell>
          <cell r="ER337">
            <v>58</v>
          </cell>
          <cell r="ES337">
            <v>1499</v>
          </cell>
          <cell r="ET337">
            <v>1441</v>
          </cell>
          <cell r="EU337">
            <v>202.5</v>
          </cell>
          <cell r="EV337">
            <v>125.55</v>
          </cell>
          <cell r="EW337">
            <v>137</v>
          </cell>
          <cell r="EX337">
            <v>84.94</v>
          </cell>
          <cell r="EY337">
            <v>20.999999999999993</v>
          </cell>
          <cell r="EZ337">
            <v>1816.8500000000001</v>
          </cell>
          <cell r="FA337">
            <v>3612.5</v>
          </cell>
          <cell r="FB337">
            <v>326.5</v>
          </cell>
          <cell r="FC337">
            <v>14.681249999999999</v>
          </cell>
          <cell r="FD337">
            <v>9.9324999999999992</v>
          </cell>
          <cell r="FE337">
            <v>351.11374999999998</v>
          </cell>
        </row>
        <row r="338">
          <cell r="A338">
            <v>37803</v>
          </cell>
          <cell r="B338">
            <v>51.98</v>
          </cell>
          <cell r="C338">
            <v>66</v>
          </cell>
          <cell r="D338">
            <v>3430.68</v>
          </cell>
          <cell r="E338">
            <v>103.1</v>
          </cell>
          <cell r="F338">
            <v>2093.4</v>
          </cell>
          <cell r="G338">
            <v>1990.3000000000002</v>
          </cell>
          <cell r="H338">
            <v>180.28333333333327</v>
          </cell>
          <cell r="I338">
            <v>111.77566666666662</v>
          </cell>
          <cell r="J338">
            <v>192</v>
          </cell>
          <cell r="K338">
            <v>119.03999999999999</v>
          </cell>
          <cell r="L338">
            <v>5651.795666666666</v>
          </cell>
          <cell r="M338">
            <v>15195.824999999995</v>
          </cell>
          <cell r="N338">
            <v>16454.458333333336</v>
          </cell>
          <cell r="O338">
            <v>0.35891937146619074</v>
          </cell>
          <cell r="P338">
            <v>0.12639473667498588</v>
          </cell>
          <cell r="Q338">
            <v>1073.5583333333343</v>
          </cell>
          <cell r="R338">
            <v>1108.9500000000005</v>
          </cell>
          <cell r="S338">
            <v>13.070541666666662</v>
          </cell>
          <cell r="T338">
            <v>13.919999999999998</v>
          </cell>
          <cell r="U338">
            <v>1100.5488750000011</v>
          </cell>
          <cell r="V338">
            <v>5.0360245748231662</v>
          </cell>
          <cell r="W338">
            <v>0.21786660062108248</v>
          </cell>
          <cell r="Y338">
            <v>67.278630000000007</v>
          </cell>
          <cell r="Z338">
            <v>95.6</v>
          </cell>
          <cell r="AA338">
            <v>6431.8370279999999</v>
          </cell>
          <cell r="AB338">
            <v>1484</v>
          </cell>
          <cell r="AC338">
            <v>671</v>
          </cell>
          <cell r="AD338">
            <v>-813</v>
          </cell>
          <cell r="AE338">
            <v>0</v>
          </cell>
          <cell r="AF338">
            <v>0</v>
          </cell>
          <cell r="AG338">
            <v>249.75</v>
          </cell>
          <cell r="AH338">
            <v>154.845</v>
          </cell>
          <cell r="AI338">
            <v>277</v>
          </cell>
          <cell r="AJ338">
            <v>6050.6820280000002</v>
          </cell>
          <cell r="AK338">
            <v>14355.25</v>
          </cell>
          <cell r="AL338">
            <v>18440.916666666672</v>
          </cell>
          <cell r="AM338">
            <v>0.39433537721584988</v>
          </cell>
          <cell r="AN338">
            <v>-5.2984880083420227E-2</v>
          </cell>
          <cell r="AO338">
            <v>1445.3333333333328</v>
          </cell>
          <cell r="AP338">
            <v>1643.9166666666672</v>
          </cell>
          <cell r="AQ338">
            <v>0</v>
          </cell>
          <cell r="AR338">
            <v>18.106874999999999</v>
          </cell>
          <cell r="AS338">
            <v>1463.4402083333327</v>
          </cell>
          <cell r="AT338">
            <v>4.0159904874896082</v>
          </cell>
          <cell r="AU338">
            <v>0.41917603154327426</v>
          </cell>
          <cell r="AW338">
            <v>43.23</v>
          </cell>
          <cell r="AX338">
            <v>26.597000000000001</v>
          </cell>
          <cell r="AY338">
            <v>1149.7883099999999</v>
          </cell>
          <cell r="AZ338">
            <v>152.809</v>
          </cell>
          <cell r="BA338">
            <v>0</v>
          </cell>
          <cell r="BB338">
            <v>-152.809</v>
          </cell>
          <cell r="BC338">
            <v>12.13541666666667</v>
          </cell>
          <cell r="BD338">
            <v>7.5239583333333355</v>
          </cell>
          <cell r="BE338">
            <v>0</v>
          </cell>
          <cell r="BF338">
            <v>0</v>
          </cell>
          <cell r="BG338">
            <v>1004.5032683333333</v>
          </cell>
          <cell r="BH338">
            <v>816.28650000000005</v>
          </cell>
          <cell r="BI338">
            <v>876.31208333333302</v>
          </cell>
          <cell r="BJ338">
            <v>1.1953405886522543</v>
          </cell>
          <cell r="BK338">
            <v>-0.18183992603073246</v>
          </cell>
          <cell r="BL338">
            <v>157.31558333333325</v>
          </cell>
          <cell r="BM338">
            <v>125.04844661128861</v>
          </cell>
          <cell r="BN338">
            <v>0.8798177083333335</v>
          </cell>
          <cell r="BO338">
            <v>0</v>
          </cell>
          <cell r="BP338">
            <v>158.19540104166657</v>
          </cell>
          <cell r="BQ338">
            <v>7.4144710394311533</v>
          </cell>
          <cell r="BR338">
            <v>1.3682271413424658</v>
          </cell>
          <cell r="BT338">
            <v>4.54</v>
          </cell>
          <cell r="BU338">
            <v>56.6</v>
          </cell>
          <cell r="BV338">
            <v>256.964</v>
          </cell>
          <cell r="BW338">
            <v>205.3</v>
          </cell>
          <cell r="BX338">
            <v>1086.287</v>
          </cell>
          <cell r="BY338">
            <v>880.98700000000008</v>
          </cell>
          <cell r="BZ338">
            <v>97.428916666666694</v>
          </cell>
          <cell r="CA338">
            <v>60.40592833333335</v>
          </cell>
          <cell r="CB338">
            <v>130.68650000000002</v>
          </cell>
          <cell r="CC338">
            <v>81.025630000000021</v>
          </cell>
          <cell r="CD338">
            <v>1279.3825583333335</v>
          </cell>
          <cell r="CE338">
            <v>2790.2285833333322</v>
          </cell>
          <cell r="CF338">
            <v>2998.6148562499984</v>
          </cell>
          <cell r="CG338">
            <v>0.45436669189382062</v>
          </cell>
          <cell r="CH338">
            <v>0.31287838511174121</v>
          </cell>
          <cell r="CI338">
            <v>274.07124999999996</v>
          </cell>
          <cell r="CJ338">
            <v>253.31874999999991</v>
          </cell>
          <cell r="CK338">
            <v>7.0635964583333353</v>
          </cell>
          <cell r="CL338">
            <v>9.4747712500000016</v>
          </cell>
          <cell r="CM338">
            <v>290.6096177083333</v>
          </cell>
          <cell r="CN338">
            <v>4.5383760401529134</v>
          </cell>
          <cell r="CO338">
            <v>9.1259554740141968E-2</v>
          </cell>
          <cell r="CQ338">
            <v>0</v>
          </cell>
          <cell r="CR338">
            <v>129.1</v>
          </cell>
          <cell r="CS338">
            <v>0</v>
          </cell>
          <cell r="CT338">
            <v>313</v>
          </cell>
          <cell r="CU338">
            <v>5981</v>
          </cell>
          <cell r="CV338">
            <v>5668</v>
          </cell>
          <cell r="CW338">
            <v>63</v>
          </cell>
          <cell r="CX338">
            <v>39.06</v>
          </cell>
          <cell r="CY338">
            <v>1100.9166666666672</v>
          </cell>
          <cell r="CZ338">
            <v>682.56833333333361</v>
          </cell>
          <cell r="DA338">
            <v>0.05</v>
          </cell>
          <cell r="DC338">
            <v>164.8</v>
          </cell>
          <cell r="DD338">
            <v>0</v>
          </cell>
          <cell r="DE338">
            <v>6389.628333333334</v>
          </cell>
          <cell r="DF338">
            <v>13340.916666666662</v>
          </cell>
          <cell r="DG338">
            <v>11718.083333333338</v>
          </cell>
          <cell r="DH338">
            <v>0.56505379672208467</v>
          </cell>
          <cell r="DI338">
            <v>6.0361543450064878E-2</v>
          </cell>
          <cell r="DJ338">
            <v>1293.1825000000001</v>
          </cell>
          <cell r="DK338">
            <v>1080.75</v>
          </cell>
          <cell r="DL338">
            <v>4.5674999999999999</v>
          </cell>
          <cell r="DM338">
            <v>79.816458333333372</v>
          </cell>
          <cell r="DN338">
            <v>1377.5664583333337</v>
          </cell>
          <cell r="DO338">
            <v>5.4496461219830827</v>
          </cell>
          <cell r="DP338">
            <v>0</v>
          </cell>
          <cell r="DR338">
            <v>6.33</v>
          </cell>
          <cell r="DS338">
            <v>125.7</v>
          </cell>
          <cell r="DT338">
            <v>795.68100000000004</v>
          </cell>
          <cell r="DU338">
            <v>851</v>
          </cell>
          <cell r="DV338">
            <v>1700</v>
          </cell>
          <cell r="DW338">
            <v>849</v>
          </cell>
          <cell r="DX338">
            <v>607.1666666666664</v>
          </cell>
          <cell r="DY338">
            <v>376.44333333333316</v>
          </cell>
          <cell r="DZ338">
            <v>1986.75</v>
          </cell>
          <cell r="EA338">
            <v>1231.7850000000001</v>
          </cell>
          <cell r="EB338">
            <v>3252.9093333333331</v>
          </cell>
          <cell r="EC338">
            <v>18214.75</v>
          </cell>
          <cell r="ED338">
            <v>18438.916666666675</v>
          </cell>
          <cell r="EE338">
            <v>0.17985786427807879</v>
          </cell>
          <cell r="EF338">
            <v>4.6942386376202586E-2</v>
          </cell>
          <cell r="EG338">
            <v>525.6666666666664</v>
          </cell>
          <cell r="EH338">
            <v>509.4166666666668</v>
          </cell>
          <cell r="EI338">
            <v>44.019583333333308</v>
          </cell>
          <cell r="EJ338">
            <v>144.03937499999998</v>
          </cell>
          <cell r="EK338">
            <v>713.7256249999997</v>
          </cell>
          <cell r="EL338">
            <v>6.8169439903879736</v>
          </cell>
          <cell r="EM338">
            <v>4.3994304987282982E-2</v>
          </cell>
          <cell r="EO338">
            <v>5.15</v>
          </cell>
          <cell r="EP338">
            <v>40.1</v>
          </cell>
          <cell r="EQ338">
            <v>206.51499999999999</v>
          </cell>
          <cell r="ER338">
            <v>58</v>
          </cell>
          <cell r="ES338">
            <v>1499</v>
          </cell>
          <cell r="ET338">
            <v>1441</v>
          </cell>
          <cell r="EU338">
            <v>205.4166666666666</v>
          </cell>
          <cell r="EV338">
            <v>127.35833333333329</v>
          </cell>
          <cell r="EW338">
            <v>134</v>
          </cell>
          <cell r="EX338">
            <v>83.08</v>
          </cell>
          <cell r="EY338">
            <v>21.333333333333325</v>
          </cell>
          <cell r="EZ338">
            <v>1879.2866666666664</v>
          </cell>
          <cell r="FA338">
            <v>3638.0833333333344</v>
          </cell>
          <cell r="FB338">
            <v>329.9166666666668</v>
          </cell>
          <cell r="FC338">
            <v>14.892708333333328</v>
          </cell>
          <cell r="FD338">
            <v>9.7149999999999999</v>
          </cell>
          <cell r="FE338">
            <v>354.52437500000008</v>
          </cell>
        </row>
        <row r="339">
          <cell r="A339">
            <v>37834</v>
          </cell>
          <cell r="B339">
            <v>55.55</v>
          </cell>
          <cell r="C339">
            <v>66</v>
          </cell>
          <cell r="D339">
            <v>3666.2999999999997</v>
          </cell>
          <cell r="E339">
            <v>103.1</v>
          </cell>
          <cell r="F339">
            <v>2093.4</v>
          </cell>
          <cell r="G339">
            <v>1990.3000000000002</v>
          </cell>
          <cell r="H339">
            <v>180.6666666666666</v>
          </cell>
          <cell r="I339">
            <v>112.01333333333329</v>
          </cell>
          <cell r="J339">
            <v>193.5</v>
          </cell>
          <cell r="K339">
            <v>119.97</v>
          </cell>
          <cell r="L339">
            <v>5888.5833333333339</v>
          </cell>
          <cell r="M339">
            <v>15305.999999999995</v>
          </cell>
          <cell r="N339">
            <v>16555.566666666669</v>
          </cell>
          <cell r="O339">
            <v>0.37395665970224451</v>
          </cell>
          <cell r="P339">
            <v>0.12639473667498588</v>
          </cell>
          <cell r="Q339">
            <v>1077.7666666666678</v>
          </cell>
          <cell r="R339">
            <v>1111.0000000000005</v>
          </cell>
          <cell r="S339">
            <v>13.098333333333327</v>
          </cell>
          <cell r="T339">
            <v>14.028749999999999</v>
          </cell>
          <cell r="U339">
            <v>1104.8937500000011</v>
          </cell>
          <cell r="V339">
            <v>5.2470138919673355</v>
          </cell>
          <cell r="W339">
            <v>0.232829735754158</v>
          </cell>
          <cell r="Y339">
            <v>83.6</v>
          </cell>
          <cell r="Z339">
            <v>95.6</v>
          </cell>
          <cell r="AA339">
            <v>7992.1599999999989</v>
          </cell>
          <cell r="AB339">
            <v>1484</v>
          </cell>
          <cell r="AC339">
            <v>671</v>
          </cell>
          <cell r="AD339">
            <v>-813</v>
          </cell>
          <cell r="AE339">
            <v>0</v>
          </cell>
          <cell r="AF339">
            <v>0</v>
          </cell>
          <cell r="AG339">
            <v>254</v>
          </cell>
          <cell r="AH339">
            <v>157.47999999999999</v>
          </cell>
          <cell r="AI339">
            <v>277</v>
          </cell>
          <cell r="AJ339">
            <v>7613.6399999999985</v>
          </cell>
          <cell r="AK339">
            <v>14553</v>
          </cell>
          <cell r="AL339">
            <v>18883.333333333339</v>
          </cell>
          <cell r="AM339">
            <v>0.49619655891553693</v>
          </cell>
          <cell r="AN339">
            <v>-5.2984880083420227E-2</v>
          </cell>
          <cell r="AO339">
            <v>1453.6666666666661</v>
          </cell>
          <cell r="AP339">
            <v>1666.3333333333339</v>
          </cell>
          <cell r="AQ339">
            <v>0</v>
          </cell>
          <cell r="AR339">
            <v>18.414999999999999</v>
          </cell>
          <cell r="AS339">
            <v>1472.081666666666</v>
          </cell>
          <cell r="AT339">
            <v>5.0533651700215199</v>
          </cell>
          <cell r="AU339">
            <v>0.52086548488008333</v>
          </cell>
          <cell r="AW339">
            <v>43.27</v>
          </cell>
          <cell r="AX339">
            <v>26.597000000000001</v>
          </cell>
          <cell r="AY339">
            <v>1150.8521900000001</v>
          </cell>
          <cell r="AZ339">
            <v>152.809</v>
          </cell>
          <cell r="BA339">
            <v>0</v>
          </cell>
          <cell r="BB339">
            <v>-152.809</v>
          </cell>
          <cell r="BC339">
            <v>12.408333333333337</v>
          </cell>
          <cell r="BD339">
            <v>7.6931666666666692</v>
          </cell>
          <cell r="BE339">
            <v>0</v>
          </cell>
          <cell r="BF339">
            <v>0</v>
          </cell>
          <cell r="BG339">
            <v>1005.7363566666668</v>
          </cell>
          <cell r="BH339">
            <v>821.09900000000005</v>
          </cell>
          <cell r="BI339">
            <v>881.4496666666663</v>
          </cell>
          <cell r="BJ339">
            <v>1.196807941303752</v>
          </cell>
          <cell r="BK339">
            <v>-0.18183992603073246</v>
          </cell>
          <cell r="BL339">
            <v>160.09566666666657</v>
          </cell>
          <cell r="BM339">
            <v>123.69822469861555</v>
          </cell>
          <cell r="BN339">
            <v>0.89960416666666687</v>
          </cell>
          <cell r="BO339">
            <v>0</v>
          </cell>
          <cell r="BP339">
            <v>160.99527083333325</v>
          </cell>
          <cell r="BQ339">
            <v>7.4235727497239736</v>
          </cell>
          <cell r="BR339">
            <v>1.3694931391600396</v>
          </cell>
          <cell r="BT339">
            <v>4.3600000000000003</v>
          </cell>
          <cell r="BU339">
            <v>56.6</v>
          </cell>
          <cell r="BV339">
            <v>246.77600000000001</v>
          </cell>
          <cell r="BW339">
            <v>205.3</v>
          </cell>
          <cell r="BX339">
            <v>1086.287</v>
          </cell>
          <cell r="BY339">
            <v>880.98700000000008</v>
          </cell>
          <cell r="BZ339">
            <v>99.558333333333366</v>
          </cell>
          <cell r="CA339">
            <v>61.726166666666686</v>
          </cell>
          <cell r="CB339">
            <v>131.59100000000004</v>
          </cell>
          <cell r="CC339">
            <v>81.586420000000018</v>
          </cell>
          <cell r="CD339">
            <v>1271.0755866666668</v>
          </cell>
          <cell r="CE339">
            <v>2795.3326666666653</v>
          </cell>
          <cell r="CF339">
            <v>3024.7385499999982</v>
          </cell>
          <cell r="CG339">
            <v>0.45141651001799765</v>
          </cell>
          <cell r="CH339">
            <v>0.31287838511174121</v>
          </cell>
          <cell r="CI339">
            <v>272.10999999999996</v>
          </cell>
          <cell r="CJ339">
            <v>251.75499999999991</v>
          </cell>
          <cell r="CK339">
            <v>7.2179791666666686</v>
          </cell>
          <cell r="CL339">
            <v>9.5403475000000029</v>
          </cell>
          <cell r="CM339">
            <v>288.86832666666663</v>
          </cell>
          <cell r="CN339">
            <v>4.5089085748254654</v>
          </cell>
          <cell r="CO339">
            <v>8.7641334508153965E-2</v>
          </cell>
          <cell r="CQ339">
            <v>0</v>
          </cell>
          <cell r="CR339">
            <v>129.1</v>
          </cell>
          <cell r="CS339">
            <v>0</v>
          </cell>
          <cell r="CT339">
            <v>313</v>
          </cell>
          <cell r="CU339">
            <v>5981</v>
          </cell>
          <cell r="CV339">
            <v>5668</v>
          </cell>
          <cell r="CW339">
            <v>132</v>
          </cell>
          <cell r="CX339">
            <v>81.84</v>
          </cell>
          <cell r="CY339">
            <v>1076.3333333333339</v>
          </cell>
          <cell r="CZ339">
            <v>667.32666666666705</v>
          </cell>
          <cell r="DA339">
            <v>0.05</v>
          </cell>
          <cell r="DC339">
            <v>164.8</v>
          </cell>
          <cell r="DD339">
            <v>0</v>
          </cell>
          <cell r="DE339">
            <v>6417.166666666667</v>
          </cell>
          <cell r="DF339">
            <v>12934.333333333328</v>
          </cell>
          <cell r="DG339">
            <v>11776.666666666672</v>
          </cell>
          <cell r="DH339">
            <v>0.56748909326730346</v>
          </cell>
          <cell r="DI339">
            <v>5.9013677632354711E-2</v>
          </cell>
          <cell r="DJ339">
            <v>1248.9460000000001</v>
          </cell>
          <cell r="DK339">
            <v>1082</v>
          </cell>
          <cell r="DL339">
            <v>9.5699999999999985</v>
          </cell>
          <cell r="DM339">
            <v>78.034166666666707</v>
          </cell>
          <cell r="DN339">
            <v>1336.5501666666669</v>
          </cell>
          <cell r="DO339">
            <v>5.4731332739153746</v>
          </cell>
          <cell r="DP339">
            <v>0</v>
          </cell>
          <cell r="DR339">
            <v>6.75</v>
          </cell>
          <cell r="DS339">
            <v>125.7</v>
          </cell>
          <cell r="DT339">
            <v>848.47500000000002</v>
          </cell>
          <cell r="DU339">
            <v>851</v>
          </cell>
          <cell r="DV339">
            <v>1700</v>
          </cell>
          <cell r="DW339">
            <v>849</v>
          </cell>
          <cell r="DX339">
            <v>593.33333333333303</v>
          </cell>
          <cell r="DY339">
            <v>367.8666666666665</v>
          </cell>
          <cell r="DZ339">
            <v>1769</v>
          </cell>
          <cell r="EA339">
            <v>1096.78</v>
          </cell>
          <cell r="EB339">
            <v>3162.121666666666</v>
          </cell>
          <cell r="EC339">
            <v>18189</v>
          </cell>
          <cell r="ED339">
            <v>18489.333333333343</v>
          </cell>
          <cell r="EE339">
            <v>0.17483808839249507</v>
          </cell>
          <cell r="EF339">
            <v>4.6942386376202586E-2</v>
          </cell>
          <cell r="EG339">
            <v>490.33333333333309</v>
          </cell>
          <cell r="EH339">
            <v>532.33333333333348</v>
          </cell>
          <cell r="EI339">
            <v>43.016666666666644</v>
          </cell>
          <cell r="EJ339">
            <v>128.2525</v>
          </cell>
          <cell r="EK339">
            <v>661.60249999999974</v>
          </cell>
          <cell r="EL339">
            <v>6.6266852480545415</v>
          </cell>
          <cell r="EM339">
            <v>4.6913358398761477E-2</v>
          </cell>
          <cell r="EO339">
            <v>5.9299999999999899</v>
          </cell>
          <cell r="EP339">
            <v>40.1</v>
          </cell>
          <cell r="EQ339">
            <v>237.79299999999961</v>
          </cell>
          <cell r="ER339">
            <v>58</v>
          </cell>
          <cell r="ES339">
            <v>1499</v>
          </cell>
          <cell r="ET339">
            <v>1441</v>
          </cell>
          <cell r="EU339">
            <v>208.33333333333326</v>
          </cell>
          <cell r="EV339">
            <v>129.16666666666663</v>
          </cell>
          <cell r="EW339">
            <v>131</v>
          </cell>
          <cell r="EX339">
            <v>81.22</v>
          </cell>
          <cell r="EY339">
            <v>21.666666666666657</v>
          </cell>
          <cell r="EZ339">
            <v>1910.846333333333</v>
          </cell>
          <cell r="FA339">
            <v>3663.6666666666679</v>
          </cell>
          <cell r="FB339">
            <v>333.33333333333348</v>
          </cell>
          <cell r="FC339">
            <v>15.104166666666661</v>
          </cell>
          <cell r="FD339">
            <v>9.4974999999999987</v>
          </cell>
          <cell r="FE339">
            <v>357.93500000000017</v>
          </cell>
        </row>
        <row r="340">
          <cell r="A340">
            <v>37865</v>
          </cell>
          <cell r="B340">
            <v>52.64</v>
          </cell>
          <cell r="C340">
            <v>67.099999999999994</v>
          </cell>
          <cell r="D340">
            <v>3532.1439999999998</v>
          </cell>
          <cell r="E340">
            <v>102.5</v>
          </cell>
          <cell r="F340">
            <v>2057.9</v>
          </cell>
          <cell r="G340">
            <v>1955.4</v>
          </cell>
          <cell r="H340">
            <v>181.04999999999993</v>
          </cell>
          <cell r="I340">
            <v>112.25099999999995</v>
          </cell>
          <cell r="J340">
            <v>195</v>
          </cell>
          <cell r="K340">
            <v>120.9</v>
          </cell>
          <cell r="L340">
            <v>5720.6949999999997</v>
          </cell>
          <cell r="M340">
            <v>15416.174999999994</v>
          </cell>
          <cell r="N340">
            <v>16656.675000000003</v>
          </cell>
          <cell r="O340">
            <v>0.36329484907948961</v>
          </cell>
          <cell r="P340">
            <v>0.12417839928365944</v>
          </cell>
          <cell r="Q340">
            <v>1081.9750000000013</v>
          </cell>
          <cell r="R340">
            <v>1113.0500000000004</v>
          </cell>
          <cell r="S340">
            <v>13.126124999999993</v>
          </cell>
          <cell r="T340">
            <v>14.137499999999999</v>
          </cell>
          <cell r="U340">
            <v>1109.2386250000013</v>
          </cell>
          <cell r="V340">
            <v>5.097417228825508</v>
          </cell>
          <cell r="W340">
            <v>0.22431010941975141</v>
          </cell>
          <cell r="Y340">
            <v>72.150000000000006</v>
          </cell>
          <cell r="Z340">
            <v>96.5</v>
          </cell>
          <cell r="AA340">
            <v>6962.4750000000004</v>
          </cell>
          <cell r="AB340">
            <v>1067</v>
          </cell>
          <cell r="AC340">
            <v>600</v>
          </cell>
          <cell r="AD340">
            <v>-467</v>
          </cell>
          <cell r="AE340">
            <v>0</v>
          </cell>
          <cell r="AF340">
            <v>0</v>
          </cell>
          <cell r="AG340">
            <v>258.25</v>
          </cell>
          <cell r="AH340">
            <v>160.11500000000001</v>
          </cell>
          <cell r="AI340">
            <v>277</v>
          </cell>
          <cell r="AJ340">
            <v>6932.59</v>
          </cell>
          <cell r="AK340">
            <v>14750.75</v>
          </cell>
          <cell r="AL340">
            <v>19325.750000000007</v>
          </cell>
          <cell r="AM340">
            <v>0.4518111313868613</v>
          </cell>
          <cell r="AN340">
            <v>-3.0435349322210637E-2</v>
          </cell>
          <cell r="AO340">
            <v>1461.9999999999993</v>
          </cell>
          <cell r="AP340">
            <v>1688.7500000000007</v>
          </cell>
          <cell r="AQ340">
            <v>0</v>
          </cell>
          <cell r="AR340">
            <v>18.723125</v>
          </cell>
          <cell r="AS340">
            <v>1480.7231249999993</v>
          </cell>
          <cell r="AT340">
            <v>4.6013350833555959</v>
          </cell>
          <cell r="AU340">
            <v>0.45375879822732013</v>
          </cell>
          <cell r="AW340">
            <v>40.549999999999997</v>
          </cell>
          <cell r="AX340">
            <v>27.067</v>
          </cell>
          <cell r="AY340">
            <v>1097.5668499999999</v>
          </cell>
          <cell r="AZ340">
            <v>137.80000000000001</v>
          </cell>
          <cell r="BA340">
            <v>0</v>
          </cell>
          <cell r="BB340">
            <v>-137.80000000000001</v>
          </cell>
          <cell r="BC340">
            <v>12.681250000000004</v>
          </cell>
          <cell r="BD340">
            <v>7.8623750000000028</v>
          </cell>
          <cell r="BE340">
            <v>0</v>
          </cell>
          <cell r="BF340">
            <v>0</v>
          </cell>
          <cell r="BG340">
            <v>967.62922500000002</v>
          </cell>
          <cell r="BH340">
            <v>825.91150000000005</v>
          </cell>
          <cell r="BI340">
            <v>886.58724999999959</v>
          </cell>
          <cell r="BJ340">
            <v>1.1514611488798105</v>
          </cell>
          <cell r="BK340">
            <v>-0.16397948947401617</v>
          </cell>
          <cell r="BL340">
            <v>162.8757499999999</v>
          </cell>
          <cell r="BM340">
            <v>122.34800278594248</v>
          </cell>
          <cell r="BN340">
            <v>0.91939062500000024</v>
          </cell>
          <cell r="BO340">
            <v>0</v>
          </cell>
          <cell r="BP340">
            <v>163.7951406249999</v>
          </cell>
          <cell r="BQ340">
            <v>7.1422951938957224</v>
          </cell>
          <cell r="BR340">
            <v>1.3060845553454574</v>
          </cell>
          <cell r="BT340">
            <v>4.5</v>
          </cell>
          <cell r="BU340">
            <v>56.72</v>
          </cell>
          <cell r="BV340">
            <v>255.24</v>
          </cell>
          <cell r="BW340">
            <v>135.25700000000001</v>
          </cell>
          <cell r="BX340">
            <v>1334.49</v>
          </cell>
          <cell r="BY340">
            <v>1199.2329999999999</v>
          </cell>
          <cell r="BZ340">
            <v>101.68775000000004</v>
          </cell>
          <cell r="CA340">
            <v>63.046405000000021</v>
          </cell>
          <cell r="CB340">
            <v>132.49550000000005</v>
          </cell>
          <cell r="CC340">
            <v>82.14721000000003</v>
          </cell>
          <cell r="CD340">
            <v>1599.6666150000001</v>
          </cell>
          <cell r="CE340">
            <v>2800.4367499999985</v>
          </cell>
          <cell r="CF340">
            <v>3050.862243749998</v>
          </cell>
          <cell r="CG340">
            <v>0.56811406663022879</v>
          </cell>
          <cell r="CH340">
            <v>0.42590195361873523</v>
          </cell>
          <cell r="CI340">
            <v>270.14874999999995</v>
          </cell>
          <cell r="CJ340">
            <v>250.19124999999991</v>
          </cell>
          <cell r="CK340">
            <v>7.372361875000002</v>
          </cell>
          <cell r="CL340">
            <v>9.6059237500000023</v>
          </cell>
          <cell r="CM340">
            <v>287.12703562499996</v>
          </cell>
          <cell r="CN340">
            <v>5.6745252547494909</v>
          </cell>
          <cell r="CO340">
            <v>9.0647284257226068E-2</v>
          </cell>
          <cell r="CQ340">
            <v>0</v>
          </cell>
          <cell r="CR340">
            <v>129.1</v>
          </cell>
          <cell r="CS340">
            <v>0</v>
          </cell>
          <cell r="CT340">
            <v>313</v>
          </cell>
          <cell r="CU340">
            <v>5981</v>
          </cell>
          <cell r="CV340">
            <v>5668</v>
          </cell>
          <cell r="CW340">
            <v>201</v>
          </cell>
          <cell r="CX340">
            <v>124.62</v>
          </cell>
          <cell r="CY340">
            <v>1051.7500000000007</v>
          </cell>
          <cell r="CZ340">
            <v>652.08500000000038</v>
          </cell>
          <cell r="DA340">
            <v>0.05</v>
          </cell>
          <cell r="DC340">
            <v>164.8</v>
          </cell>
          <cell r="DD340">
            <v>0</v>
          </cell>
          <cell r="DE340">
            <v>6444.7049999999999</v>
          </cell>
          <cell r="DF340">
            <v>12527.749999999995</v>
          </cell>
          <cell r="DG340">
            <v>11835.250000000005</v>
          </cell>
          <cell r="DH340">
            <v>0.56992438981252214</v>
          </cell>
          <cell r="DI340">
            <v>5.766581181464453E-2</v>
          </cell>
          <cell r="DJ340">
            <v>1204.7095000000002</v>
          </cell>
          <cell r="DK340">
            <v>1083.25</v>
          </cell>
          <cell r="DL340">
            <v>14.5725</v>
          </cell>
          <cell r="DM340">
            <v>76.251875000000041</v>
          </cell>
          <cell r="DN340">
            <v>1295.5338750000001</v>
          </cell>
          <cell r="DO340">
            <v>5.4966204258476656</v>
          </cell>
          <cell r="DP340">
            <v>0</v>
          </cell>
          <cell r="DR340">
            <v>6.6</v>
          </cell>
          <cell r="DS340">
            <v>125.7</v>
          </cell>
          <cell r="DT340">
            <v>829.62</v>
          </cell>
          <cell r="DU340">
            <v>939</v>
          </cell>
          <cell r="DV340">
            <v>1828</v>
          </cell>
          <cell r="DW340">
            <v>889</v>
          </cell>
          <cell r="DX340">
            <v>579.49999999999966</v>
          </cell>
          <cell r="DY340">
            <v>359.28999999999979</v>
          </cell>
          <cell r="DZ340">
            <v>1551.25</v>
          </cell>
          <cell r="EA340">
            <v>961.77499999999998</v>
          </cell>
          <cell r="EB340">
            <v>3039.6849999999999</v>
          </cell>
          <cell r="EC340">
            <v>18163.25</v>
          </cell>
          <cell r="ED340">
            <v>18539.750000000011</v>
          </cell>
          <cell r="EE340">
            <v>0.16806839544398983</v>
          </cell>
          <cell r="EF340">
            <v>4.9154041800287512E-2</v>
          </cell>
          <cell r="EG340">
            <v>454.99999999999977</v>
          </cell>
          <cell r="EH340">
            <v>555.25000000000011</v>
          </cell>
          <cell r="EI340">
            <v>42.013749999999973</v>
          </cell>
          <cell r="EJ340">
            <v>112.46562499999999</v>
          </cell>
          <cell r="EK340">
            <v>609.47937499999966</v>
          </cell>
          <cell r="EL340">
            <v>6.3701014292300604</v>
          </cell>
          <cell r="EM340">
            <v>4.5870839323233444E-2</v>
          </cell>
          <cell r="EO340">
            <v>6.29</v>
          </cell>
          <cell r="EP340">
            <v>40.6</v>
          </cell>
          <cell r="EQ340">
            <v>255.37400000000002</v>
          </cell>
          <cell r="ER340">
            <v>63</v>
          </cell>
          <cell r="ES340">
            <v>1404</v>
          </cell>
          <cell r="ET340">
            <v>1341</v>
          </cell>
          <cell r="EU340">
            <v>211.25</v>
          </cell>
          <cell r="EV340">
            <v>130.97499999999999</v>
          </cell>
          <cell r="EW340">
            <v>128</v>
          </cell>
          <cell r="EX340">
            <v>79.36</v>
          </cell>
          <cell r="EY340">
            <v>21.999999999999989</v>
          </cell>
          <cell r="EZ340">
            <v>1828.7089999999998</v>
          </cell>
          <cell r="FA340">
            <v>3689.25</v>
          </cell>
          <cell r="FB340">
            <v>336.75</v>
          </cell>
          <cell r="FC340">
            <v>15.315624999999999</v>
          </cell>
          <cell r="FD340">
            <v>9.2799999999999994</v>
          </cell>
          <cell r="FE340">
            <v>361.34562499999998</v>
          </cell>
        </row>
        <row r="341">
          <cell r="A341">
            <v>37895</v>
          </cell>
          <cell r="B341">
            <v>58.09</v>
          </cell>
          <cell r="C341">
            <v>67.099999999999994</v>
          </cell>
          <cell r="D341">
            <v>3897.8389999999999</v>
          </cell>
          <cell r="E341">
            <v>102.5</v>
          </cell>
          <cell r="F341">
            <v>2057.9</v>
          </cell>
          <cell r="G341">
            <v>1955.4</v>
          </cell>
          <cell r="H341">
            <v>181.43333333333325</v>
          </cell>
          <cell r="I341">
            <v>112.48866666666662</v>
          </cell>
          <cell r="J341">
            <v>196.5</v>
          </cell>
          <cell r="K341">
            <v>121.83</v>
          </cell>
          <cell r="L341">
            <v>6087.5576666666657</v>
          </cell>
          <cell r="M341">
            <v>15526.349999999993</v>
          </cell>
          <cell r="N341">
            <v>16757.783333333336</v>
          </cell>
          <cell r="O341">
            <v>0.38659259823751424</v>
          </cell>
          <cell r="P341">
            <v>0.12417839928365944</v>
          </cell>
          <cell r="Q341">
            <v>1086.1833333333348</v>
          </cell>
          <cell r="R341">
            <v>1115.1000000000004</v>
          </cell>
          <cell r="S341">
            <v>13.15391666666666</v>
          </cell>
          <cell r="T341">
            <v>14.24625</v>
          </cell>
          <cell r="U341">
            <v>1113.5835000000013</v>
          </cell>
          <cell r="V341">
            <v>5.4243096916607989</v>
          </cell>
          <cell r="W341">
            <v>0.24753370547479789</v>
          </cell>
          <cell r="Y341">
            <v>80.23</v>
          </cell>
          <cell r="Z341">
            <v>96.5</v>
          </cell>
          <cell r="AA341">
            <v>7742.1950000000006</v>
          </cell>
          <cell r="AB341">
            <v>1067</v>
          </cell>
          <cell r="AC341">
            <v>600</v>
          </cell>
          <cell r="AD341">
            <v>-467</v>
          </cell>
          <cell r="AE341">
            <v>0</v>
          </cell>
          <cell r="AF341">
            <v>0</v>
          </cell>
          <cell r="AG341">
            <v>262.5</v>
          </cell>
          <cell r="AH341">
            <v>162.75</v>
          </cell>
          <cell r="AI341">
            <v>277</v>
          </cell>
          <cell r="AJ341">
            <v>7714.9450000000006</v>
          </cell>
          <cell r="AK341">
            <v>14948.5</v>
          </cell>
          <cell r="AL341">
            <v>19768.166666666675</v>
          </cell>
          <cell r="AM341">
            <v>0.50279881386861314</v>
          </cell>
          <cell r="AN341">
            <v>-3.0435349322210637E-2</v>
          </cell>
          <cell r="AO341">
            <v>1470.3333333333326</v>
          </cell>
          <cell r="AP341">
            <v>1711.1666666666674</v>
          </cell>
          <cell r="AQ341">
            <v>0</v>
          </cell>
          <cell r="AR341">
            <v>19.03125</v>
          </cell>
          <cell r="AS341">
            <v>1489.3645833333326</v>
          </cell>
          <cell r="AT341">
            <v>5.1206038572393346</v>
          </cell>
          <cell r="AU341">
            <v>0.50457475234619398</v>
          </cell>
          <cell r="AW341">
            <v>42.5</v>
          </cell>
          <cell r="AX341">
            <v>27.067</v>
          </cell>
          <cell r="AY341">
            <v>1150.3475000000001</v>
          </cell>
          <cell r="AZ341">
            <v>137.80000000000001</v>
          </cell>
          <cell r="BA341">
            <v>0</v>
          </cell>
          <cell r="BB341">
            <v>-137.80000000000001</v>
          </cell>
          <cell r="BC341">
            <v>12.954166666666671</v>
          </cell>
          <cell r="BD341">
            <v>8.0315833333333355</v>
          </cell>
          <cell r="BE341">
            <v>0</v>
          </cell>
          <cell r="BF341">
            <v>0</v>
          </cell>
          <cell r="BG341">
            <v>1020.5790833333334</v>
          </cell>
          <cell r="BH341">
            <v>830.72400000000005</v>
          </cell>
          <cell r="BI341">
            <v>891.72483333333287</v>
          </cell>
          <cell r="BJ341">
            <v>1.2144705156230724</v>
          </cell>
          <cell r="BK341">
            <v>-0.16397948947401617</v>
          </cell>
          <cell r="BL341">
            <v>165.65583333333322</v>
          </cell>
          <cell r="BM341">
            <v>120.99778087326942</v>
          </cell>
          <cell r="BN341">
            <v>0.93917708333333361</v>
          </cell>
          <cell r="BO341">
            <v>0</v>
          </cell>
          <cell r="BP341">
            <v>166.59501041666655</v>
          </cell>
          <cell r="BQ341">
            <v>7.5331303494705519</v>
          </cell>
          <cell r="BR341">
            <v>1.3688925672547954</v>
          </cell>
          <cell r="BT341">
            <v>3.98</v>
          </cell>
          <cell r="BU341">
            <v>56.72</v>
          </cell>
          <cell r="BV341">
            <v>225.7456</v>
          </cell>
          <cell r="BW341">
            <v>135.25700000000001</v>
          </cell>
          <cell r="BX341">
            <v>1334.49</v>
          </cell>
          <cell r="BY341">
            <v>1199.2329999999999</v>
          </cell>
          <cell r="BZ341">
            <v>103.81716666666671</v>
          </cell>
          <cell r="CA341">
            <v>64.366643333333357</v>
          </cell>
          <cell r="CB341">
            <v>133.40000000000006</v>
          </cell>
          <cell r="CC341">
            <v>82.708000000000041</v>
          </cell>
          <cell r="CD341">
            <v>1572.0532433333333</v>
          </cell>
          <cell r="CE341">
            <v>2805.5408333333316</v>
          </cell>
          <cell r="CF341">
            <v>3076.9859374999978</v>
          </cell>
          <cell r="CG341">
            <v>0.5583073076944477</v>
          </cell>
          <cell r="CH341">
            <v>0.42590195361873523</v>
          </cell>
          <cell r="CI341">
            <v>268.18749999999994</v>
          </cell>
          <cell r="CJ341">
            <v>248.62749999999991</v>
          </cell>
          <cell r="CK341">
            <v>7.5267445833333362</v>
          </cell>
          <cell r="CL341">
            <v>9.6715000000000035</v>
          </cell>
          <cell r="CM341">
            <v>285.38574458333323</v>
          </cell>
          <cell r="CN341">
            <v>5.5765718603221872</v>
          </cell>
          <cell r="CO341">
            <v>8.017248696527994E-2</v>
          </cell>
          <cell r="CQ341">
            <v>0</v>
          </cell>
          <cell r="CR341">
            <v>129.1</v>
          </cell>
          <cell r="CS341">
            <v>0</v>
          </cell>
          <cell r="CT341">
            <v>313</v>
          </cell>
          <cell r="CU341">
            <v>5981</v>
          </cell>
          <cell r="CV341">
            <v>5668</v>
          </cell>
          <cell r="CW341">
            <v>270</v>
          </cell>
          <cell r="CX341">
            <v>167.4</v>
          </cell>
          <cell r="CY341">
            <v>1027.1666666666674</v>
          </cell>
          <cell r="CZ341">
            <v>636.84333333333382</v>
          </cell>
          <cell r="DA341">
            <v>0.05</v>
          </cell>
          <cell r="DC341">
            <v>164.8</v>
          </cell>
          <cell r="DD341">
            <v>0</v>
          </cell>
          <cell r="DE341">
            <v>6472.2433333333338</v>
          </cell>
          <cell r="DF341">
            <v>12121.166666666661</v>
          </cell>
          <cell r="DG341">
            <v>11893.833333333339</v>
          </cell>
          <cell r="DH341">
            <v>0.57235968635774093</v>
          </cell>
          <cell r="DI341">
            <v>5.631794599693437E-2</v>
          </cell>
          <cell r="DJ341">
            <v>1160.4730000000002</v>
          </cell>
          <cell r="DK341">
            <v>1084.5</v>
          </cell>
          <cell r="DL341">
            <v>19.574999999999999</v>
          </cell>
          <cell r="DM341">
            <v>74.469583333333389</v>
          </cell>
          <cell r="DN341">
            <v>1254.5175833333337</v>
          </cell>
          <cell r="DO341">
            <v>5.5201075777799584</v>
          </cell>
          <cell r="DP341">
            <v>0</v>
          </cell>
          <cell r="DR341">
            <v>6.46</v>
          </cell>
          <cell r="DS341">
            <v>125.7</v>
          </cell>
          <cell r="DT341">
            <v>812.02200000000005</v>
          </cell>
          <cell r="DU341">
            <v>939</v>
          </cell>
          <cell r="DV341">
            <v>1828</v>
          </cell>
          <cell r="DW341">
            <v>889</v>
          </cell>
          <cell r="DX341">
            <v>565.66666666666629</v>
          </cell>
          <cell r="DY341">
            <v>350.71333333333308</v>
          </cell>
          <cell r="DZ341">
            <v>1333.5</v>
          </cell>
          <cell r="EA341">
            <v>826.77</v>
          </cell>
          <cell r="EB341">
            <v>2878.5053333333331</v>
          </cell>
          <cell r="EC341">
            <v>18137.5</v>
          </cell>
          <cell r="ED341">
            <v>18590.166666666679</v>
          </cell>
          <cell r="EE341">
            <v>0.15915654834310147</v>
          </cell>
          <cell r="EF341">
            <v>4.9154041800287512E-2</v>
          </cell>
          <cell r="EG341">
            <v>419.66666666666646</v>
          </cell>
          <cell r="EH341">
            <v>578.16666666666674</v>
          </cell>
          <cell r="EI341">
            <v>41.010833333333302</v>
          </cell>
          <cell r="EJ341">
            <v>96.678749999999994</v>
          </cell>
          <cell r="EK341">
            <v>557.35624999999982</v>
          </cell>
          <cell r="EL341">
            <v>6.0323260265168983</v>
          </cell>
          <cell r="EM341">
            <v>4.4897821519407279E-2</v>
          </cell>
          <cell r="EO341">
            <v>5.96</v>
          </cell>
          <cell r="EP341">
            <v>40.6</v>
          </cell>
          <cell r="EQ341">
            <v>241.976</v>
          </cell>
          <cell r="ER341">
            <v>63</v>
          </cell>
          <cell r="ES341">
            <v>1404</v>
          </cell>
          <cell r="ET341">
            <v>1341</v>
          </cell>
          <cell r="EU341">
            <v>214.16666666666657</v>
          </cell>
          <cell r="EV341">
            <v>132.78333333333327</v>
          </cell>
          <cell r="EW341">
            <v>125</v>
          </cell>
          <cell r="EX341">
            <v>77.5</v>
          </cell>
          <cell r="EY341">
            <v>22.333333333333321</v>
          </cell>
          <cell r="EZ341">
            <v>1815.5926666666667</v>
          </cell>
          <cell r="FA341">
            <v>3714.8333333333348</v>
          </cell>
          <cell r="FB341">
            <v>340.16666666666686</v>
          </cell>
          <cell r="FC341">
            <v>15.527083333333325</v>
          </cell>
          <cell r="FD341">
            <v>9.0625</v>
          </cell>
          <cell r="FE341">
            <v>364.75625000000019</v>
          </cell>
        </row>
        <row r="342">
          <cell r="A342">
            <v>37926</v>
          </cell>
          <cell r="B342">
            <v>59.14</v>
          </cell>
          <cell r="C342">
            <v>67.099999999999994</v>
          </cell>
          <cell r="D342">
            <v>3968.2939999999999</v>
          </cell>
          <cell r="E342">
            <v>102.5</v>
          </cell>
          <cell r="F342">
            <v>2057.9</v>
          </cell>
          <cell r="G342">
            <v>1955.4</v>
          </cell>
          <cell r="H342">
            <v>181.81666666666658</v>
          </cell>
          <cell r="I342">
            <v>112.72633333333327</v>
          </cell>
          <cell r="J342">
            <v>198</v>
          </cell>
          <cell r="K342">
            <v>122.76</v>
          </cell>
          <cell r="L342">
            <v>6159.1803333333328</v>
          </cell>
          <cell r="M342">
            <v>15636.524999999992</v>
          </cell>
          <cell r="N342">
            <v>16858.89166666667</v>
          </cell>
          <cell r="O342">
            <v>0.36315921776729554</v>
          </cell>
          <cell r="P342">
            <v>0.11529481132075473</v>
          </cell>
          <cell r="Q342">
            <v>1090.3916666666682</v>
          </cell>
          <cell r="R342">
            <v>1117.1500000000003</v>
          </cell>
          <cell r="S342">
            <v>13.181708333333326</v>
          </cell>
          <cell r="T342">
            <v>14.354999999999999</v>
          </cell>
          <cell r="U342">
            <v>1117.9283750000016</v>
          </cell>
          <cell r="V342">
            <v>5.3704106651134582</v>
          </cell>
          <cell r="W342">
            <v>0.23397959905660376</v>
          </cell>
          <cell r="Y342">
            <v>77.540000000000006</v>
          </cell>
          <cell r="Z342">
            <v>96.5</v>
          </cell>
          <cell r="AA342">
            <v>7482.6100000000006</v>
          </cell>
          <cell r="AB342">
            <v>1067</v>
          </cell>
          <cell r="AC342">
            <v>600</v>
          </cell>
          <cell r="AD342">
            <v>-467</v>
          </cell>
          <cell r="AE342">
            <v>0</v>
          </cell>
          <cell r="AF342">
            <v>0</v>
          </cell>
          <cell r="AG342">
            <v>266.75</v>
          </cell>
          <cell r="AH342">
            <v>165.38499999999999</v>
          </cell>
          <cell r="AI342">
            <v>277</v>
          </cell>
          <cell r="AJ342">
            <v>7457.9950000000008</v>
          </cell>
          <cell r="AK342">
            <v>15146.25</v>
          </cell>
          <cell r="AL342">
            <v>20210.583333333343</v>
          </cell>
          <cell r="AM342">
            <v>0.36110952404009106</v>
          </cell>
          <cell r="AN342">
            <v>-2.2611727109862974E-2</v>
          </cell>
          <cell r="AO342">
            <v>1478.6666666666658</v>
          </cell>
          <cell r="AP342">
            <v>1733.5833333333342</v>
          </cell>
          <cell r="AQ342">
            <v>0</v>
          </cell>
          <cell r="AR342">
            <v>19.339375</v>
          </cell>
          <cell r="AS342">
            <v>1498.0060416666659</v>
          </cell>
          <cell r="AT342">
            <v>4.2001551546689306</v>
          </cell>
          <cell r="AU342">
            <v>0.3623013605771559</v>
          </cell>
          <cell r="AW342">
            <v>44.48</v>
          </cell>
          <cell r="AX342">
            <v>27.067</v>
          </cell>
          <cell r="AY342">
            <v>1203.9401599999999</v>
          </cell>
          <cell r="AZ342">
            <v>137.80000000000001</v>
          </cell>
          <cell r="BA342">
            <v>0</v>
          </cell>
          <cell r="BB342">
            <v>-137.80000000000001</v>
          </cell>
          <cell r="BC342">
            <v>13.227083333333338</v>
          </cell>
          <cell r="BD342">
            <v>8.2007916666666691</v>
          </cell>
          <cell r="BE342">
            <v>0</v>
          </cell>
          <cell r="BF342">
            <v>0</v>
          </cell>
          <cell r="BG342">
            <v>1074.3409516666666</v>
          </cell>
          <cell r="BH342">
            <v>835.53650000000005</v>
          </cell>
          <cell r="BI342">
            <v>896.86241666666615</v>
          </cell>
          <cell r="BJ342">
            <v>1.1910653566149296</v>
          </cell>
          <cell r="BK342">
            <v>-0.15277161862527716</v>
          </cell>
          <cell r="BL342">
            <v>168.43591666666654</v>
          </cell>
          <cell r="BM342">
            <v>119.64755896059636</v>
          </cell>
          <cell r="BN342">
            <v>0.95896354166666697</v>
          </cell>
          <cell r="BO342">
            <v>0</v>
          </cell>
          <cell r="BP342">
            <v>169.39488020833321</v>
          </cell>
          <cell r="BQ342">
            <v>9.0071780375811024</v>
          </cell>
          <cell r="BR342">
            <v>1.3347451884700663</v>
          </cell>
          <cell r="BT342">
            <v>4.55</v>
          </cell>
          <cell r="BU342">
            <v>56.72</v>
          </cell>
          <cell r="BV342">
            <v>258.07599999999996</v>
          </cell>
          <cell r="BW342">
            <v>135.25700000000001</v>
          </cell>
          <cell r="BX342">
            <v>1334.49</v>
          </cell>
          <cell r="BY342">
            <v>1199.2329999999999</v>
          </cell>
          <cell r="BZ342">
            <v>105.94658333333338</v>
          </cell>
          <cell r="CA342">
            <v>65.686881666666693</v>
          </cell>
          <cell r="CB342">
            <v>134.30450000000008</v>
          </cell>
          <cell r="CC342">
            <v>83.268790000000052</v>
          </cell>
          <cell r="CD342">
            <v>1606.2646716666668</v>
          </cell>
          <cell r="CE342">
            <v>2810.6449166666648</v>
          </cell>
          <cell r="CF342">
            <v>3103.1096312499976</v>
          </cell>
          <cell r="CG342">
            <v>0.51330933325870376</v>
          </cell>
          <cell r="CH342">
            <v>0.38323540479360063</v>
          </cell>
          <cell r="CI342">
            <v>266.22624999999994</v>
          </cell>
          <cell r="CJ342">
            <v>247.06374999999991</v>
          </cell>
          <cell r="CK342">
            <v>7.6811272916666695</v>
          </cell>
          <cell r="CL342">
            <v>9.7370762500000048</v>
          </cell>
          <cell r="CM342">
            <v>283.64445354166662</v>
          </cell>
          <cell r="CN342">
            <v>6.1042634652686178</v>
          </cell>
          <cell r="CO342">
            <v>8.2472597341395101E-2</v>
          </cell>
          <cell r="CQ342">
            <v>0</v>
          </cell>
          <cell r="CR342">
            <v>129.1</v>
          </cell>
          <cell r="CS342">
            <v>0</v>
          </cell>
          <cell r="CT342">
            <v>313</v>
          </cell>
          <cell r="CU342">
            <v>5981</v>
          </cell>
          <cell r="CV342">
            <v>5668</v>
          </cell>
          <cell r="CW342">
            <v>339</v>
          </cell>
          <cell r="CX342">
            <v>210.18</v>
          </cell>
          <cell r="CY342">
            <v>1002.5833333333341</v>
          </cell>
          <cell r="CZ342">
            <v>621.60166666666714</v>
          </cell>
          <cell r="DA342">
            <v>0.05</v>
          </cell>
          <cell r="DC342">
            <v>164.8</v>
          </cell>
          <cell r="DD342">
            <v>0</v>
          </cell>
          <cell r="DE342">
            <v>6499.7816666666677</v>
          </cell>
          <cell r="DF342">
            <v>11714.583333333327</v>
          </cell>
          <cell r="DG342">
            <v>11952.416666666673</v>
          </cell>
          <cell r="DH342">
            <v>0.54115241584103468</v>
          </cell>
          <cell r="DI342">
            <v>5.175269891488362E-2</v>
          </cell>
          <cell r="DJ342">
            <v>1116.2365000000002</v>
          </cell>
          <cell r="DK342">
            <v>1085.75</v>
          </cell>
          <cell r="DL342">
            <v>24.577499999999997</v>
          </cell>
          <cell r="DM342">
            <v>72.687291666666709</v>
          </cell>
          <cell r="DN342">
            <v>1213.5012916666669</v>
          </cell>
          <cell r="DO342">
            <v>5.4735694907023396</v>
          </cell>
          <cell r="DP342">
            <v>0</v>
          </cell>
          <cell r="DR342">
            <v>7.85</v>
          </cell>
          <cell r="DS342">
            <v>125.7</v>
          </cell>
          <cell r="DT342">
            <v>986.745</v>
          </cell>
          <cell r="DU342">
            <v>939</v>
          </cell>
          <cell r="DV342">
            <v>1828</v>
          </cell>
          <cell r="DW342">
            <v>889</v>
          </cell>
          <cell r="DX342">
            <v>551.83333333333292</v>
          </cell>
          <cell r="DY342">
            <v>342.13666666666643</v>
          </cell>
          <cell r="DZ342">
            <v>1115.75</v>
          </cell>
          <cell r="EA342">
            <v>691.76499999999999</v>
          </cell>
          <cell r="EB342">
            <v>2909.6466666666661</v>
          </cell>
          <cell r="EC342">
            <v>18111.75</v>
          </cell>
          <cell r="ED342">
            <v>18640.583333333347</v>
          </cell>
          <cell r="EE342">
            <v>0.15567100030317618</v>
          </cell>
          <cell r="EF342">
            <v>4.7562998234444383E-2</v>
          </cell>
          <cell r="EG342">
            <v>384.33333333333314</v>
          </cell>
          <cell r="EH342">
            <v>601.08333333333337</v>
          </cell>
          <cell r="EI342">
            <v>40.007916666666631</v>
          </cell>
          <cell r="EJ342">
            <v>80.891874999999999</v>
          </cell>
          <cell r="EK342">
            <v>505.23312499999975</v>
          </cell>
          <cell r="EL342">
            <v>3.8682850736082663</v>
          </cell>
          <cell r="EM342">
            <v>5.2792520464394629E-2</v>
          </cell>
          <cell r="EO342">
            <v>5.5499999999999901</v>
          </cell>
          <cell r="EP342">
            <v>40.6</v>
          </cell>
          <cell r="EQ342">
            <v>225.33</v>
          </cell>
          <cell r="ER342">
            <v>63</v>
          </cell>
          <cell r="ES342">
            <v>1404</v>
          </cell>
          <cell r="ET342">
            <v>1341</v>
          </cell>
          <cell r="EU342">
            <v>217.08333333333323</v>
          </cell>
          <cell r="EV342">
            <v>134.59166666666661</v>
          </cell>
          <cell r="EW342">
            <v>122</v>
          </cell>
          <cell r="EX342">
            <v>75.64</v>
          </cell>
          <cell r="EY342">
            <v>22.666666666666654</v>
          </cell>
          <cell r="EZ342">
            <v>1799.2283333333335</v>
          </cell>
          <cell r="FA342">
            <v>3740.4166666666683</v>
          </cell>
          <cell r="FB342">
            <v>343.58333333333354</v>
          </cell>
          <cell r="FC342">
            <v>15.738541666666658</v>
          </cell>
          <cell r="FD342">
            <v>8.8449999999999989</v>
          </cell>
          <cell r="FE342">
            <v>368.16687500000023</v>
          </cell>
        </row>
        <row r="343">
          <cell r="A343">
            <v>37956</v>
          </cell>
          <cell r="B343">
            <v>61.33</v>
          </cell>
          <cell r="C343">
            <v>66.7</v>
          </cell>
          <cell r="D343">
            <v>4090.7110000000002</v>
          </cell>
          <cell r="E343">
            <v>169.3</v>
          </cell>
          <cell r="F343">
            <v>2074.2999999999997</v>
          </cell>
          <cell r="G343">
            <v>1904.9999999999998</v>
          </cell>
          <cell r="H343">
            <v>182.2</v>
          </cell>
          <cell r="I343">
            <v>112.964</v>
          </cell>
          <cell r="J343">
            <v>199.5</v>
          </cell>
          <cell r="K343">
            <v>123.69</v>
          </cell>
          <cell r="L343">
            <v>6232.3649999999998</v>
          </cell>
          <cell r="M343">
            <v>15746.7</v>
          </cell>
          <cell r="N343">
            <v>16960</v>
          </cell>
          <cell r="O343">
            <v>0.36747435141509432</v>
          </cell>
          <cell r="P343">
            <v>0.11232311320754716</v>
          </cell>
          <cell r="Q343">
            <v>1094.6000000000008</v>
          </cell>
          <cell r="R343">
            <v>1119.2</v>
          </cell>
          <cell r="S343">
            <v>13.209499999999998</v>
          </cell>
          <cell r="T343">
            <v>14.463749999999999</v>
          </cell>
          <cell r="U343">
            <v>1122.2732500000006</v>
          </cell>
          <cell r="V343">
            <v>5.4342230058988648</v>
          </cell>
          <cell r="W343">
            <v>0.24119758254716983</v>
          </cell>
          <cell r="Y343">
            <v>80.05</v>
          </cell>
          <cell r="Z343">
            <v>96.4</v>
          </cell>
          <cell r="AA343">
            <v>7716.8200000000006</v>
          </cell>
          <cell r="AB343">
            <v>1528</v>
          </cell>
          <cell r="AC343">
            <v>708</v>
          </cell>
          <cell r="AD343">
            <v>-820</v>
          </cell>
          <cell r="AE343">
            <v>0</v>
          </cell>
          <cell r="AF343">
            <v>0</v>
          </cell>
          <cell r="AG343">
            <v>271</v>
          </cell>
          <cell r="AH343">
            <v>168.02</v>
          </cell>
          <cell r="AI343">
            <v>277</v>
          </cell>
          <cell r="AJ343">
            <v>7341.8400000000011</v>
          </cell>
          <cell r="AK343">
            <v>15344</v>
          </cell>
          <cell r="AL343">
            <v>20653</v>
          </cell>
          <cell r="AM343">
            <v>0.35548540163656617</v>
          </cell>
          <cell r="AN343">
            <v>-3.97036750108943E-2</v>
          </cell>
          <cell r="AO343">
            <v>1487</v>
          </cell>
          <cell r="AP343">
            <v>1756</v>
          </cell>
          <cell r="AQ343">
            <v>0</v>
          </cell>
          <cell r="AR343">
            <v>19.647499999999997</v>
          </cell>
          <cell r="AS343">
            <v>1506.6475</v>
          </cell>
          <cell r="AT343">
            <v>4.1347395809134415</v>
          </cell>
          <cell r="AU343">
            <v>0.3736416017043529</v>
          </cell>
          <cell r="AW343">
            <v>43.52</v>
          </cell>
          <cell r="AX343">
            <v>26.745000000000001</v>
          </cell>
          <cell r="AY343">
            <v>1163.9424000000001</v>
          </cell>
          <cell r="AZ343">
            <v>156.80000000000001</v>
          </cell>
          <cell r="BA343">
            <v>0</v>
          </cell>
          <cell r="BB343">
            <v>-156.80000000000001</v>
          </cell>
          <cell r="BC343">
            <v>13.5</v>
          </cell>
          <cell r="BD343">
            <v>8.3699999999999992</v>
          </cell>
          <cell r="BE343">
            <v>0</v>
          </cell>
          <cell r="BF343">
            <v>0</v>
          </cell>
          <cell r="BG343">
            <v>1015.5124000000002</v>
          </cell>
          <cell r="BH343">
            <v>840.34900000000005</v>
          </cell>
          <cell r="BI343">
            <v>902</v>
          </cell>
          <cell r="BJ343">
            <v>1.1258452328159647</v>
          </cell>
          <cell r="BK343">
            <v>-0.17383592017738361</v>
          </cell>
          <cell r="BL343">
            <v>134.5</v>
          </cell>
          <cell r="BM343">
            <v>118.29733704792331</v>
          </cell>
          <cell r="BN343">
            <v>0.9787499999999999</v>
          </cell>
          <cell r="BO343">
            <v>0</v>
          </cell>
          <cell r="BP343">
            <v>135.47874999999999</v>
          </cell>
          <cell r="BQ343">
            <v>8.5139647446011768</v>
          </cell>
          <cell r="BR343">
            <v>1.2904017738359204</v>
          </cell>
          <cell r="BT343">
            <v>6.83</v>
          </cell>
          <cell r="BU343">
            <v>57.341999999999999</v>
          </cell>
          <cell r="BV343">
            <v>391.64585999999997</v>
          </cell>
          <cell r="BW343">
            <v>160.9</v>
          </cell>
          <cell r="BX343">
            <v>1403.2380000000001</v>
          </cell>
          <cell r="BY343">
            <v>1242.338</v>
          </cell>
          <cell r="BZ343">
            <v>108.07599999999999</v>
          </cell>
          <cell r="CA343">
            <v>67.00712</v>
          </cell>
          <cell r="CB343">
            <v>135.209</v>
          </cell>
          <cell r="CC343">
            <v>83.829580000000007</v>
          </cell>
          <cell r="CD343">
            <v>1784.8205599999999</v>
          </cell>
          <cell r="CE343">
            <v>2815.7489999999998</v>
          </cell>
          <cell r="CF343">
            <v>3129.2333250000001</v>
          </cell>
          <cell r="CG343">
            <v>0.57036991960323058</v>
          </cell>
          <cell r="CH343">
            <v>0.39701034437884236</v>
          </cell>
          <cell r="CI343">
            <v>264.26500000000004</v>
          </cell>
          <cell r="CJ343">
            <v>245.5</v>
          </cell>
          <cell r="CK343">
            <v>7.8355099999999993</v>
          </cell>
          <cell r="CL343">
            <v>9.8026524999999989</v>
          </cell>
          <cell r="CM343">
            <v>281.90316250000006</v>
          </cell>
          <cell r="CN343">
            <v>6.7828267213046294</v>
          </cell>
          <cell r="CO343">
            <v>0.12515712934253631</v>
          </cell>
          <cell r="CQ343" t="str">
            <v>-</v>
          </cell>
          <cell r="CR343">
            <v>86.8</v>
          </cell>
          <cell r="CS343">
            <v>0</v>
          </cell>
          <cell r="CT343">
            <v>0</v>
          </cell>
          <cell r="CU343">
            <v>0</v>
          </cell>
          <cell r="CV343">
            <v>0</v>
          </cell>
          <cell r="CW343">
            <v>408</v>
          </cell>
          <cell r="CX343">
            <v>252.96</v>
          </cell>
          <cell r="CY343">
            <v>978</v>
          </cell>
          <cell r="CZ343">
            <v>606.36</v>
          </cell>
          <cell r="DE343">
            <v>859.32</v>
          </cell>
          <cell r="DF343">
            <v>11308</v>
          </cell>
          <cell r="DG343">
            <v>12011</v>
          </cell>
          <cell r="DH343">
            <v>7.1544417617184247E-2</v>
          </cell>
          <cell r="DI343">
            <v>0</v>
          </cell>
          <cell r="DJ343">
            <v>1072</v>
          </cell>
          <cell r="DK343">
            <v>1087</v>
          </cell>
          <cell r="DL343">
            <v>29.58</v>
          </cell>
          <cell r="DM343">
            <v>70.905000000000001</v>
          </cell>
          <cell r="DN343">
            <v>1172.4849999999999</v>
          </cell>
          <cell r="DO343">
            <v>0.72364703554150167</v>
          </cell>
          <cell r="DP343">
            <v>0</v>
          </cell>
          <cell r="DR343">
            <v>10.41</v>
          </cell>
          <cell r="DS343">
            <v>125.7</v>
          </cell>
          <cell r="DT343">
            <v>1308.537</v>
          </cell>
          <cell r="DU343">
            <v>956</v>
          </cell>
          <cell r="DV343">
            <v>1818</v>
          </cell>
          <cell r="DW343">
            <v>862</v>
          </cell>
          <cell r="DX343">
            <v>870</v>
          </cell>
          <cell r="DY343">
            <v>539.4</v>
          </cell>
          <cell r="DZ343">
            <v>898</v>
          </cell>
          <cell r="EA343">
            <v>556.76</v>
          </cell>
          <cell r="EB343">
            <v>3266.6970000000001</v>
          </cell>
          <cell r="EC343">
            <v>18086</v>
          </cell>
          <cell r="ED343">
            <v>18691</v>
          </cell>
          <cell r="EE343">
            <v>0.17477379487453856</v>
          </cell>
          <cell r="EF343">
            <v>4.6118452731261035E-2</v>
          </cell>
          <cell r="EG343">
            <v>349</v>
          </cell>
          <cell r="EH343">
            <v>624</v>
          </cell>
          <cell r="EI343">
            <v>63.074999999999996</v>
          </cell>
          <cell r="EJ343">
            <v>65.10499999999999</v>
          </cell>
          <cell r="EK343">
            <v>477.17999999999995</v>
          </cell>
          <cell r="EL343">
            <v>4.3429724268127305</v>
          </cell>
          <cell r="EM343">
            <v>7.0008934781445611E-2</v>
          </cell>
          <cell r="EO343">
            <v>6.69</v>
          </cell>
          <cell r="EP343">
            <v>40.375</v>
          </cell>
          <cell r="EQ343">
            <v>270.10874999999999</v>
          </cell>
          <cell r="ER343">
            <v>145</v>
          </cell>
          <cell r="ES343">
            <v>1430</v>
          </cell>
          <cell r="ET343">
            <v>1285</v>
          </cell>
          <cell r="EU343">
            <v>220</v>
          </cell>
          <cell r="EV343">
            <v>136.4</v>
          </cell>
          <cell r="EW343">
            <v>119</v>
          </cell>
          <cell r="EX343">
            <v>73.78</v>
          </cell>
          <cell r="EY343">
            <v>23</v>
          </cell>
          <cell r="EZ343">
            <v>1788.2887499999999</v>
          </cell>
          <cell r="FA343">
            <v>3766</v>
          </cell>
          <cell r="FB343">
            <v>347</v>
          </cell>
          <cell r="FC343">
            <v>15.95</v>
          </cell>
          <cell r="FD343">
            <v>8.6274999999999995</v>
          </cell>
          <cell r="FE343">
            <v>371.57749999999999</v>
          </cell>
        </row>
        <row r="344">
          <cell r="A344">
            <v>37987</v>
          </cell>
          <cell r="B344">
            <v>65.66</v>
          </cell>
          <cell r="C344">
            <v>66.7</v>
          </cell>
          <cell r="D344">
            <v>4379.5219999999999</v>
          </cell>
          <cell r="E344">
            <v>169.3</v>
          </cell>
          <cell r="F344">
            <v>2074.2999999999997</v>
          </cell>
          <cell r="G344">
            <v>1904.9999999999998</v>
          </cell>
          <cell r="H344">
            <v>182.2</v>
          </cell>
          <cell r="I344">
            <v>112.964</v>
          </cell>
          <cell r="J344">
            <v>199.5</v>
          </cell>
          <cell r="K344">
            <v>123.69</v>
          </cell>
          <cell r="L344">
            <v>6521.1759999999995</v>
          </cell>
          <cell r="M344">
            <v>15847.808333333334</v>
          </cell>
          <cell r="N344">
            <v>17017.775000000001</v>
          </cell>
          <cell r="O344">
            <v>0.38450330188679244</v>
          </cell>
          <cell r="P344">
            <v>0.11232311320754716</v>
          </cell>
          <cell r="Q344">
            <v>1096.6500000000008</v>
          </cell>
          <cell r="R344">
            <v>1116.8583333333333</v>
          </cell>
          <cell r="S344">
            <v>13.209499999999998</v>
          </cell>
          <cell r="T344">
            <v>14.463749999999999</v>
          </cell>
          <cell r="U344">
            <v>1124.3232500000006</v>
          </cell>
          <cell r="V344">
            <v>5.6860476953316335</v>
          </cell>
          <cell r="W344">
            <v>0.27634874853883579</v>
          </cell>
          <cell r="Y344">
            <v>81.180000000000007</v>
          </cell>
          <cell r="Z344">
            <v>96.4</v>
          </cell>
          <cell r="AA344">
            <v>7825.7520000000013</v>
          </cell>
          <cell r="AB344">
            <v>1528</v>
          </cell>
          <cell r="AC344">
            <v>708</v>
          </cell>
          <cell r="AD344">
            <v>-820</v>
          </cell>
          <cell r="AE344">
            <v>0</v>
          </cell>
          <cell r="AF344">
            <v>0</v>
          </cell>
          <cell r="AG344">
            <v>271</v>
          </cell>
          <cell r="AH344">
            <v>168.02</v>
          </cell>
          <cell r="AI344">
            <v>277</v>
          </cell>
          <cell r="AJ344">
            <v>7450.7720000000018</v>
          </cell>
          <cell r="AK344">
            <v>15786.416666666666</v>
          </cell>
          <cell r="AL344">
            <v>20769.666666666668</v>
          </cell>
          <cell r="AM344">
            <v>0.3607597927661842</v>
          </cell>
          <cell r="AN344">
            <v>-3.97036750108943E-2</v>
          </cell>
          <cell r="AO344">
            <v>1509.4166666666667</v>
          </cell>
          <cell r="AP344">
            <v>1763.0916666666667</v>
          </cell>
          <cell r="AQ344">
            <v>0</v>
          </cell>
          <cell r="AR344">
            <v>19.647499999999997</v>
          </cell>
          <cell r="AS344">
            <v>1529.0641666666668</v>
          </cell>
          <cell r="AT344">
            <v>4.1960873427862238</v>
          </cell>
          <cell r="AU344">
            <v>0.37891599283397093</v>
          </cell>
          <cell r="AW344">
            <v>41.38</v>
          </cell>
          <cell r="AX344">
            <v>26.745000000000001</v>
          </cell>
          <cell r="AY344">
            <v>1106.7081000000001</v>
          </cell>
          <cell r="AZ344">
            <v>156.80000000000001</v>
          </cell>
          <cell r="BA344">
            <v>0</v>
          </cell>
          <cell r="BB344">
            <v>-156.80000000000001</v>
          </cell>
          <cell r="BC344">
            <v>13.5</v>
          </cell>
          <cell r="BD344">
            <v>8.3699999999999992</v>
          </cell>
          <cell r="BE344">
            <v>0</v>
          </cell>
          <cell r="BF344">
            <v>0</v>
          </cell>
          <cell r="BG344">
            <v>958.27810000000011</v>
          </cell>
          <cell r="BH344">
            <v>845.48658333333333</v>
          </cell>
          <cell r="BI344">
            <v>899</v>
          </cell>
          <cell r="BJ344">
            <v>1.0623925720620844</v>
          </cell>
          <cell r="BK344">
            <v>-0.17383592017738361</v>
          </cell>
          <cell r="BL344">
            <v>133.14977808732695</v>
          </cell>
          <cell r="BM344">
            <v>117.2569577507987</v>
          </cell>
          <cell r="BN344">
            <v>0.9787499999999999</v>
          </cell>
          <cell r="BO344">
            <v>0</v>
          </cell>
          <cell r="BP344">
            <v>134.12852808732694</v>
          </cell>
          <cell r="BQ344">
            <v>7.1444763740051993</v>
          </cell>
          <cell r="BR344">
            <v>1.3089599785685542</v>
          </cell>
          <cell r="BT344">
            <v>6.0600000000000005</v>
          </cell>
          <cell r="BU344">
            <v>57.341999999999999</v>
          </cell>
          <cell r="BV344">
            <v>347.49252000000001</v>
          </cell>
          <cell r="BW344">
            <v>160.9</v>
          </cell>
          <cell r="BX344">
            <v>1403.2380000000001</v>
          </cell>
          <cell r="BY344">
            <v>1242.338</v>
          </cell>
          <cell r="BZ344">
            <v>108.07599999999999</v>
          </cell>
          <cell r="CA344">
            <v>67.00712</v>
          </cell>
          <cell r="CB344">
            <v>135.209</v>
          </cell>
          <cell r="CC344">
            <v>83.829580000000007</v>
          </cell>
          <cell r="CD344">
            <v>1740.66722</v>
          </cell>
          <cell r="CE344">
            <v>2841.8726937499996</v>
          </cell>
          <cell r="CF344">
            <v>3153.2241138250001</v>
          </cell>
          <cell r="CG344">
            <v>0.55625996505070452</v>
          </cell>
          <cell r="CH344">
            <v>0.39701034437884236</v>
          </cell>
          <cell r="CI344">
            <v>262.70125000000002</v>
          </cell>
          <cell r="CJ344">
            <v>251.37151449765832</v>
          </cell>
          <cell r="CK344">
            <v>7.8355099999999993</v>
          </cell>
          <cell r="CL344">
            <v>9.8026524999999989</v>
          </cell>
          <cell r="CM344">
            <v>280.33941250000004</v>
          </cell>
          <cell r="CN344">
            <v>6.2091419985407859</v>
          </cell>
          <cell r="CO344">
            <v>0.12227589250011951</v>
          </cell>
          <cell r="CQ344" t="str">
            <v>-</v>
          </cell>
          <cell r="CR344">
            <v>100</v>
          </cell>
          <cell r="CS344">
            <v>0</v>
          </cell>
          <cell r="CT344">
            <v>0</v>
          </cell>
          <cell r="CV344">
            <v>0</v>
          </cell>
          <cell r="CW344">
            <v>408</v>
          </cell>
          <cell r="CX344">
            <v>252.96</v>
          </cell>
          <cell r="CY344">
            <v>978</v>
          </cell>
          <cell r="CZ344">
            <v>606.36</v>
          </cell>
          <cell r="DE344">
            <v>859.32</v>
          </cell>
          <cell r="DF344">
            <v>11366.583333333334</v>
          </cell>
          <cell r="DG344">
            <v>12047.375</v>
          </cell>
          <cell r="DH344">
            <v>7.1544417617184247E-2</v>
          </cell>
          <cell r="DI344">
            <v>5.0483723253684123E-2</v>
          </cell>
          <cell r="DJ344">
            <v>1073.25</v>
          </cell>
          <cell r="DK344">
            <v>1083.8833333333332</v>
          </cell>
          <cell r="DL344">
            <v>29.58</v>
          </cell>
          <cell r="DM344">
            <v>70.905000000000001</v>
          </cell>
          <cell r="DN344">
            <v>1173.7349999999999</v>
          </cell>
          <cell r="DO344">
            <v>0.72364703554150167</v>
          </cell>
          <cell r="DP344">
            <v>0</v>
          </cell>
          <cell r="DR344">
            <v>10.700000000000001</v>
          </cell>
          <cell r="DS344">
            <v>125.7</v>
          </cell>
          <cell r="DT344">
            <v>1344.9900000000002</v>
          </cell>
          <cell r="DU344">
            <v>956</v>
          </cell>
          <cell r="DV344">
            <v>1818</v>
          </cell>
          <cell r="DW344">
            <v>862</v>
          </cell>
          <cell r="DX344">
            <v>870</v>
          </cell>
          <cell r="DY344">
            <v>539.4</v>
          </cell>
          <cell r="DZ344">
            <v>898</v>
          </cell>
          <cell r="EA344">
            <v>556.76</v>
          </cell>
          <cell r="EB344">
            <v>3303.1500000000005</v>
          </cell>
          <cell r="EC344">
            <v>18136.416666666668</v>
          </cell>
          <cell r="ED344">
            <v>18744.083333333332</v>
          </cell>
          <cell r="EE344">
            <v>0.17672409180889201</v>
          </cell>
          <cell r="EF344">
            <v>4.6118452731261035E-2</v>
          </cell>
          <cell r="EG344">
            <v>371.91666666666669</v>
          </cell>
          <cell r="EH344">
            <v>615</v>
          </cell>
          <cell r="EI344">
            <v>63.074999999999996</v>
          </cell>
          <cell r="EJ344">
            <v>65.10499999999999</v>
          </cell>
          <cell r="EK344">
            <v>500.09666666666669</v>
          </cell>
          <cell r="EL344">
            <v>6.6050230288810834</v>
          </cell>
          <cell r="EM344">
            <v>7.4159632783028631E-2</v>
          </cell>
          <cell r="EO344">
            <v>10.6199999999999</v>
          </cell>
          <cell r="EP344">
            <v>40.375</v>
          </cell>
          <cell r="EQ344">
            <v>428.78249999999593</v>
          </cell>
          <cell r="ER344">
            <v>145</v>
          </cell>
          <cell r="ES344">
            <v>1430</v>
          </cell>
          <cell r="ET344">
            <v>1285</v>
          </cell>
          <cell r="EU344">
            <v>220</v>
          </cell>
          <cell r="EV344">
            <v>136.4</v>
          </cell>
          <cell r="EW344">
            <v>119</v>
          </cell>
          <cell r="EX344">
            <v>73.78</v>
          </cell>
          <cell r="EY344">
            <v>23</v>
          </cell>
          <cell r="EZ344">
            <v>1946.962499999996</v>
          </cell>
          <cell r="FA344">
            <v>3804.0833333333335</v>
          </cell>
          <cell r="FB344">
            <v>351.41666666666669</v>
          </cell>
          <cell r="FC344">
            <v>15.95</v>
          </cell>
          <cell r="FD344">
            <v>8.6274999999999995</v>
          </cell>
          <cell r="FE344">
            <v>375.99416666666667</v>
          </cell>
        </row>
        <row r="345">
          <cell r="A345">
            <v>38018</v>
          </cell>
          <cell r="B345">
            <v>61.63</v>
          </cell>
          <cell r="C345">
            <v>66.7</v>
          </cell>
          <cell r="D345">
            <v>4110.7210000000005</v>
          </cell>
          <cell r="E345">
            <v>169.3</v>
          </cell>
          <cell r="F345">
            <v>2074.2999999999997</v>
          </cell>
          <cell r="G345">
            <v>1904.9999999999998</v>
          </cell>
          <cell r="H345">
            <v>182.2</v>
          </cell>
          <cell r="I345">
            <v>112.964</v>
          </cell>
          <cell r="J345">
            <v>199.5</v>
          </cell>
          <cell r="K345">
            <v>123.69</v>
          </cell>
          <cell r="L345">
            <v>6252.375</v>
          </cell>
          <cell r="M345">
            <v>15948.916666666668</v>
          </cell>
          <cell r="N345">
            <v>17075.550000000003</v>
          </cell>
          <cell r="O345">
            <v>0.3686541863207547</v>
          </cell>
          <cell r="P345">
            <v>0.11232311320754716</v>
          </cell>
          <cell r="Q345">
            <v>1098.7000000000007</v>
          </cell>
          <cell r="R345">
            <v>1114.5166666666667</v>
          </cell>
          <cell r="S345">
            <v>13.209499999999998</v>
          </cell>
          <cell r="T345">
            <v>14.463749999999999</v>
          </cell>
          <cell r="U345">
            <v>1126.3732500000006</v>
          </cell>
          <cell r="V345">
            <v>5.5508908792001206</v>
          </cell>
          <cell r="W345">
            <v>0.25774296059815976</v>
          </cell>
          <cell r="Y345">
            <v>79.400000000000006</v>
          </cell>
          <cell r="Z345">
            <v>96.4</v>
          </cell>
          <cell r="AA345">
            <v>7654.1600000000008</v>
          </cell>
          <cell r="AB345">
            <v>1528</v>
          </cell>
          <cell r="AC345">
            <v>708</v>
          </cell>
          <cell r="AD345">
            <v>-820</v>
          </cell>
          <cell r="AE345">
            <v>0</v>
          </cell>
          <cell r="AF345">
            <v>0</v>
          </cell>
          <cell r="AG345">
            <v>271</v>
          </cell>
          <cell r="AH345">
            <v>168.02</v>
          </cell>
          <cell r="AI345">
            <v>277</v>
          </cell>
          <cell r="AJ345">
            <v>7279.1800000000012</v>
          </cell>
          <cell r="AK345">
            <v>16228.833333333332</v>
          </cell>
          <cell r="AL345">
            <v>20886.333333333336</v>
          </cell>
          <cell r="AM345">
            <v>0.35245145983634346</v>
          </cell>
          <cell r="AN345">
            <v>-3.97036750108943E-2</v>
          </cell>
          <cell r="AO345">
            <v>1531.8333333333335</v>
          </cell>
          <cell r="AP345">
            <v>1770.1833333333334</v>
          </cell>
          <cell r="AQ345">
            <v>0</v>
          </cell>
          <cell r="AR345">
            <v>19.647499999999997</v>
          </cell>
          <cell r="AS345">
            <v>1551.4808333333335</v>
          </cell>
          <cell r="AT345">
            <v>4.6917627621353146</v>
          </cell>
          <cell r="AU345">
            <v>0.47163957154447339</v>
          </cell>
          <cell r="AW345">
            <v>34.200000000000003</v>
          </cell>
          <cell r="AX345">
            <v>26.745000000000001</v>
          </cell>
          <cell r="AY345">
            <v>914.67900000000009</v>
          </cell>
          <cell r="AZ345">
            <v>156.80000000000001</v>
          </cell>
          <cell r="BA345">
            <v>0</v>
          </cell>
          <cell r="BB345">
            <v>-156.80000000000001</v>
          </cell>
          <cell r="BC345">
            <v>13.5</v>
          </cell>
          <cell r="BD345">
            <v>8.3699999999999992</v>
          </cell>
          <cell r="BE345">
            <v>0</v>
          </cell>
          <cell r="BF345">
            <v>0</v>
          </cell>
          <cell r="BG345">
            <v>766.24900000000014</v>
          </cell>
          <cell r="BH345">
            <v>850.62416666666661</v>
          </cell>
          <cell r="BI345">
            <v>896</v>
          </cell>
          <cell r="BJ345">
            <v>0.84950000000000014</v>
          </cell>
          <cell r="BK345">
            <v>-0.17383592017738361</v>
          </cell>
          <cell r="BL345">
            <v>131.7995561746539</v>
          </cell>
          <cell r="BM345">
            <v>116.2165784536741</v>
          </cell>
          <cell r="BN345">
            <v>0.9787499999999999</v>
          </cell>
          <cell r="BO345">
            <v>0</v>
          </cell>
          <cell r="BP345">
            <v>132.77830617465389</v>
          </cell>
          <cell r="BQ345">
            <v>5.7708900051194485</v>
          </cell>
          <cell r="BR345">
            <v>1.0753033311813189</v>
          </cell>
          <cell r="BT345">
            <v>6.07</v>
          </cell>
          <cell r="BU345">
            <v>57.341999999999999</v>
          </cell>
          <cell r="BV345">
            <v>348.06594000000001</v>
          </cell>
          <cell r="BW345">
            <v>160.9</v>
          </cell>
          <cell r="BX345">
            <v>1403.2380000000001</v>
          </cell>
          <cell r="BY345">
            <v>1242.338</v>
          </cell>
          <cell r="BZ345">
            <v>108.07599999999999</v>
          </cell>
          <cell r="CA345">
            <v>67.00712</v>
          </cell>
          <cell r="CB345">
            <v>135.209</v>
          </cell>
          <cell r="CC345">
            <v>83.829580000000007</v>
          </cell>
          <cell r="CD345">
            <v>1741.24064</v>
          </cell>
          <cell r="CE345">
            <v>2867.9963874999994</v>
          </cell>
          <cell r="CF345">
            <v>3177.2149026500001</v>
          </cell>
          <cell r="CG345">
            <v>0.55644321121372431</v>
          </cell>
          <cell r="CH345">
            <v>0.39701034437884236</v>
          </cell>
          <cell r="CI345">
            <v>261.13749999999999</v>
          </cell>
          <cell r="CJ345">
            <v>257.24302899531665</v>
          </cell>
          <cell r="CK345">
            <v>7.8355099999999993</v>
          </cell>
          <cell r="CL345">
            <v>9.8026524999999989</v>
          </cell>
          <cell r="CM345">
            <v>278.77566250000001</v>
          </cell>
          <cell r="CN345">
            <v>6.2460281661065009</v>
          </cell>
          <cell r="CO345">
            <v>0.12136205663194898</v>
          </cell>
          <cell r="CQ345">
            <v>25</v>
          </cell>
          <cell r="CR345">
            <v>100</v>
          </cell>
          <cell r="CS345">
            <v>2500</v>
          </cell>
          <cell r="CT345">
            <v>415</v>
          </cell>
          <cell r="CU345">
            <v>3710</v>
          </cell>
          <cell r="CV345">
            <v>3295</v>
          </cell>
          <cell r="CW345">
            <v>408</v>
          </cell>
          <cell r="CX345">
            <v>252.96</v>
          </cell>
          <cell r="CY345">
            <v>978</v>
          </cell>
          <cell r="CZ345">
            <v>606.36</v>
          </cell>
          <cell r="DE345">
            <v>6654.32</v>
          </cell>
          <cell r="DF345">
            <v>11425.166666666668</v>
          </cell>
          <cell r="DG345">
            <v>12083.75</v>
          </cell>
          <cell r="DH345">
            <v>0.55401881608525516</v>
          </cell>
          <cell r="DI345">
            <v>5.0483723253684123E-2</v>
          </cell>
          <cell r="DJ345">
            <v>1074.5</v>
          </cell>
          <cell r="DK345">
            <v>1080.7666666666664</v>
          </cell>
          <cell r="DL345">
            <v>29.58</v>
          </cell>
          <cell r="DM345">
            <v>70.905000000000001</v>
          </cell>
          <cell r="DN345">
            <v>1174.9849999999999</v>
          </cell>
          <cell r="DO345">
            <v>5.603708678425412</v>
          </cell>
          <cell r="DP345">
            <v>0.21881518869163102</v>
          </cell>
          <cell r="DR345">
            <v>10.100000000000001</v>
          </cell>
          <cell r="DS345">
            <v>125.7</v>
          </cell>
          <cell r="DT345">
            <v>1269.5700000000002</v>
          </cell>
          <cell r="DU345">
            <v>956</v>
          </cell>
          <cell r="DV345">
            <v>1818</v>
          </cell>
          <cell r="DW345">
            <v>862</v>
          </cell>
          <cell r="DX345">
            <v>870</v>
          </cell>
          <cell r="DY345">
            <v>539.4</v>
          </cell>
          <cell r="DZ345">
            <v>898</v>
          </cell>
          <cell r="EA345">
            <v>556.76</v>
          </cell>
          <cell r="EB345">
            <v>3227.7300000000005</v>
          </cell>
          <cell r="EC345">
            <v>18186.833333333336</v>
          </cell>
          <cell r="ED345">
            <v>18797.166666666664</v>
          </cell>
          <cell r="EE345">
            <v>0.17268899470333318</v>
          </cell>
          <cell r="EF345">
            <v>4.6118452731261035E-2</v>
          </cell>
          <cell r="EG345">
            <v>394.83333333333337</v>
          </cell>
          <cell r="EH345">
            <v>606</v>
          </cell>
          <cell r="EI345">
            <v>63.074999999999996</v>
          </cell>
          <cell r="EJ345">
            <v>65.10499999999999</v>
          </cell>
          <cell r="EK345">
            <v>523.01333333333332</v>
          </cell>
          <cell r="EL345">
            <v>6.171410544026922</v>
          </cell>
          <cell r="EM345">
            <v>6.9807094876329939E-2</v>
          </cell>
          <cell r="EO345">
            <v>13.39</v>
          </cell>
          <cell r="EP345">
            <v>40.375</v>
          </cell>
          <cell r="EQ345">
            <v>540.62125000000003</v>
          </cell>
          <cell r="ER345">
            <v>145</v>
          </cell>
          <cell r="ES345">
            <v>1430</v>
          </cell>
          <cell r="ET345">
            <v>1285</v>
          </cell>
          <cell r="EU345">
            <v>220</v>
          </cell>
          <cell r="EV345">
            <v>136.4</v>
          </cell>
          <cell r="EW345">
            <v>119</v>
          </cell>
          <cell r="EX345">
            <v>73.78</v>
          </cell>
          <cell r="EY345">
            <v>23</v>
          </cell>
          <cell r="EZ345">
            <v>2058.8012500000004</v>
          </cell>
          <cell r="FA345">
            <v>3842.166666666667</v>
          </cell>
          <cell r="FB345">
            <v>355.83333333333337</v>
          </cell>
          <cell r="FC345">
            <v>15.95</v>
          </cell>
          <cell r="FD345">
            <v>8.6274999999999995</v>
          </cell>
          <cell r="FE345">
            <v>380.41083333333336</v>
          </cell>
        </row>
        <row r="346">
          <cell r="A346">
            <v>38047</v>
          </cell>
          <cell r="B346">
            <v>61.65</v>
          </cell>
          <cell r="C346">
            <v>66.7</v>
          </cell>
          <cell r="D346">
            <v>4112.0550000000003</v>
          </cell>
          <cell r="E346">
            <v>146.69999999999999</v>
          </cell>
          <cell r="F346">
            <v>2059.2000000000003</v>
          </cell>
          <cell r="G346">
            <v>1912.5000000000002</v>
          </cell>
          <cell r="H346">
            <v>182.2</v>
          </cell>
          <cell r="I346">
            <v>112.964</v>
          </cell>
          <cell r="J346">
            <v>199.5</v>
          </cell>
          <cell r="K346">
            <v>123.69</v>
          </cell>
          <cell r="L346">
            <v>6261.2089999999998</v>
          </cell>
          <cell r="M346">
            <v>16050.025000000001</v>
          </cell>
          <cell r="N346">
            <v>17133.325000000004</v>
          </cell>
          <cell r="O346">
            <v>0.36917505896226416</v>
          </cell>
          <cell r="P346">
            <v>0.11276533018867926</v>
          </cell>
          <cell r="Q346">
            <v>1100.7500000000007</v>
          </cell>
          <cell r="R346">
            <v>1112.175</v>
          </cell>
          <cell r="S346">
            <v>13.209499999999998</v>
          </cell>
          <cell r="T346">
            <v>14.463749999999999</v>
          </cell>
          <cell r="U346">
            <v>1128.4232500000005</v>
          </cell>
          <cell r="V346">
            <v>5.5486352306193591</v>
          </cell>
          <cell r="W346">
            <v>0.25620240466915162</v>
          </cell>
          <cell r="Y346">
            <v>79.63</v>
          </cell>
          <cell r="Z346">
            <v>97.1</v>
          </cell>
          <cell r="AA346">
            <v>7732.0729999999994</v>
          </cell>
          <cell r="AB346">
            <v>1875</v>
          </cell>
          <cell r="AC346">
            <v>656</v>
          </cell>
          <cell r="AD346">
            <v>-1219</v>
          </cell>
          <cell r="AE346">
            <v>0</v>
          </cell>
          <cell r="AF346">
            <v>0</v>
          </cell>
          <cell r="AG346">
            <v>271</v>
          </cell>
          <cell r="AH346">
            <v>168.02</v>
          </cell>
          <cell r="AI346">
            <v>277</v>
          </cell>
          <cell r="AJ346">
            <v>6958.0929999999998</v>
          </cell>
          <cell r="AK346">
            <v>16671.25</v>
          </cell>
          <cell r="AL346">
            <v>21003.000000000004</v>
          </cell>
          <cell r="AM346">
            <v>0.33690471117997384</v>
          </cell>
          <cell r="AN346">
            <v>-5.9022902241805064E-2</v>
          </cell>
          <cell r="AO346">
            <v>1554.2500000000002</v>
          </cell>
          <cell r="AP346">
            <v>1777.2750000000001</v>
          </cell>
          <cell r="AQ346">
            <v>0</v>
          </cell>
          <cell r="AR346">
            <v>19.647499999999997</v>
          </cell>
          <cell r="AS346">
            <v>1573.8975000000003</v>
          </cell>
          <cell r="AT346">
            <v>4.4209314774310267</v>
          </cell>
          <cell r="AU346">
            <v>0.4637968358701357</v>
          </cell>
          <cell r="AW346">
            <v>35.700000000000003</v>
          </cell>
          <cell r="AX346">
            <v>26.745000000000001</v>
          </cell>
          <cell r="AY346">
            <v>954.79650000000015</v>
          </cell>
          <cell r="AZ346">
            <v>137.6</v>
          </cell>
          <cell r="BA346">
            <v>0</v>
          </cell>
          <cell r="BB346">
            <v>-137.6</v>
          </cell>
          <cell r="BC346">
            <v>13.5</v>
          </cell>
          <cell r="BD346">
            <v>8.3699999999999992</v>
          </cell>
          <cell r="BE346">
            <v>0</v>
          </cell>
          <cell r="BF346">
            <v>0</v>
          </cell>
          <cell r="BG346">
            <v>825.56650000000013</v>
          </cell>
          <cell r="BH346">
            <v>855.76174999999989</v>
          </cell>
          <cell r="BI346">
            <v>893</v>
          </cell>
          <cell r="BJ346">
            <v>0.91526219512195139</v>
          </cell>
          <cell r="BK346">
            <v>-0.152549889135255</v>
          </cell>
          <cell r="BL346">
            <v>130.44933426198085</v>
          </cell>
          <cell r="BM346">
            <v>115.1761991565495</v>
          </cell>
          <cell r="BN346">
            <v>0.9787499999999999</v>
          </cell>
          <cell r="BO346">
            <v>0</v>
          </cell>
          <cell r="BP346">
            <v>131.42808426198084</v>
          </cell>
          <cell r="BQ346">
            <v>6.2815075228089414</v>
          </cell>
          <cell r="BR346">
            <v>1.1157270116361244</v>
          </cell>
          <cell r="BT346">
            <v>4.9800000000000004</v>
          </cell>
          <cell r="BU346">
            <v>57.341999999999999</v>
          </cell>
          <cell r="BV346">
            <v>285.56316000000004</v>
          </cell>
          <cell r="BW346">
            <v>78.346000000000004</v>
          </cell>
          <cell r="BX346">
            <v>1402.6999999999998</v>
          </cell>
          <cell r="BY346">
            <v>1324.3539999999998</v>
          </cell>
          <cell r="BZ346">
            <v>108.07599999999999</v>
          </cell>
          <cell r="CA346">
            <v>67.00712</v>
          </cell>
          <cell r="CB346">
            <v>135.209</v>
          </cell>
          <cell r="CC346">
            <v>83.829580000000007</v>
          </cell>
          <cell r="CD346">
            <v>1760.75386</v>
          </cell>
          <cell r="CE346">
            <v>2894.1200812499992</v>
          </cell>
          <cell r="CF346">
            <v>3201.2056914750001</v>
          </cell>
          <cell r="CG346">
            <v>0.56267899422296996</v>
          </cell>
          <cell r="CH346">
            <v>0.42321995915724814</v>
          </cell>
          <cell r="CI346">
            <v>259.57374999999996</v>
          </cell>
          <cell r="CJ346">
            <v>263.11454349297497</v>
          </cell>
          <cell r="CK346">
            <v>7.8355099999999993</v>
          </cell>
          <cell r="CL346">
            <v>9.8026524999999989</v>
          </cell>
          <cell r="CM346">
            <v>277.21191249999998</v>
          </cell>
          <cell r="CN346">
            <v>6.3516529434859699</v>
          </cell>
          <cell r="CO346">
            <v>9.8670114571287063E-2</v>
          </cell>
          <cell r="CQ346">
            <v>22.1</v>
          </cell>
          <cell r="CR346">
            <v>100</v>
          </cell>
          <cell r="CS346">
            <v>2210</v>
          </cell>
          <cell r="CT346">
            <v>465</v>
          </cell>
          <cell r="CU346">
            <v>3314</v>
          </cell>
          <cell r="CV346">
            <v>2849</v>
          </cell>
          <cell r="CW346">
            <v>408</v>
          </cell>
          <cell r="CX346">
            <v>252.96</v>
          </cell>
          <cell r="CY346">
            <v>978</v>
          </cell>
          <cell r="CZ346">
            <v>606.36</v>
          </cell>
          <cell r="DE346">
            <v>5918.32</v>
          </cell>
          <cell r="DF346">
            <v>11483.750000000002</v>
          </cell>
          <cell r="DG346">
            <v>12120.125</v>
          </cell>
          <cell r="DH346">
            <v>0.49274165348430604</v>
          </cell>
          <cell r="DI346">
            <v>5.0483723253684123E-2</v>
          </cell>
          <cell r="DJ346">
            <v>1075.75</v>
          </cell>
          <cell r="DK346">
            <v>1077.6499999999996</v>
          </cell>
          <cell r="DL346">
            <v>29.58</v>
          </cell>
          <cell r="DM346">
            <v>70.905000000000001</v>
          </cell>
          <cell r="DN346">
            <v>1176.2349999999999</v>
          </cell>
          <cell r="DO346">
            <v>4.9839113757226405</v>
          </cell>
          <cell r="DP346">
            <v>0.19244584739305537</v>
          </cell>
          <cell r="DR346">
            <v>9.51</v>
          </cell>
          <cell r="DS346">
            <v>125.7</v>
          </cell>
          <cell r="DT346">
            <v>1195.4069999999999</v>
          </cell>
          <cell r="DU346">
            <v>1188</v>
          </cell>
          <cell r="DV346">
            <v>2221</v>
          </cell>
          <cell r="DW346">
            <v>1033</v>
          </cell>
          <cell r="DX346">
            <v>870</v>
          </cell>
          <cell r="DY346">
            <v>539.4</v>
          </cell>
          <cell r="DZ346">
            <v>898</v>
          </cell>
          <cell r="EA346">
            <v>556.76</v>
          </cell>
          <cell r="EB346">
            <v>3324.567</v>
          </cell>
          <cell r="EC346">
            <v>18237.250000000004</v>
          </cell>
          <cell r="ED346">
            <v>18850.249999999996</v>
          </cell>
          <cell r="EE346">
            <v>0.1778699374030282</v>
          </cell>
          <cell r="EF346">
            <v>5.526724091808892E-2</v>
          </cell>
          <cell r="EG346">
            <v>417.75000000000006</v>
          </cell>
          <cell r="EH346">
            <v>597</v>
          </cell>
          <cell r="EI346">
            <v>63.074999999999996</v>
          </cell>
          <cell r="EJ346">
            <v>65.10499999999999</v>
          </cell>
          <cell r="EK346">
            <v>545.93000000000006</v>
          </cell>
          <cell r="EL346">
            <v>6.0897312842305782</v>
          </cell>
          <cell r="EM346">
            <v>6.5547546916338795E-2</v>
          </cell>
          <cell r="EO346">
            <v>12.69</v>
          </cell>
          <cell r="EP346">
            <v>40.9</v>
          </cell>
          <cell r="EQ346">
            <v>519.02099999999996</v>
          </cell>
          <cell r="ER346">
            <v>149</v>
          </cell>
          <cell r="ES346">
            <v>1426</v>
          </cell>
          <cell r="ET346">
            <v>1277</v>
          </cell>
          <cell r="EU346">
            <v>220</v>
          </cell>
          <cell r="EV346">
            <v>136.4</v>
          </cell>
          <cell r="EW346">
            <v>119</v>
          </cell>
          <cell r="EX346">
            <v>73.78</v>
          </cell>
          <cell r="EY346">
            <v>23</v>
          </cell>
          <cell r="EZ346">
            <v>2029.201</v>
          </cell>
          <cell r="FA346">
            <v>3880.2500000000005</v>
          </cell>
          <cell r="FB346">
            <v>360.25000000000006</v>
          </cell>
          <cell r="FC346">
            <v>15.95</v>
          </cell>
          <cell r="FD346">
            <v>8.6274999999999995</v>
          </cell>
          <cell r="FE346">
            <v>384.82750000000004</v>
          </cell>
        </row>
        <row r="347">
          <cell r="A347">
            <v>38078</v>
          </cell>
          <cell r="B347">
            <v>60.620000000000005</v>
          </cell>
          <cell r="C347">
            <v>66.7</v>
          </cell>
          <cell r="D347">
            <v>4043.3540000000003</v>
          </cell>
          <cell r="E347">
            <v>146.69999999999999</v>
          </cell>
          <cell r="F347">
            <v>2059.2000000000003</v>
          </cell>
          <cell r="G347">
            <v>1912.5000000000002</v>
          </cell>
          <cell r="H347">
            <v>182.2</v>
          </cell>
          <cell r="I347">
            <v>112.964</v>
          </cell>
          <cell r="J347">
            <v>199.5</v>
          </cell>
          <cell r="K347">
            <v>123.69</v>
          </cell>
          <cell r="L347">
            <v>6192.5079999999998</v>
          </cell>
          <cell r="M347">
            <v>16151.133333333335</v>
          </cell>
          <cell r="N347">
            <v>17191.100000000006</v>
          </cell>
          <cell r="O347">
            <v>0.36512429245283018</v>
          </cell>
          <cell r="P347">
            <v>0.11276533018867926</v>
          </cell>
          <cell r="Q347">
            <v>1102.8000000000006</v>
          </cell>
          <cell r="R347">
            <v>1109.8333333333333</v>
          </cell>
          <cell r="S347">
            <v>13.209499999999998</v>
          </cell>
          <cell r="T347">
            <v>14.463749999999999</v>
          </cell>
          <cell r="U347">
            <v>1130.4732500000005</v>
          </cell>
          <cell r="V347">
            <v>5.4778014428912822</v>
          </cell>
          <cell r="W347">
            <v>0.25034490871641618</v>
          </cell>
          <cell r="Y347">
            <v>78.900000000000006</v>
          </cell>
          <cell r="Z347">
            <v>97.1</v>
          </cell>
          <cell r="AA347">
            <v>7661.1900000000005</v>
          </cell>
          <cell r="AB347">
            <v>1875</v>
          </cell>
          <cell r="AC347">
            <v>656</v>
          </cell>
          <cell r="AD347">
            <v>-1219</v>
          </cell>
          <cell r="AE347">
            <v>0</v>
          </cell>
          <cell r="AF347">
            <v>0</v>
          </cell>
          <cell r="AG347">
            <v>271</v>
          </cell>
          <cell r="AH347">
            <v>168.02</v>
          </cell>
          <cell r="AI347">
            <v>277</v>
          </cell>
          <cell r="AJ347">
            <v>6887.2100000000009</v>
          </cell>
          <cell r="AK347">
            <v>17113.666666666668</v>
          </cell>
          <cell r="AL347">
            <v>21119.666666666672</v>
          </cell>
          <cell r="AM347">
            <v>0.33347261898997727</v>
          </cell>
          <cell r="AN347">
            <v>-5.9022902241805064E-2</v>
          </cell>
          <cell r="AO347">
            <v>1576.666666666667</v>
          </cell>
          <cell r="AP347">
            <v>1784.3666666666668</v>
          </cell>
          <cell r="AQ347">
            <v>0</v>
          </cell>
          <cell r="AR347">
            <v>19.647499999999997</v>
          </cell>
          <cell r="AS347">
            <v>1596.314166666667</v>
          </cell>
          <cell r="AT347">
            <v>4.3144452037166863</v>
          </cell>
          <cell r="AU347">
            <v>0.44766502405484893</v>
          </cell>
          <cell r="AW347">
            <v>34.08</v>
          </cell>
          <cell r="AX347">
            <v>26.745000000000001</v>
          </cell>
          <cell r="AY347">
            <v>911.46960000000001</v>
          </cell>
          <cell r="AZ347">
            <v>137.6</v>
          </cell>
          <cell r="BA347">
            <v>0</v>
          </cell>
          <cell r="BB347">
            <v>-137.6</v>
          </cell>
          <cell r="BC347">
            <v>13.5</v>
          </cell>
          <cell r="BD347">
            <v>8.3699999999999992</v>
          </cell>
          <cell r="BE347">
            <v>0</v>
          </cell>
          <cell r="BF347">
            <v>0</v>
          </cell>
          <cell r="BG347">
            <v>782.2396</v>
          </cell>
          <cell r="BH347">
            <v>860.89933333333317</v>
          </cell>
          <cell r="BI347">
            <v>890</v>
          </cell>
          <cell r="BJ347">
            <v>0.86722793791574282</v>
          </cell>
          <cell r="BK347">
            <v>-0.152549889135255</v>
          </cell>
          <cell r="BL347">
            <v>129.0991123493078</v>
          </cell>
          <cell r="BM347">
            <v>114.1358198594249</v>
          </cell>
          <cell r="BN347">
            <v>0.9787499999999999</v>
          </cell>
          <cell r="BO347">
            <v>0</v>
          </cell>
          <cell r="BP347">
            <v>130.07786234930779</v>
          </cell>
          <cell r="BQ347">
            <v>6.0136258843137629</v>
          </cell>
          <cell r="BR347">
            <v>1.0587412078376954</v>
          </cell>
          <cell r="BT347">
            <v>5.12</v>
          </cell>
          <cell r="BU347">
            <v>57.341999999999999</v>
          </cell>
          <cell r="BV347">
            <v>293.59104000000002</v>
          </cell>
          <cell r="BW347">
            <v>78.346000000000004</v>
          </cell>
          <cell r="BX347">
            <v>1402.6999999999998</v>
          </cell>
          <cell r="BY347">
            <v>1324.3539999999998</v>
          </cell>
          <cell r="BZ347">
            <v>108.07599999999999</v>
          </cell>
          <cell r="CA347">
            <v>67.00712</v>
          </cell>
          <cell r="CB347">
            <v>135.209</v>
          </cell>
          <cell r="CC347">
            <v>83.829580000000007</v>
          </cell>
          <cell r="CD347">
            <v>1768.7817399999999</v>
          </cell>
          <cell r="CE347">
            <v>2920.243774999999</v>
          </cell>
          <cell r="CF347">
            <v>3225.1964803000001</v>
          </cell>
          <cell r="CG347">
            <v>0.56524444050524736</v>
          </cell>
          <cell r="CH347">
            <v>0.42321995915724814</v>
          </cell>
          <cell r="CI347">
            <v>258.00999999999993</v>
          </cell>
          <cell r="CJ347">
            <v>268.9860579906333</v>
          </cell>
          <cell r="CK347">
            <v>7.8355099999999993</v>
          </cell>
          <cell r="CL347">
            <v>9.8026524999999989</v>
          </cell>
          <cell r="CM347">
            <v>275.64816249999996</v>
          </cell>
          <cell r="CN347">
            <v>6.4168094717482482</v>
          </cell>
          <cell r="CO347">
            <v>0.10053648346532307</v>
          </cell>
          <cell r="CQ347">
            <v>20.98</v>
          </cell>
          <cell r="CR347">
            <v>98.9</v>
          </cell>
          <cell r="CS347">
            <v>2074.922</v>
          </cell>
          <cell r="CT347">
            <v>465</v>
          </cell>
          <cell r="CU347">
            <v>3314</v>
          </cell>
          <cell r="CV347">
            <v>2849</v>
          </cell>
          <cell r="CW347">
            <v>408</v>
          </cell>
          <cell r="CX347">
            <v>252.96</v>
          </cell>
          <cell r="CY347">
            <v>978</v>
          </cell>
          <cell r="CZ347">
            <v>606.36</v>
          </cell>
          <cell r="DE347">
            <v>5783.2420000000002</v>
          </cell>
          <cell r="DF347">
            <v>11542.333333333336</v>
          </cell>
          <cell r="DG347">
            <v>12156.5</v>
          </cell>
          <cell r="DH347">
            <v>0.48149546249271502</v>
          </cell>
          <cell r="DI347">
            <v>5.0483723253684123E-2</v>
          </cell>
          <cell r="DJ347">
            <v>1077</v>
          </cell>
          <cell r="DK347">
            <v>1074.5333333333328</v>
          </cell>
          <cell r="DL347">
            <v>29.58</v>
          </cell>
          <cell r="DM347">
            <v>70.905000000000001</v>
          </cell>
          <cell r="DN347">
            <v>1177.4849999999999</v>
          </cell>
          <cell r="DO347">
            <v>4.870160044126874</v>
          </cell>
          <cell r="DP347">
            <v>0.17976625176885086</v>
          </cell>
          <cell r="DR347">
            <v>10.86</v>
          </cell>
          <cell r="DS347">
            <v>125.7</v>
          </cell>
          <cell r="DT347">
            <v>1365.1019999999999</v>
          </cell>
          <cell r="DU347">
            <v>1188</v>
          </cell>
          <cell r="DV347">
            <v>2221</v>
          </cell>
          <cell r="DW347">
            <v>1033</v>
          </cell>
          <cell r="DX347">
            <v>870</v>
          </cell>
          <cell r="DY347">
            <v>539.4</v>
          </cell>
          <cell r="DZ347">
            <v>898</v>
          </cell>
          <cell r="EA347">
            <v>556.76</v>
          </cell>
          <cell r="EB347">
            <v>3494.2619999999997</v>
          </cell>
          <cell r="EC347">
            <v>18287.666666666672</v>
          </cell>
          <cell r="ED347">
            <v>18903.333333333328</v>
          </cell>
          <cell r="EE347">
            <v>0.18694890589053553</v>
          </cell>
          <cell r="EF347">
            <v>5.526724091808892E-2</v>
          </cell>
          <cell r="EG347">
            <v>440.66666666666674</v>
          </cell>
          <cell r="EH347">
            <v>588</v>
          </cell>
          <cell r="EI347">
            <v>63.074999999999996</v>
          </cell>
          <cell r="EJ347">
            <v>65.10499999999999</v>
          </cell>
          <cell r="EK347">
            <v>568.84666666666669</v>
          </cell>
          <cell r="EL347">
            <v>6.1427133263796918</v>
          </cell>
          <cell r="EM347">
            <v>7.4646045604505745E-2</v>
          </cell>
          <cell r="EO347">
            <v>13.8</v>
          </cell>
          <cell r="EP347">
            <v>40.9</v>
          </cell>
          <cell r="EQ347">
            <v>564.41999999999996</v>
          </cell>
          <cell r="ER347">
            <v>149</v>
          </cell>
          <cell r="ES347">
            <v>1426</v>
          </cell>
          <cell r="ET347">
            <v>1277</v>
          </cell>
          <cell r="EU347">
            <v>220</v>
          </cell>
          <cell r="EV347">
            <v>136.4</v>
          </cell>
          <cell r="EW347">
            <v>119</v>
          </cell>
          <cell r="EX347">
            <v>73.78</v>
          </cell>
          <cell r="EY347">
            <v>23</v>
          </cell>
          <cell r="EZ347">
            <v>2074.6000000000004</v>
          </cell>
          <cell r="FA347">
            <v>3918.3333333333339</v>
          </cell>
          <cell r="FB347">
            <v>364.66666666666674</v>
          </cell>
          <cell r="FC347">
            <v>15.95</v>
          </cell>
          <cell r="FD347">
            <v>8.6274999999999995</v>
          </cell>
          <cell r="FE347">
            <v>389.24416666666673</v>
          </cell>
        </row>
        <row r="348">
          <cell r="A348">
            <v>38108</v>
          </cell>
          <cell r="B348">
            <v>59.230000000000004</v>
          </cell>
          <cell r="C348">
            <v>66.7</v>
          </cell>
          <cell r="D348">
            <v>3950.6410000000005</v>
          </cell>
          <cell r="E348">
            <v>146.69999999999999</v>
          </cell>
          <cell r="F348">
            <v>2059.2000000000003</v>
          </cell>
          <cell r="G348">
            <v>1912.5000000000002</v>
          </cell>
          <cell r="H348">
            <v>182.2</v>
          </cell>
          <cell r="I348">
            <v>112.964</v>
          </cell>
          <cell r="J348">
            <v>199.5</v>
          </cell>
          <cell r="K348">
            <v>123.69</v>
          </cell>
          <cell r="L348">
            <v>6099.7950000000001</v>
          </cell>
          <cell r="M348">
            <v>16252.241666666669</v>
          </cell>
          <cell r="N348">
            <v>17248.875000000007</v>
          </cell>
          <cell r="O348">
            <v>0.35965772405660379</v>
          </cell>
          <cell r="P348">
            <v>0.11276533018867926</v>
          </cell>
          <cell r="Q348">
            <v>1104.8500000000006</v>
          </cell>
          <cell r="R348">
            <v>1107.4916666666666</v>
          </cell>
          <cell r="S348">
            <v>13.209499999999998</v>
          </cell>
          <cell r="T348">
            <v>14.463749999999999</v>
          </cell>
          <cell r="U348">
            <v>1132.5232500000004</v>
          </cell>
          <cell r="V348">
            <v>5.3860218763720722</v>
          </cell>
          <cell r="W348">
            <v>0.24308283626515112</v>
          </cell>
          <cell r="Y348">
            <v>80.2</v>
          </cell>
          <cell r="Z348">
            <v>97.1</v>
          </cell>
          <cell r="AA348">
            <v>7787.42</v>
          </cell>
          <cell r="AB348">
            <v>1875</v>
          </cell>
          <cell r="AC348">
            <v>656</v>
          </cell>
          <cell r="AD348">
            <v>-1219</v>
          </cell>
          <cell r="AE348">
            <v>0</v>
          </cell>
          <cell r="AF348">
            <v>0</v>
          </cell>
          <cell r="AG348">
            <v>271</v>
          </cell>
          <cell r="AH348">
            <v>168.02</v>
          </cell>
          <cell r="AI348">
            <v>277</v>
          </cell>
          <cell r="AJ348">
            <v>7013.4400000000005</v>
          </cell>
          <cell r="AK348">
            <v>17556.083333333336</v>
          </cell>
          <cell r="AL348">
            <v>21236.333333333339</v>
          </cell>
          <cell r="AM348">
            <v>0.33958456398586162</v>
          </cell>
          <cell r="AN348">
            <v>-5.9022902241805064E-2</v>
          </cell>
          <cell r="AO348">
            <v>1599.0833333333337</v>
          </cell>
          <cell r="AP348">
            <v>1791.4583333333335</v>
          </cell>
          <cell r="AQ348">
            <v>0</v>
          </cell>
          <cell r="AR348">
            <v>19.647499999999997</v>
          </cell>
          <cell r="AS348">
            <v>1618.7308333333337</v>
          </cell>
          <cell r="AT348">
            <v>4.3326783277227987</v>
          </cell>
          <cell r="AU348">
            <v>0.44357387989918018</v>
          </cell>
          <cell r="AW348">
            <v>32.65</v>
          </cell>
          <cell r="AX348">
            <v>26.745000000000001</v>
          </cell>
          <cell r="AY348">
            <v>873.22424999999998</v>
          </cell>
          <cell r="AZ348">
            <v>137.6</v>
          </cell>
          <cell r="BA348">
            <v>0</v>
          </cell>
          <cell r="BB348">
            <v>-137.6</v>
          </cell>
          <cell r="BC348">
            <v>13.5</v>
          </cell>
          <cell r="BD348">
            <v>8.3699999999999992</v>
          </cell>
          <cell r="BE348">
            <v>0</v>
          </cell>
          <cell r="BF348">
            <v>0</v>
          </cell>
          <cell r="BG348">
            <v>743.99424999999997</v>
          </cell>
          <cell r="BH348">
            <v>866.03691666666646</v>
          </cell>
          <cell r="BI348">
            <v>887</v>
          </cell>
          <cell r="BJ348">
            <v>0.82482732815964521</v>
          </cell>
          <cell r="BK348">
            <v>-0.152549889135255</v>
          </cell>
          <cell r="BL348">
            <v>127.74889043663474</v>
          </cell>
          <cell r="BM348">
            <v>113.0954405623003</v>
          </cell>
          <cell r="BN348">
            <v>0.9787499999999999</v>
          </cell>
          <cell r="BO348">
            <v>0</v>
          </cell>
          <cell r="BP348">
            <v>128.72764043663474</v>
          </cell>
          <cell r="BQ348">
            <v>5.7795998394472692</v>
          </cell>
          <cell r="BR348">
            <v>1.0082991073417484</v>
          </cell>
          <cell r="BT348">
            <v>3.71</v>
          </cell>
          <cell r="BU348">
            <v>57.341999999999999</v>
          </cell>
          <cell r="BV348">
            <v>212.73882</v>
          </cell>
          <cell r="BW348">
            <v>78.346000000000004</v>
          </cell>
          <cell r="BX348">
            <v>1402.6999999999998</v>
          </cell>
          <cell r="BY348">
            <v>1324.3539999999998</v>
          </cell>
          <cell r="BZ348">
            <v>108.07599999999999</v>
          </cell>
          <cell r="CA348">
            <v>67.00712</v>
          </cell>
          <cell r="CB348">
            <v>135.209</v>
          </cell>
          <cell r="CC348">
            <v>83.829580000000007</v>
          </cell>
          <cell r="CD348">
            <v>1687.9295199999999</v>
          </cell>
          <cell r="CE348">
            <v>2946.3674687499988</v>
          </cell>
          <cell r="CF348">
            <v>3249.1872691250001</v>
          </cell>
          <cell r="CG348">
            <v>0.53940673151945284</v>
          </cell>
          <cell r="CH348">
            <v>0.42321995915724814</v>
          </cell>
          <cell r="CI348">
            <v>256.44624999999991</v>
          </cell>
          <cell r="CJ348">
            <v>274.85757248829162</v>
          </cell>
          <cell r="CK348">
            <v>7.8355099999999993</v>
          </cell>
          <cell r="CL348">
            <v>9.8026524999999989</v>
          </cell>
          <cell r="CM348">
            <v>274.08441249999993</v>
          </cell>
          <cell r="CN348">
            <v>6.1584294582969044</v>
          </cell>
          <cell r="CO348">
            <v>7.220376353471443E-2</v>
          </cell>
          <cell r="CQ348">
            <v>19.64</v>
          </cell>
          <cell r="CR348">
            <v>98.9</v>
          </cell>
          <cell r="CS348">
            <v>1942.3960000000002</v>
          </cell>
          <cell r="CT348">
            <v>465</v>
          </cell>
          <cell r="CU348">
            <v>3314</v>
          </cell>
          <cell r="CV348">
            <v>2849</v>
          </cell>
          <cell r="CW348">
            <v>408</v>
          </cell>
          <cell r="CX348">
            <v>252.96</v>
          </cell>
          <cell r="CY348">
            <v>978</v>
          </cell>
          <cell r="CZ348">
            <v>606.36</v>
          </cell>
          <cell r="DE348">
            <v>5650.7160000000003</v>
          </cell>
          <cell r="DF348">
            <v>11600.91666666667</v>
          </cell>
          <cell r="DG348">
            <v>12192.875</v>
          </cell>
          <cell r="DH348">
            <v>0.47046174340188163</v>
          </cell>
          <cell r="DI348">
            <v>5.0483723253684123E-2</v>
          </cell>
          <cell r="DJ348">
            <v>1078.25</v>
          </cell>
          <cell r="DK348">
            <v>1071.4166666666661</v>
          </cell>
          <cell r="DL348">
            <v>29.58</v>
          </cell>
          <cell r="DM348">
            <v>70.905000000000001</v>
          </cell>
          <cell r="DN348">
            <v>1178.7349999999999</v>
          </cell>
          <cell r="DO348">
            <v>4.7585577923089559</v>
          </cell>
          <cell r="DP348">
            <v>0.16743469984412149</v>
          </cell>
          <cell r="DR348">
            <v>10.96</v>
          </cell>
          <cell r="DS348">
            <v>125.7</v>
          </cell>
          <cell r="DT348">
            <v>1377.672</v>
          </cell>
          <cell r="DU348">
            <v>1188</v>
          </cell>
          <cell r="DV348">
            <v>2221</v>
          </cell>
          <cell r="DW348">
            <v>1033</v>
          </cell>
          <cell r="DX348">
            <v>870</v>
          </cell>
          <cell r="DY348">
            <v>539.4</v>
          </cell>
          <cell r="DZ348">
            <v>898</v>
          </cell>
          <cell r="EA348">
            <v>556.76</v>
          </cell>
          <cell r="EB348">
            <v>3506.8320000000003</v>
          </cell>
          <cell r="EC348">
            <v>18338.083333333339</v>
          </cell>
          <cell r="ED348">
            <v>18956.416666666661</v>
          </cell>
          <cell r="EE348">
            <v>0.18762142207479537</v>
          </cell>
          <cell r="EF348">
            <v>5.526724091808892E-2</v>
          </cell>
          <cell r="EG348">
            <v>463.58333333333343</v>
          </cell>
          <cell r="EH348">
            <v>579</v>
          </cell>
          <cell r="EI348">
            <v>63.074999999999996</v>
          </cell>
          <cell r="EJ348">
            <v>65.10499999999999</v>
          </cell>
          <cell r="EK348">
            <v>591.76333333333343</v>
          </cell>
          <cell r="EL348">
            <v>5.9260717967205352</v>
          </cell>
          <cell r="EM348">
            <v>7.5126280918125732E-2</v>
          </cell>
          <cell r="EO348">
            <v>12.77</v>
          </cell>
          <cell r="EP348">
            <v>41.869593999999999</v>
          </cell>
          <cell r="EQ348">
            <v>534.67471537999995</v>
          </cell>
          <cell r="ER348">
            <v>149</v>
          </cell>
          <cell r="ES348">
            <v>1426</v>
          </cell>
          <cell r="ET348">
            <v>1277</v>
          </cell>
          <cell r="EU348">
            <v>220</v>
          </cell>
          <cell r="EV348">
            <v>136.4</v>
          </cell>
          <cell r="EW348">
            <v>119</v>
          </cell>
          <cell r="EX348">
            <v>73.78</v>
          </cell>
          <cell r="EY348">
            <v>23</v>
          </cell>
          <cell r="EZ348">
            <v>2044.85471538</v>
          </cell>
          <cell r="FA348">
            <v>3956.4166666666674</v>
          </cell>
          <cell r="FB348">
            <v>369.08333333333343</v>
          </cell>
          <cell r="FC348">
            <v>15.95</v>
          </cell>
          <cell r="FD348">
            <v>8.6274999999999995</v>
          </cell>
          <cell r="FE348">
            <v>393.66083333333341</v>
          </cell>
        </row>
        <row r="349">
          <cell r="A349">
            <v>38139</v>
          </cell>
          <cell r="B349">
            <v>58.99</v>
          </cell>
          <cell r="C349">
            <v>66.7</v>
          </cell>
          <cell r="D349">
            <v>3934.6330000000003</v>
          </cell>
          <cell r="E349">
            <v>148.80000000000001</v>
          </cell>
          <cell r="F349">
            <v>2049.4</v>
          </cell>
          <cell r="G349">
            <v>1900.6000000000001</v>
          </cell>
          <cell r="H349">
            <v>182.2</v>
          </cell>
          <cell r="I349">
            <v>112.964</v>
          </cell>
          <cell r="J349">
            <v>199.5</v>
          </cell>
          <cell r="K349">
            <v>123.69</v>
          </cell>
          <cell r="L349">
            <v>6071.8869999999997</v>
          </cell>
          <cell r="M349">
            <v>16353.350000000002</v>
          </cell>
          <cell r="N349">
            <v>17306.650000000009</v>
          </cell>
          <cell r="O349">
            <v>0.35801220518867921</v>
          </cell>
          <cell r="P349">
            <v>0.11206367924528303</v>
          </cell>
          <cell r="Q349">
            <v>1106.9000000000005</v>
          </cell>
          <cell r="R349">
            <v>1105.1499999999999</v>
          </cell>
          <cell r="S349">
            <v>13.209499999999998</v>
          </cell>
          <cell r="T349">
            <v>14.463749999999999</v>
          </cell>
          <cell r="U349">
            <v>1134.5732500000004</v>
          </cell>
          <cell r="V349">
            <v>5.351692365389364</v>
          </cell>
          <cell r="W349">
            <v>0.24060103893086124</v>
          </cell>
          <cell r="Y349">
            <v>85.17</v>
          </cell>
          <cell r="Z349">
            <v>97.1</v>
          </cell>
          <cell r="AA349">
            <v>8270.0069999999996</v>
          </cell>
          <cell r="AB349">
            <v>1958</v>
          </cell>
          <cell r="AC349">
            <v>632</v>
          </cell>
          <cell r="AD349">
            <v>-1326</v>
          </cell>
          <cell r="AE349">
            <v>0</v>
          </cell>
          <cell r="AF349">
            <v>0</v>
          </cell>
          <cell r="AG349">
            <v>271</v>
          </cell>
          <cell r="AH349">
            <v>168.02</v>
          </cell>
          <cell r="AI349">
            <v>277</v>
          </cell>
          <cell r="AJ349">
            <v>7389.027</v>
          </cell>
          <cell r="AK349">
            <v>17998.500000000004</v>
          </cell>
          <cell r="AL349">
            <v>21353.000000000007</v>
          </cell>
          <cell r="AM349">
            <v>0.35777015445697963</v>
          </cell>
          <cell r="AN349">
            <v>-6.4203747639568098E-2</v>
          </cell>
          <cell r="AO349">
            <v>1621.5000000000005</v>
          </cell>
          <cell r="AP349">
            <v>1798.5500000000002</v>
          </cell>
          <cell r="AQ349">
            <v>0</v>
          </cell>
          <cell r="AR349">
            <v>19.647499999999997</v>
          </cell>
          <cell r="AS349">
            <v>1641.1475000000005</v>
          </cell>
          <cell r="AT349">
            <v>4.5023539931663654</v>
          </cell>
          <cell r="AU349">
            <v>0.45948312359363269</v>
          </cell>
          <cell r="AW349">
            <v>33.450000000000003</v>
          </cell>
          <cell r="AX349">
            <v>26.745000000000001</v>
          </cell>
          <cell r="AY349">
            <v>894.62025000000006</v>
          </cell>
          <cell r="AZ349">
            <v>137.6</v>
          </cell>
          <cell r="BA349">
            <v>0</v>
          </cell>
          <cell r="BB349">
            <v>-137.6</v>
          </cell>
          <cell r="BC349">
            <v>13.5</v>
          </cell>
          <cell r="BD349">
            <v>8.3699999999999992</v>
          </cell>
          <cell r="BE349">
            <v>0</v>
          </cell>
          <cell r="BF349">
            <v>0</v>
          </cell>
          <cell r="BG349">
            <v>765.39025000000004</v>
          </cell>
          <cell r="BH349">
            <v>871.17449999999974</v>
          </cell>
          <cell r="BI349">
            <v>884</v>
          </cell>
          <cell r="BJ349">
            <v>0.84854794900221731</v>
          </cell>
          <cell r="BK349">
            <v>-0.152549889135255</v>
          </cell>
          <cell r="BL349">
            <v>126.39866852396167</v>
          </cell>
          <cell r="BM349">
            <v>112.05506126517569</v>
          </cell>
          <cell r="BN349">
            <v>0.9787499999999999</v>
          </cell>
          <cell r="BO349">
            <v>0</v>
          </cell>
          <cell r="BP349">
            <v>127.37741852396168</v>
          </cell>
          <cell r="BQ349">
            <v>6.0088378212502258</v>
          </cell>
          <cell r="BR349">
            <v>1.0269128056434162</v>
          </cell>
          <cell r="BT349">
            <v>3.64</v>
          </cell>
          <cell r="BU349">
            <v>57.341999999999999</v>
          </cell>
          <cell r="BV349">
            <v>208.72488000000001</v>
          </cell>
          <cell r="BW349">
            <v>193</v>
          </cell>
          <cell r="BX349">
            <v>1415</v>
          </cell>
          <cell r="BY349">
            <v>1222</v>
          </cell>
          <cell r="BZ349">
            <v>108.07599999999999</v>
          </cell>
          <cell r="CA349">
            <v>67.00712</v>
          </cell>
          <cell r="CB349">
            <v>135.209</v>
          </cell>
          <cell r="CC349">
            <v>83.829580000000007</v>
          </cell>
          <cell r="CD349">
            <v>1581.56158</v>
          </cell>
          <cell r="CE349">
            <v>2972.4911624999986</v>
          </cell>
          <cell r="CF349">
            <v>3273.17805795</v>
          </cell>
          <cell r="CG349">
            <v>0.50541503804290466</v>
          </cell>
          <cell r="CH349">
            <v>0.39051098882183866</v>
          </cell>
          <cell r="CI349">
            <v>254.88249999999991</v>
          </cell>
          <cell r="CJ349">
            <v>280.72908698594995</v>
          </cell>
          <cell r="CK349">
            <v>7.8355099999999993</v>
          </cell>
          <cell r="CL349">
            <v>9.8026524999999989</v>
          </cell>
          <cell r="CM349">
            <v>272.52066249999996</v>
          </cell>
          <cell r="CN349">
            <v>5.8034556554037451</v>
          </cell>
          <cell r="CO349">
            <v>7.021883954886278E-2</v>
          </cell>
          <cell r="CQ349">
            <v>18.850000000000001</v>
          </cell>
          <cell r="CR349">
            <v>98.9</v>
          </cell>
          <cell r="CS349">
            <v>1864.2650000000003</v>
          </cell>
          <cell r="CT349">
            <v>534</v>
          </cell>
          <cell r="CU349">
            <v>3243</v>
          </cell>
          <cell r="CV349">
            <v>2709</v>
          </cell>
          <cell r="CW349">
            <v>408</v>
          </cell>
          <cell r="CX349">
            <v>252.96</v>
          </cell>
          <cell r="CY349">
            <v>978</v>
          </cell>
          <cell r="CZ349">
            <v>606.36</v>
          </cell>
          <cell r="DE349">
            <v>5432.585</v>
          </cell>
          <cell r="DF349">
            <v>11659.500000000004</v>
          </cell>
          <cell r="DG349">
            <v>12229.25</v>
          </cell>
          <cell r="DH349">
            <v>0.4523008075930397</v>
          </cell>
          <cell r="DI349">
            <v>5.0483723253684123E-2</v>
          </cell>
          <cell r="DJ349">
            <v>1079.5</v>
          </cell>
          <cell r="DK349">
            <v>1068.2999999999993</v>
          </cell>
          <cell r="DL349">
            <v>29.58</v>
          </cell>
          <cell r="DM349">
            <v>70.905000000000001</v>
          </cell>
          <cell r="DN349">
            <v>1179.9849999999999</v>
          </cell>
          <cell r="DO349">
            <v>4.5748662088363226</v>
          </cell>
          <cell r="DP349">
            <v>0.15989236245122002</v>
          </cell>
          <cell r="DR349">
            <v>11.67</v>
          </cell>
          <cell r="DS349">
            <v>125.7</v>
          </cell>
          <cell r="DT349">
            <v>1466.9190000000001</v>
          </cell>
          <cell r="DU349">
            <v>1010</v>
          </cell>
          <cell r="DV349">
            <v>1930</v>
          </cell>
          <cell r="DW349">
            <v>920</v>
          </cell>
          <cell r="DX349">
            <v>870</v>
          </cell>
          <cell r="DY349">
            <v>539.4</v>
          </cell>
          <cell r="DZ349">
            <v>898</v>
          </cell>
          <cell r="EA349">
            <v>556.76</v>
          </cell>
          <cell r="EB349">
            <v>3483.0789999999997</v>
          </cell>
          <cell r="EC349">
            <v>18388.500000000007</v>
          </cell>
          <cell r="ED349">
            <v>19009.499999999993</v>
          </cell>
          <cell r="EE349">
            <v>0.1863505965437911</v>
          </cell>
          <cell r="EF349">
            <v>4.9221550478840081E-2</v>
          </cell>
          <cell r="EG349">
            <v>486.50000000000011</v>
          </cell>
          <cell r="EH349">
            <v>570</v>
          </cell>
          <cell r="EI349">
            <v>63.074999999999996</v>
          </cell>
          <cell r="EJ349">
            <v>65.10499999999999</v>
          </cell>
          <cell r="EK349">
            <v>614.68000000000018</v>
          </cell>
          <cell r="EL349">
            <v>5.666491507776402</v>
          </cell>
          <cell r="EM349">
            <v>7.9773717268945235E-2</v>
          </cell>
          <cell r="EO349">
            <v>13.23</v>
          </cell>
          <cell r="EP349">
            <v>41.1</v>
          </cell>
          <cell r="EQ349">
            <v>543.75300000000004</v>
          </cell>
          <cell r="ER349">
            <v>166</v>
          </cell>
          <cell r="ES349">
            <v>1419</v>
          </cell>
          <cell r="ET349">
            <v>1253</v>
          </cell>
          <cell r="EU349">
            <v>220</v>
          </cell>
          <cell r="EV349">
            <v>136.4</v>
          </cell>
          <cell r="EW349">
            <v>119</v>
          </cell>
          <cell r="EX349">
            <v>73.78</v>
          </cell>
          <cell r="EY349">
            <v>23</v>
          </cell>
          <cell r="EZ349">
            <v>2029.9330000000002</v>
          </cell>
          <cell r="FA349">
            <v>3994.5000000000009</v>
          </cell>
          <cell r="FB349">
            <v>373.50000000000011</v>
          </cell>
          <cell r="FC349">
            <v>15.95</v>
          </cell>
          <cell r="FD349">
            <v>8.6274999999999995</v>
          </cell>
          <cell r="FE349">
            <v>398.0775000000001</v>
          </cell>
        </row>
        <row r="350">
          <cell r="A350">
            <v>38169</v>
          </cell>
          <cell r="B350">
            <v>55.13</v>
          </cell>
          <cell r="C350">
            <v>66.7</v>
          </cell>
          <cell r="D350">
            <v>3677.1710000000003</v>
          </cell>
          <cell r="E350">
            <v>148.80000000000001</v>
          </cell>
          <cell r="F350">
            <v>2049.4</v>
          </cell>
          <cell r="G350">
            <v>1900.6000000000001</v>
          </cell>
          <cell r="H350">
            <v>182.2</v>
          </cell>
          <cell r="I350">
            <v>112.964</v>
          </cell>
          <cell r="J350">
            <v>199.5</v>
          </cell>
          <cell r="K350">
            <v>123.69</v>
          </cell>
          <cell r="L350">
            <v>5814.4250000000002</v>
          </cell>
          <cell r="M350">
            <v>16454.458333333336</v>
          </cell>
          <cell r="N350">
            <v>17364.42500000001</v>
          </cell>
          <cell r="O350">
            <v>0.34283166273584909</v>
          </cell>
          <cell r="P350">
            <v>0.11206367924528303</v>
          </cell>
          <cell r="Q350">
            <v>1108.9500000000005</v>
          </cell>
          <cell r="R350">
            <v>1102.8083333333332</v>
          </cell>
          <cell r="S350">
            <v>13.209499999999998</v>
          </cell>
          <cell r="T350">
            <v>14.463749999999999</v>
          </cell>
          <cell r="U350">
            <v>1136.6232500000003</v>
          </cell>
          <cell r="V350">
            <v>5.1155253070883413</v>
          </cell>
          <cell r="W350">
            <v>0.22347566389048559</v>
          </cell>
          <cell r="Y350">
            <v>80.5</v>
          </cell>
          <cell r="Z350">
            <v>97.1</v>
          </cell>
          <cell r="AA350">
            <v>7816.5499999999993</v>
          </cell>
          <cell r="AB350">
            <v>1958</v>
          </cell>
          <cell r="AC350">
            <v>632</v>
          </cell>
          <cell r="AD350">
            <v>-1326</v>
          </cell>
          <cell r="AE350">
            <v>0</v>
          </cell>
          <cell r="AF350">
            <v>0</v>
          </cell>
          <cell r="AG350">
            <v>271</v>
          </cell>
          <cell r="AH350">
            <v>168.02</v>
          </cell>
          <cell r="AI350">
            <v>277</v>
          </cell>
          <cell r="AJ350">
            <v>6935.57</v>
          </cell>
          <cell r="AK350">
            <v>18440.916666666672</v>
          </cell>
          <cell r="AL350">
            <v>21469.666666666675</v>
          </cell>
          <cell r="AM350">
            <v>0.33581416743330267</v>
          </cell>
          <cell r="AN350">
            <v>-6.4203747639568098E-2</v>
          </cell>
          <cell r="AO350">
            <v>1643.9166666666672</v>
          </cell>
          <cell r="AP350">
            <v>1805.6416666666669</v>
          </cell>
          <cell r="AQ350">
            <v>0</v>
          </cell>
          <cell r="AR350">
            <v>19.647499999999997</v>
          </cell>
          <cell r="AS350">
            <v>1663.5641666666672</v>
          </cell>
          <cell r="AT350">
            <v>4.1691027848339672</v>
          </cell>
          <cell r="AU350">
            <v>0.42386992692879494</v>
          </cell>
          <cell r="AW350">
            <v>32.69</v>
          </cell>
          <cell r="AX350">
            <v>26.745000000000001</v>
          </cell>
          <cell r="AY350">
            <v>874.29404999999997</v>
          </cell>
          <cell r="AZ350">
            <v>137.6</v>
          </cell>
          <cell r="BA350">
            <v>0</v>
          </cell>
          <cell r="BB350">
            <v>-137.6</v>
          </cell>
          <cell r="BC350">
            <v>13.5</v>
          </cell>
          <cell r="BD350">
            <v>8.3699999999999992</v>
          </cell>
          <cell r="BE350">
            <v>0</v>
          </cell>
          <cell r="BF350">
            <v>0</v>
          </cell>
          <cell r="BG350">
            <v>745.06404999999995</v>
          </cell>
          <cell r="BH350">
            <v>876.31208333333302</v>
          </cell>
          <cell r="BI350">
            <v>881</v>
          </cell>
          <cell r="BJ350">
            <v>0.82601335920177377</v>
          </cell>
          <cell r="BK350">
            <v>-0.152549889135255</v>
          </cell>
          <cell r="BL350">
            <v>125.04844661128861</v>
          </cell>
          <cell r="BM350">
            <v>111.01468196805109</v>
          </cell>
          <cell r="BN350">
            <v>0.9787499999999999</v>
          </cell>
          <cell r="BO350">
            <v>0</v>
          </cell>
          <cell r="BP350">
            <v>126.02719661128862</v>
          </cell>
          <cell r="BQ350">
            <v>5.9119306787251222</v>
          </cell>
          <cell r="BR350">
            <v>0.99769712939977184</v>
          </cell>
          <cell r="BT350">
            <v>3.15</v>
          </cell>
          <cell r="BU350">
            <v>57.341999999999999</v>
          </cell>
          <cell r="BV350">
            <v>180.62729999999999</v>
          </cell>
          <cell r="BW350">
            <v>193</v>
          </cell>
          <cell r="BX350">
            <v>1415</v>
          </cell>
          <cell r="BY350">
            <v>1222</v>
          </cell>
          <cell r="BZ350">
            <v>108.07599999999999</v>
          </cell>
          <cell r="CA350">
            <v>67.00712</v>
          </cell>
          <cell r="CB350">
            <v>135.209</v>
          </cell>
          <cell r="CC350">
            <v>83.829580000000007</v>
          </cell>
          <cell r="CD350">
            <v>1553.4640000000002</v>
          </cell>
          <cell r="CE350">
            <v>2998.6148562499984</v>
          </cell>
          <cell r="CF350">
            <v>3297.168846775</v>
          </cell>
          <cell r="CG350">
            <v>0.49643597605493356</v>
          </cell>
          <cell r="CH350">
            <v>0.39051098882183866</v>
          </cell>
          <cell r="CI350">
            <v>253.31874999999991</v>
          </cell>
          <cell r="CJ350">
            <v>286.60060148360827</v>
          </cell>
          <cell r="CK350">
            <v>7.8355099999999993</v>
          </cell>
          <cell r="CL350">
            <v>9.8026524999999989</v>
          </cell>
          <cell r="CM350">
            <v>270.95691249999993</v>
          </cell>
          <cell r="CN350">
            <v>5.7332510385761077</v>
          </cell>
          <cell r="CO350">
            <v>6.0236912260845835E-2</v>
          </cell>
          <cell r="CQ350">
            <v>20.8</v>
          </cell>
          <cell r="CR350">
            <v>98.9</v>
          </cell>
          <cell r="CS350">
            <v>2057.1200000000003</v>
          </cell>
          <cell r="CT350">
            <v>534</v>
          </cell>
          <cell r="CU350">
            <v>3243</v>
          </cell>
          <cell r="CV350">
            <v>2709</v>
          </cell>
          <cell r="CW350">
            <v>408</v>
          </cell>
          <cell r="CX350">
            <v>252.96</v>
          </cell>
          <cell r="CY350">
            <v>978</v>
          </cell>
          <cell r="CZ350">
            <v>606.36</v>
          </cell>
          <cell r="DE350">
            <v>5625.4400000000005</v>
          </cell>
          <cell r="DF350">
            <v>11718.083333333338</v>
          </cell>
          <cell r="DG350">
            <v>12265.625</v>
          </cell>
          <cell r="DH350">
            <v>0.46835733910581973</v>
          </cell>
          <cell r="DI350">
            <v>5.0483723253684123E-2</v>
          </cell>
          <cell r="DJ350">
            <v>1080.75</v>
          </cell>
          <cell r="DK350">
            <v>1065.1833333333325</v>
          </cell>
          <cell r="DL350">
            <v>29.58</v>
          </cell>
          <cell r="DM350">
            <v>70.905000000000001</v>
          </cell>
          <cell r="DN350">
            <v>1181.2349999999999</v>
          </cell>
          <cell r="DO350">
            <v>4.7372724708101588</v>
          </cell>
          <cell r="DP350">
            <v>0.17555089356194481</v>
          </cell>
          <cell r="DR350">
            <v>10.28</v>
          </cell>
          <cell r="DS350">
            <v>125.7</v>
          </cell>
          <cell r="DT350">
            <v>1292.1959999999999</v>
          </cell>
          <cell r="DU350">
            <v>1010</v>
          </cell>
          <cell r="DV350">
            <v>1930</v>
          </cell>
          <cell r="DW350">
            <v>920</v>
          </cell>
          <cell r="DX350">
            <v>870</v>
          </cell>
          <cell r="DY350">
            <v>539.4</v>
          </cell>
          <cell r="DZ350">
            <v>898</v>
          </cell>
          <cell r="EA350">
            <v>556.76</v>
          </cell>
          <cell r="EB350">
            <v>3308.3559999999998</v>
          </cell>
          <cell r="EC350">
            <v>18438.916666666675</v>
          </cell>
          <cell r="ED350">
            <v>19062.583333333325</v>
          </cell>
          <cell r="EE350">
            <v>0.17700262158257984</v>
          </cell>
          <cell r="EF350">
            <v>4.9221550478840081E-2</v>
          </cell>
          <cell r="EG350">
            <v>509.4166666666668</v>
          </cell>
          <cell r="EH350">
            <v>561</v>
          </cell>
          <cell r="EI350">
            <v>63.074999999999996</v>
          </cell>
          <cell r="EJ350">
            <v>65.10499999999999</v>
          </cell>
          <cell r="EK350">
            <v>637.59666666666681</v>
          </cell>
          <cell r="EL350">
            <v>5.1887912421123055</v>
          </cell>
          <cell r="EM350">
            <v>7.0079822115362844E-2</v>
          </cell>
          <cell r="EO350">
            <v>13.91</v>
          </cell>
          <cell r="EP350">
            <v>41.869593999999999</v>
          </cell>
          <cell r="EQ350">
            <v>582.40605254000002</v>
          </cell>
          <cell r="ER350">
            <v>149</v>
          </cell>
          <cell r="ES350">
            <v>1426</v>
          </cell>
          <cell r="ET350">
            <v>1277</v>
          </cell>
          <cell r="EU350">
            <v>220</v>
          </cell>
          <cell r="EV350">
            <v>136.4</v>
          </cell>
          <cell r="EW350">
            <v>119</v>
          </cell>
          <cell r="EX350">
            <v>73.78</v>
          </cell>
          <cell r="EY350">
            <v>23</v>
          </cell>
          <cell r="EZ350">
            <v>2092.5860525400003</v>
          </cell>
          <cell r="FA350">
            <v>4032.5833333333344</v>
          </cell>
          <cell r="FB350">
            <v>377.9166666666668</v>
          </cell>
          <cell r="FC350">
            <v>15.95</v>
          </cell>
          <cell r="FD350">
            <v>8.6274999999999995</v>
          </cell>
          <cell r="FE350">
            <v>402.49416666666679</v>
          </cell>
        </row>
        <row r="351">
          <cell r="A351">
            <v>38200</v>
          </cell>
          <cell r="B351">
            <v>53.88</v>
          </cell>
          <cell r="C351">
            <v>66.7</v>
          </cell>
          <cell r="D351">
            <v>3593.7960000000003</v>
          </cell>
          <cell r="E351">
            <v>148.80000000000001</v>
          </cell>
          <cell r="F351">
            <v>2049.4</v>
          </cell>
          <cell r="G351">
            <v>1900.6000000000001</v>
          </cell>
          <cell r="H351">
            <v>182.2</v>
          </cell>
          <cell r="I351">
            <v>112.964</v>
          </cell>
          <cell r="J351">
            <v>199.5</v>
          </cell>
          <cell r="K351">
            <v>123.69</v>
          </cell>
          <cell r="L351">
            <v>5731.05</v>
          </cell>
          <cell r="M351">
            <v>16555.566666666669</v>
          </cell>
          <cell r="N351">
            <v>17422.200000000012</v>
          </cell>
          <cell r="O351">
            <v>0.33791568396226418</v>
          </cell>
          <cell r="P351">
            <v>0.11206367924528303</v>
          </cell>
          <cell r="Q351">
            <v>1111.0000000000005</v>
          </cell>
          <cell r="R351">
            <v>1100.4666666666665</v>
          </cell>
          <cell r="S351">
            <v>13.209499999999998</v>
          </cell>
          <cell r="T351">
            <v>14.463749999999999</v>
          </cell>
          <cell r="U351">
            <v>1138.6732500000003</v>
          </cell>
          <cell r="V351">
            <v>5.0330944368808161</v>
          </cell>
          <cell r="W351">
            <v>0.21707478048672449</v>
          </cell>
          <cell r="Y351">
            <v>74.5</v>
          </cell>
          <cell r="Z351">
            <v>97.1</v>
          </cell>
          <cell r="AA351">
            <v>7233.95</v>
          </cell>
          <cell r="AB351">
            <v>1958</v>
          </cell>
          <cell r="AC351">
            <v>632</v>
          </cell>
          <cell r="AD351">
            <v>-1326</v>
          </cell>
          <cell r="AE351">
            <v>0</v>
          </cell>
          <cell r="AF351">
            <v>0</v>
          </cell>
          <cell r="AG351">
            <v>271</v>
          </cell>
          <cell r="AH351">
            <v>168.02</v>
          </cell>
          <cell r="AI351">
            <v>277</v>
          </cell>
          <cell r="AJ351">
            <v>6352.97</v>
          </cell>
          <cell r="AK351">
            <v>18883.333333333339</v>
          </cell>
          <cell r="AL351">
            <v>21586.333333333343</v>
          </cell>
          <cell r="AM351">
            <v>0.30760519052922097</v>
          </cell>
          <cell r="AN351">
            <v>-6.4203747639568098E-2</v>
          </cell>
          <cell r="AO351">
            <v>1666.3333333333339</v>
          </cell>
          <cell r="AP351">
            <v>1812.7333333333336</v>
          </cell>
          <cell r="AQ351">
            <v>0</v>
          </cell>
          <cell r="AR351">
            <v>19.647499999999997</v>
          </cell>
          <cell r="AS351">
            <v>1685.980833333334</v>
          </cell>
          <cell r="AT351">
            <v>3.7681151970391111</v>
          </cell>
          <cell r="AU351">
            <v>0.38308649602824346</v>
          </cell>
          <cell r="AW351">
            <v>31.700000000000003</v>
          </cell>
          <cell r="AX351">
            <v>26.745000000000001</v>
          </cell>
          <cell r="AY351">
            <v>847.81650000000013</v>
          </cell>
          <cell r="AZ351">
            <v>137.6</v>
          </cell>
          <cell r="BA351">
            <v>0</v>
          </cell>
          <cell r="BB351">
            <v>-137.6</v>
          </cell>
          <cell r="BC351">
            <v>13.5</v>
          </cell>
          <cell r="BD351">
            <v>8.3699999999999992</v>
          </cell>
          <cell r="BE351">
            <v>0</v>
          </cell>
          <cell r="BF351">
            <v>0</v>
          </cell>
          <cell r="BG351">
            <v>718.58650000000011</v>
          </cell>
          <cell r="BH351">
            <v>881.4496666666663</v>
          </cell>
          <cell r="BI351">
            <v>878</v>
          </cell>
          <cell r="BJ351">
            <v>0.79665909090909104</v>
          </cell>
          <cell r="BK351">
            <v>-0.152549889135255</v>
          </cell>
          <cell r="BL351">
            <v>123.69822469861555</v>
          </cell>
          <cell r="BM351">
            <v>109.97430267092649</v>
          </cell>
          <cell r="BN351">
            <v>0.9787499999999999</v>
          </cell>
          <cell r="BO351">
            <v>0</v>
          </cell>
          <cell r="BP351">
            <v>124.67697469861555</v>
          </cell>
          <cell r="BQ351">
            <v>5.7635862735445365</v>
          </cell>
          <cell r="BR351">
            <v>0.96184334972426155</v>
          </cell>
          <cell r="BT351">
            <v>2.98</v>
          </cell>
          <cell r="BU351">
            <v>57.341999999999999</v>
          </cell>
          <cell r="BV351">
            <v>170.87915999999998</v>
          </cell>
          <cell r="BW351">
            <v>193</v>
          </cell>
          <cell r="BX351">
            <v>1415</v>
          </cell>
          <cell r="BY351">
            <v>1222</v>
          </cell>
          <cell r="BZ351">
            <v>108.07599999999999</v>
          </cell>
          <cell r="CA351">
            <v>67.00712</v>
          </cell>
          <cell r="CB351">
            <v>135.209</v>
          </cell>
          <cell r="CC351">
            <v>83.829580000000007</v>
          </cell>
          <cell r="CD351">
            <v>1543.71586</v>
          </cell>
          <cell r="CE351">
            <v>3024.7385499999982</v>
          </cell>
          <cell r="CF351">
            <v>3321.1596356</v>
          </cell>
          <cell r="CG351">
            <v>0.49332079128359657</v>
          </cell>
          <cell r="CH351">
            <v>0.39051098882183866</v>
          </cell>
          <cell r="CI351">
            <v>251.75499999999991</v>
          </cell>
          <cell r="CJ351">
            <v>292.4721159812666</v>
          </cell>
          <cell r="CK351">
            <v>7.8355099999999993</v>
          </cell>
          <cell r="CL351">
            <v>9.8026524999999989</v>
          </cell>
          <cell r="CM351">
            <v>269.3931624999999</v>
          </cell>
          <cell r="CN351">
            <v>5.7303453646489659</v>
          </cell>
          <cell r="CO351">
            <v>5.6493861262818926E-2</v>
          </cell>
          <cell r="CQ351">
            <v>19.47</v>
          </cell>
          <cell r="CR351">
            <v>98.9</v>
          </cell>
          <cell r="CS351">
            <v>1925.5830000000001</v>
          </cell>
          <cell r="CT351">
            <v>534</v>
          </cell>
          <cell r="CU351">
            <v>3243</v>
          </cell>
          <cell r="CV351">
            <v>2709</v>
          </cell>
          <cell r="CW351">
            <v>408</v>
          </cell>
          <cell r="CX351">
            <v>252.96</v>
          </cell>
          <cell r="CY351">
            <v>978</v>
          </cell>
          <cell r="CZ351">
            <v>606.36</v>
          </cell>
          <cell r="DE351">
            <v>5493.9030000000002</v>
          </cell>
          <cell r="DF351">
            <v>11776.666666666672</v>
          </cell>
          <cell r="DG351">
            <v>12302</v>
          </cell>
          <cell r="DH351">
            <v>0.45740596120223131</v>
          </cell>
          <cell r="DI351">
            <v>5.0483723253684123E-2</v>
          </cell>
          <cell r="DJ351">
            <v>1082</v>
          </cell>
          <cell r="DK351">
            <v>1062.0666666666657</v>
          </cell>
          <cell r="DL351">
            <v>29.58</v>
          </cell>
          <cell r="DM351">
            <v>70.905000000000001</v>
          </cell>
          <cell r="DN351">
            <v>1182.4849999999999</v>
          </cell>
          <cell r="DO351">
            <v>4.6265030716177478</v>
          </cell>
          <cell r="DP351">
            <v>0.16350832153976785</v>
          </cell>
          <cell r="DR351">
            <v>9.33</v>
          </cell>
          <cell r="DS351">
            <v>125.7</v>
          </cell>
          <cell r="DT351">
            <v>1172.7809999999999</v>
          </cell>
          <cell r="DU351">
            <v>1010</v>
          </cell>
          <cell r="DV351">
            <v>1930</v>
          </cell>
          <cell r="DW351">
            <v>920</v>
          </cell>
          <cell r="DX351">
            <v>870</v>
          </cell>
          <cell r="DY351">
            <v>539.4</v>
          </cell>
          <cell r="DZ351">
            <v>898</v>
          </cell>
          <cell r="EA351">
            <v>556.76</v>
          </cell>
          <cell r="EB351">
            <v>3188.9409999999998</v>
          </cell>
          <cell r="EC351">
            <v>18489.333333333343</v>
          </cell>
          <cell r="ED351">
            <v>19115.666666666657</v>
          </cell>
          <cell r="EE351">
            <v>0.17061371783211171</v>
          </cell>
          <cell r="EF351">
            <v>4.9221550478840081E-2</v>
          </cell>
          <cell r="EG351">
            <v>532.33333333333348</v>
          </cell>
          <cell r="EH351">
            <v>552</v>
          </cell>
          <cell r="EI351">
            <v>63.074999999999996</v>
          </cell>
          <cell r="EJ351">
            <v>65.10499999999999</v>
          </cell>
          <cell r="EK351">
            <v>660.51333333333355</v>
          </cell>
          <cell r="EL351">
            <v>4.8279736972253886</v>
          </cell>
          <cell r="EM351">
            <v>6.3430139900483129E-2</v>
          </cell>
          <cell r="EO351">
            <v>13.44</v>
          </cell>
          <cell r="EP351">
            <v>41.869593999999999</v>
          </cell>
          <cell r="EQ351">
            <v>565.23951899999997</v>
          </cell>
          <cell r="ER351">
            <v>149</v>
          </cell>
          <cell r="ES351">
            <v>1426</v>
          </cell>
          <cell r="ET351">
            <v>1277</v>
          </cell>
          <cell r="EU351">
            <v>220</v>
          </cell>
          <cell r="EV351">
            <v>136.4</v>
          </cell>
          <cell r="EW351">
            <v>119</v>
          </cell>
          <cell r="EX351">
            <v>73.78</v>
          </cell>
          <cell r="EY351">
            <v>23</v>
          </cell>
          <cell r="EZ351">
            <v>2075.419519</v>
          </cell>
          <cell r="FA351">
            <v>4070.6666666666679</v>
          </cell>
          <cell r="FB351">
            <v>382.33333333333348</v>
          </cell>
          <cell r="FC351">
            <v>15.95</v>
          </cell>
          <cell r="FD351">
            <v>8.6274999999999995</v>
          </cell>
          <cell r="FE351">
            <v>406.91083333333347</v>
          </cell>
        </row>
        <row r="352">
          <cell r="A352">
            <v>38231</v>
          </cell>
          <cell r="B352">
            <v>54.45</v>
          </cell>
          <cell r="C352">
            <v>66.7</v>
          </cell>
          <cell r="D352">
            <v>3631.8150000000005</v>
          </cell>
          <cell r="E352">
            <v>501.6</v>
          </cell>
          <cell r="F352">
            <v>2490.8000000000002</v>
          </cell>
          <cell r="G352">
            <v>1989.2000000000003</v>
          </cell>
          <cell r="H352">
            <v>182.2</v>
          </cell>
          <cell r="I352">
            <v>112.964</v>
          </cell>
          <cell r="J352">
            <v>199.5</v>
          </cell>
          <cell r="K352">
            <v>123.69</v>
          </cell>
          <cell r="L352">
            <v>5857.6690000000008</v>
          </cell>
          <cell r="M352">
            <v>16656.675000000003</v>
          </cell>
          <cell r="N352">
            <v>17479.975000000013</v>
          </cell>
          <cell r="O352">
            <v>0.34538142688679252</v>
          </cell>
          <cell r="P352">
            <v>0.11728773584905662</v>
          </cell>
          <cell r="Q352">
            <v>1113.0500000000004</v>
          </cell>
          <cell r="R352">
            <v>1098.1249999999998</v>
          </cell>
          <cell r="S352">
            <v>13.209499999999998</v>
          </cell>
          <cell r="T352">
            <v>14.463749999999999</v>
          </cell>
          <cell r="U352">
            <v>1140.7232500000002</v>
          </cell>
          <cell r="V352">
            <v>5.1350483125508308</v>
          </cell>
          <cell r="W352">
            <v>0.21803961474904204</v>
          </cell>
          <cell r="Y352">
            <v>74.08</v>
          </cell>
          <cell r="Z352">
            <v>97.1</v>
          </cell>
          <cell r="AA352">
            <v>7193.1679999999997</v>
          </cell>
          <cell r="AB352">
            <v>1601</v>
          </cell>
          <cell r="AC352">
            <v>992</v>
          </cell>
          <cell r="AD352">
            <v>-609</v>
          </cell>
          <cell r="AE352">
            <v>0</v>
          </cell>
          <cell r="AF352">
            <v>0</v>
          </cell>
          <cell r="AG352">
            <v>271</v>
          </cell>
          <cell r="AH352">
            <v>168.02</v>
          </cell>
          <cell r="AI352">
            <v>277</v>
          </cell>
          <cell r="AJ352">
            <v>7029.1880000000001</v>
          </cell>
          <cell r="AK352">
            <v>19325.750000000007</v>
          </cell>
          <cell r="AL352">
            <v>21703.000000000011</v>
          </cell>
          <cell r="AM352">
            <v>0.34034706822253424</v>
          </cell>
          <cell r="AN352">
            <v>-2.9487241562969061E-2</v>
          </cell>
          <cell r="AO352">
            <v>1688.7500000000007</v>
          </cell>
          <cell r="AP352">
            <v>1819.8250000000003</v>
          </cell>
          <cell r="AQ352">
            <v>0</v>
          </cell>
          <cell r="AR352">
            <v>19.647499999999997</v>
          </cell>
          <cell r="AS352">
            <v>1708.3975000000007</v>
          </cell>
          <cell r="AT352">
            <v>4.1144920898093078</v>
          </cell>
          <cell r="AU352">
            <v>0.37220640854818038</v>
          </cell>
          <cell r="AW352">
            <v>29.95</v>
          </cell>
          <cell r="AX352">
            <v>26.745000000000001</v>
          </cell>
          <cell r="AY352">
            <v>801.01274999999998</v>
          </cell>
          <cell r="AZ352">
            <v>137.6</v>
          </cell>
          <cell r="BA352">
            <v>0</v>
          </cell>
          <cell r="BB352">
            <v>-137.6</v>
          </cell>
          <cell r="BC352">
            <v>13.5</v>
          </cell>
          <cell r="BD352">
            <v>8.3699999999999992</v>
          </cell>
          <cell r="BE352">
            <v>0</v>
          </cell>
          <cell r="BF352">
            <v>0</v>
          </cell>
          <cell r="BG352">
            <v>671.78274999999996</v>
          </cell>
          <cell r="BH352">
            <v>886.58724999999959</v>
          </cell>
          <cell r="BI352">
            <v>875</v>
          </cell>
          <cell r="BJ352">
            <v>0.74477023281596444</v>
          </cell>
          <cell r="BK352">
            <v>-0.152549889135255</v>
          </cell>
          <cell r="BL352">
            <v>122.34800278594248</v>
          </cell>
          <cell r="BM352">
            <v>108.93392337380189</v>
          </cell>
          <cell r="BN352">
            <v>0.9787499999999999</v>
          </cell>
          <cell r="BO352">
            <v>0</v>
          </cell>
          <cell r="BP352">
            <v>123.32675278594249</v>
          </cell>
          <cell r="BQ352">
            <v>5.4471778006351084</v>
          </cell>
          <cell r="BR352">
            <v>0.90347876083262013</v>
          </cell>
          <cell r="BT352">
            <v>2.09</v>
          </cell>
          <cell r="BU352">
            <v>58.292999999999999</v>
          </cell>
          <cell r="BV352">
            <v>121.83236999999998</v>
          </cell>
          <cell r="BW352">
            <v>144.97999999999999</v>
          </cell>
          <cell r="BX352">
            <v>1491.3</v>
          </cell>
          <cell r="BY352">
            <v>1346.32</v>
          </cell>
          <cell r="BZ352">
            <v>108.07599999999999</v>
          </cell>
          <cell r="CA352">
            <v>67.00712</v>
          </cell>
          <cell r="CB352">
            <v>135.209</v>
          </cell>
          <cell r="CC352">
            <v>83.829580000000007</v>
          </cell>
          <cell r="CD352">
            <v>1618.9890700000001</v>
          </cell>
          <cell r="CE352">
            <v>3050.862243749998</v>
          </cell>
          <cell r="CF352">
            <v>3345.150424425</v>
          </cell>
          <cell r="CG352">
            <v>0.51737563225650485</v>
          </cell>
          <cell r="CH352">
            <v>0.43023956994322238</v>
          </cell>
          <cell r="CI352">
            <v>250.19124999999991</v>
          </cell>
          <cell r="CJ352">
            <v>298.34363047892492</v>
          </cell>
          <cell r="CK352">
            <v>7.8355099999999993</v>
          </cell>
          <cell r="CL352">
            <v>9.8026524999999989</v>
          </cell>
          <cell r="CM352">
            <v>267.82941249999993</v>
          </cell>
          <cell r="CN352">
            <v>6.0448516646766732</v>
          </cell>
          <cell r="CO352">
            <v>3.9933749958584987E-2</v>
          </cell>
          <cell r="CQ352">
            <v>18.850000000000001</v>
          </cell>
          <cell r="CR352">
            <v>98.9</v>
          </cell>
          <cell r="CS352">
            <v>1864.2650000000003</v>
          </cell>
          <cell r="CT352">
            <v>534</v>
          </cell>
          <cell r="CU352">
            <v>3243</v>
          </cell>
          <cell r="CV352">
            <v>2709</v>
          </cell>
          <cell r="CW352">
            <v>408</v>
          </cell>
          <cell r="CX352">
            <v>252.96</v>
          </cell>
          <cell r="CY352">
            <v>978</v>
          </cell>
          <cell r="CZ352">
            <v>606.36</v>
          </cell>
          <cell r="DE352">
            <v>5432.585</v>
          </cell>
          <cell r="DF352">
            <v>11835.250000000005</v>
          </cell>
          <cell r="DG352">
            <v>12338.375</v>
          </cell>
          <cell r="DH352">
            <v>0.4523008075930397</v>
          </cell>
          <cell r="DI352">
            <v>5.0483723253684123E-2</v>
          </cell>
          <cell r="DJ352">
            <v>1083.25</v>
          </cell>
          <cell r="DK352">
            <v>1058.9499999999989</v>
          </cell>
          <cell r="DL352">
            <v>29.58</v>
          </cell>
          <cell r="DM352">
            <v>70.905000000000001</v>
          </cell>
          <cell r="DN352">
            <v>1183.7349999999999</v>
          </cell>
          <cell r="DO352">
            <v>4.5748662088363226</v>
          </cell>
          <cell r="DP352">
            <v>0.15751800764664875</v>
          </cell>
          <cell r="DR352">
            <v>7.99</v>
          </cell>
          <cell r="DS352">
            <v>125.7</v>
          </cell>
          <cell r="DT352">
            <v>1004.3430000000001</v>
          </cell>
          <cell r="DU352">
            <v>734</v>
          </cell>
          <cell r="DV352">
            <v>2015</v>
          </cell>
          <cell r="DW352">
            <v>1281</v>
          </cell>
          <cell r="DX352">
            <v>870</v>
          </cell>
          <cell r="DY352">
            <v>539.4</v>
          </cell>
          <cell r="DZ352">
            <v>898</v>
          </cell>
          <cell r="EA352">
            <v>556.76</v>
          </cell>
          <cell r="EB352">
            <v>3381.5029999999997</v>
          </cell>
          <cell r="EC352">
            <v>18539.750000000011</v>
          </cell>
          <cell r="ED352">
            <v>19168.749999999989</v>
          </cell>
          <cell r="EE352">
            <v>0.18091610935744473</v>
          </cell>
          <cell r="EF352">
            <v>6.853565887325451E-2</v>
          </cell>
          <cell r="EG352">
            <v>555.25000000000011</v>
          </cell>
          <cell r="EH352">
            <v>543</v>
          </cell>
          <cell r="EI352">
            <v>63.074999999999996</v>
          </cell>
          <cell r="EJ352">
            <v>65.10499999999999</v>
          </cell>
          <cell r="EK352">
            <v>683.43000000000018</v>
          </cell>
          <cell r="EL352">
            <v>4.9478410371215764</v>
          </cell>
          <cell r="EM352">
            <v>5.4172413328119284E-2</v>
          </cell>
          <cell r="EO352">
            <v>13.100000000000001</v>
          </cell>
          <cell r="EP352">
            <v>41.7</v>
          </cell>
          <cell r="EQ352">
            <v>565.23951899999997</v>
          </cell>
          <cell r="ER352">
            <v>203</v>
          </cell>
          <cell r="ES352">
            <v>1423</v>
          </cell>
          <cell r="ET352">
            <v>1277</v>
          </cell>
          <cell r="EU352">
            <v>220</v>
          </cell>
          <cell r="EV352">
            <v>136.4</v>
          </cell>
          <cell r="EW352">
            <v>119</v>
          </cell>
          <cell r="EX352">
            <v>73.78</v>
          </cell>
          <cell r="EY352">
            <v>23</v>
          </cell>
          <cell r="EZ352">
            <v>2075.419519</v>
          </cell>
          <cell r="FA352">
            <v>4108.7500000000009</v>
          </cell>
          <cell r="FB352">
            <v>386.75000000000017</v>
          </cell>
          <cell r="FC352">
            <v>15.95</v>
          </cell>
          <cell r="FD352">
            <v>8.6274999999999995</v>
          </cell>
          <cell r="FE352">
            <v>411.32750000000016</v>
          </cell>
        </row>
        <row r="353">
          <cell r="A353">
            <v>38261</v>
          </cell>
          <cell r="B353">
            <v>53.92</v>
          </cell>
          <cell r="C353">
            <v>66.7</v>
          </cell>
          <cell r="D353">
            <v>3596.4640000000004</v>
          </cell>
          <cell r="E353">
            <v>501.6</v>
          </cell>
          <cell r="F353">
            <v>2490.8000000000002</v>
          </cell>
          <cell r="G353">
            <v>1989.2000000000003</v>
          </cell>
          <cell r="H353">
            <v>182.2</v>
          </cell>
          <cell r="I353">
            <v>112.964</v>
          </cell>
          <cell r="J353">
            <v>199.5</v>
          </cell>
          <cell r="K353">
            <v>123.69</v>
          </cell>
          <cell r="L353">
            <v>5822.3180000000002</v>
          </cell>
          <cell r="M353">
            <v>16757.783333333336</v>
          </cell>
          <cell r="N353">
            <v>17537.750000000015</v>
          </cell>
          <cell r="O353">
            <v>0.34329705188679249</v>
          </cell>
          <cell r="P353">
            <v>0.11728773584905662</v>
          </cell>
          <cell r="Q353">
            <v>1115.1000000000004</v>
          </cell>
          <cell r="R353">
            <v>1095.7833333333331</v>
          </cell>
          <cell r="S353">
            <v>13.209499999999998</v>
          </cell>
          <cell r="T353">
            <v>14.463749999999999</v>
          </cell>
          <cell r="U353">
            <v>1142.7732500000002</v>
          </cell>
          <cell r="V353">
            <v>5.0949022476681174</v>
          </cell>
          <cell r="W353">
            <v>0.21461454229726085</v>
          </cell>
          <cell r="Y353">
            <v>72.95</v>
          </cell>
          <cell r="Z353">
            <v>97.1</v>
          </cell>
          <cell r="AA353">
            <v>7083.4449999999997</v>
          </cell>
          <cell r="AB353">
            <v>1601</v>
          </cell>
          <cell r="AC353">
            <v>992</v>
          </cell>
          <cell r="AD353">
            <v>-609</v>
          </cell>
          <cell r="AE353">
            <v>0</v>
          </cell>
          <cell r="AF353">
            <v>0</v>
          </cell>
          <cell r="AG353">
            <v>271</v>
          </cell>
          <cell r="AH353">
            <v>168.02</v>
          </cell>
          <cell r="AI353">
            <v>277</v>
          </cell>
          <cell r="AJ353">
            <v>6919.4650000000001</v>
          </cell>
          <cell r="AK353">
            <v>19768.166666666675</v>
          </cell>
          <cell r="AL353">
            <v>21819.666666666679</v>
          </cell>
          <cell r="AM353">
            <v>0.33503437757226556</v>
          </cell>
          <cell r="AN353">
            <v>-2.9487241562969061E-2</v>
          </cell>
          <cell r="AO353">
            <v>1711.1666666666674</v>
          </cell>
          <cell r="AP353">
            <v>1826.916666666667</v>
          </cell>
          <cell r="AQ353">
            <v>0</v>
          </cell>
          <cell r="AR353">
            <v>19.647499999999997</v>
          </cell>
          <cell r="AS353">
            <v>1730.8141666666675</v>
          </cell>
          <cell r="AT353">
            <v>3.9978093161359016</v>
          </cell>
          <cell r="AU353">
            <v>0.3583258437386706</v>
          </cell>
          <cell r="AW353">
            <v>27.27</v>
          </cell>
          <cell r="AX353">
            <v>26.745000000000001</v>
          </cell>
          <cell r="AY353">
            <v>729.33614999999998</v>
          </cell>
          <cell r="AZ353">
            <v>137.6</v>
          </cell>
          <cell r="BA353">
            <v>0</v>
          </cell>
          <cell r="BB353">
            <v>-137.6</v>
          </cell>
          <cell r="BC353">
            <v>13.5</v>
          </cell>
          <cell r="BD353">
            <v>8.3699999999999992</v>
          </cell>
          <cell r="BE353">
            <v>0</v>
          </cell>
          <cell r="BF353">
            <v>0</v>
          </cell>
          <cell r="BG353">
            <v>600.10614999999996</v>
          </cell>
          <cell r="BH353">
            <v>891.72483333333287</v>
          </cell>
          <cell r="BI353">
            <v>872</v>
          </cell>
          <cell r="BJ353">
            <v>0.66530615299334805</v>
          </cell>
          <cell r="BK353">
            <v>-0.152549889135255</v>
          </cell>
          <cell r="BL353">
            <v>120.99778087326942</v>
          </cell>
          <cell r="BM353">
            <v>107.89354407667729</v>
          </cell>
          <cell r="BN353">
            <v>0.9787499999999999</v>
          </cell>
          <cell r="BO353">
            <v>0</v>
          </cell>
          <cell r="BP353">
            <v>121.97653087326943</v>
          </cell>
          <cell r="BQ353">
            <v>4.9198492997271357</v>
          </cell>
          <cell r="BR353">
            <v>0.8178937299230391</v>
          </cell>
          <cell r="BT353">
            <v>1.49</v>
          </cell>
          <cell r="BU353">
            <v>58.292999999999999</v>
          </cell>
          <cell r="BV353">
            <v>86.856570000000005</v>
          </cell>
          <cell r="BW353">
            <v>144.97999999999999</v>
          </cell>
          <cell r="BX353">
            <v>1491.3</v>
          </cell>
          <cell r="BY353">
            <v>1346.32</v>
          </cell>
          <cell r="BZ353">
            <v>108.07599999999999</v>
          </cell>
          <cell r="CA353">
            <v>67.00712</v>
          </cell>
          <cell r="CB353">
            <v>135.209</v>
          </cell>
          <cell r="CC353">
            <v>83.829580000000007</v>
          </cell>
          <cell r="CD353">
            <v>1584.0132699999999</v>
          </cell>
          <cell r="CE353">
            <v>3076.9859374999978</v>
          </cell>
          <cell r="CF353">
            <v>3369.14121325</v>
          </cell>
          <cell r="CG353">
            <v>0.5061985174915008</v>
          </cell>
          <cell r="CH353">
            <v>0.43023956994322238</v>
          </cell>
          <cell r="CI353">
            <v>248.62749999999991</v>
          </cell>
          <cell r="CJ353">
            <v>304.21514497658325</v>
          </cell>
          <cell r="CK353">
            <v>7.8355099999999993</v>
          </cell>
          <cell r="CL353">
            <v>9.8026524999999989</v>
          </cell>
          <cell r="CM353">
            <v>266.26566249999996</v>
          </cell>
          <cell r="CN353">
            <v>5.9489956576732839</v>
          </cell>
          <cell r="CO353">
            <v>2.8227808564692234E-2</v>
          </cell>
          <cell r="CQ353">
            <v>18.36</v>
          </cell>
          <cell r="CR353">
            <v>98.9</v>
          </cell>
          <cell r="CS353">
            <v>1815.8040000000001</v>
          </cell>
          <cell r="CT353">
            <v>534</v>
          </cell>
          <cell r="CU353">
            <v>3243</v>
          </cell>
          <cell r="CV353">
            <v>2709</v>
          </cell>
          <cell r="CW353">
            <v>408</v>
          </cell>
          <cell r="CX353">
            <v>252.96</v>
          </cell>
          <cell r="CY353">
            <v>978</v>
          </cell>
          <cell r="CZ353">
            <v>606.36</v>
          </cell>
          <cell r="DE353">
            <v>5384.1239999999998</v>
          </cell>
          <cell r="DF353">
            <v>11893.833333333339</v>
          </cell>
          <cell r="DG353">
            <v>12374.75</v>
          </cell>
          <cell r="DH353">
            <v>0.44826608941803348</v>
          </cell>
          <cell r="DI353">
            <v>5.0483723253684123E-2</v>
          </cell>
          <cell r="DJ353">
            <v>1084.5</v>
          </cell>
          <cell r="DK353">
            <v>1055.8333333333321</v>
          </cell>
          <cell r="DL353">
            <v>29.58</v>
          </cell>
          <cell r="DM353">
            <v>70.905000000000001</v>
          </cell>
          <cell r="DN353">
            <v>1184.9849999999999</v>
          </cell>
          <cell r="DO353">
            <v>4.534056430186487</v>
          </cell>
          <cell r="DP353">
            <v>0.15266768493477004</v>
          </cell>
          <cell r="DR353">
            <v>7.11</v>
          </cell>
          <cell r="DS353">
            <v>125.7</v>
          </cell>
          <cell r="DT353">
            <v>893.72700000000009</v>
          </cell>
          <cell r="DU353">
            <v>734</v>
          </cell>
          <cell r="DV353">
            <v>2015</v>
          </cell>
          <cell r="DW353">
            <v>1281</v>
          </cell>
          <cell r="DX353">
            <v>870</v>
          </cell>
          <cell r="DY353">
            <v>539.4</v>
          </cell>
          <cell r="DZ353">
            <v>898</v>
          </cell>
          <cell r="EA353">
            <v>556.76</v>
          </cell>
          <cell r="EB353">
            <v>3270.8869999999997</v>
          </cell>
          <cell r="EC353">
            <v>18590.166666666679</v>
          </cell>
          <cell r="ED353">
            <v>19221.833333333321</v>
          </cell>
          <cell r="EE353">
            <v>0.17499796693595845</v>
          </cell>
          <cell r="EF353">
            <v>6.853565887325451E-2</v>
          </cell>
          <cell r="EG353">
            <v>578.16666666666674</v>
          </cell>
          <cell r="EH353">
            <v>534</v>
          </cell>
          <cell r="EI353">
            <v>63.074999999999996</v>
          </cell>
          <cell r="EJ353">
            <v>65.10499999999999</v>
          </cell>
          <cell r="EK353">
            <v>706.34666666666681</v>
          </cell>
          <cell r="EL353">
            <v>4.6307106048021733</v>
          </cell>
          <cell r="EM353">
            <v>4.8075254839027776E-2</v>
          </cell>
          <cell r="EO353">
            <v>12.74</v>
          </cell>
          <cell r="EP353">
            <v>41.869593999999999</v>
          </cell>
          <cell r="EQ353">
            <v>565.23951899999997</v>
          </cell>
          <cell r="ER353">
            <v>203</v>
          </cell>
          <cell r="ES353">
            <v>1423</v>
          </cell>
          <cell r="ET353">
            <v>1220</v>
          </cell>
          <cell r="EU353">
            <v>220</v>
          </cell>
          <cell r="EV353">
            <v>136.4</v>
          </cell>
          <cell r="EW353">
            <v>119</v>
          </cell>
          <cell r="EX353">
            <v>73.78</v>
          </cell>
          <cell r="EY353">
            <v>23</v>
          </cell>
          <cell r="EZ353">
            <v>2018.419519</v>
          </cell>
          <cell r="FA353">
            <v>4146.8333333333339</v>
          </cell>
          <cell r="FB353">
            <v>391.16666666666686</v>
          </cell>
          <cell r="FC353">
            <v>15.95</v>
          </cell>
          <cell r="FD353">
            <v>8.6274999999999995</v>
          </cell>
          <cell r="FE353">
            <v>415.74416666666684</v>
          </cell>
        </row>
        <row r="354">
          <cell r="A354">
            <v>38292</v>
          </cell>
          <cell r="B354">
            <v>58</v>
          </cell>
          <cell r="C354">
            <v>66.7</v>
          </cell>
          <cell r="D354">
            <v>3868.6000000000004</v>
          </cell>
          <cell r="E354">
            <v>501.6</v>
          </cell>
          <cell r="F354">
            <v>2490.8000000000002</v>
          </cell>
          <cell r="G354">
            <v>1989.2000000000003</v>
          </cell>
          <cell r="H354">
            <v>182.2</v>
          </cell>
          <cell r="I354">
            <v>112.964</v>
          </cell>
          <cell r="J354">
            <v>199.5</v>
          </cell>
          <cell r="K354">
            <v>123.69</v>
          </cell>
          <cell r="L354">
            <v>6094.4540000000006</v>
          </cell>
          <cell r="M354">
            <v>16858.89166666667</v>
          </cell>
          <cell r="N354">
            <v>17595.525000000016</v>
          </cell>
          <cell r="O354">
            <v>0.34523029688500173</v>
          </cell>
          <cell r="P354">
            <v>0.11268148164932337</v>
          </cell>
          <cell r="Q354">
            <v>1117.1500000000003</v>
          </cell>
          <cell r="R354">
            <v>1093.4416666666664</v>
          </cell>
          <cell r="S354">
            <v>13.209499999999998</v>
          </cell>
          <cell r="T354">
            <v>14.463749999999999</v>
          </cell>
          <cell r="U354">
            <v>1144.8232500000001</v>
          </cell>
          <cell r="V354">
            <v>5.3234890189380764</v>
          </cell>
          <cell r="W354">
            <v>0.22946941450777456</v>
          </cell>
          <cell r="Y354">
            <v>79.13</v>
          </cell>
          <cell r="Z354">
            <v>97.1</v>
          </cell>
          <cell r="AA354">
            <v>7683.5229999999992</v>
          </cell>
          <cell r="AB354">
            <v>1601</v>
          </cell>
          <cell r="AC354">
            <v>992</v>
          </cell>
          <cell r="AD354">
            <v>-609</v>
          </cell>
          <cell r="AE354">
            <v>0</v>
          </cell>
          <cell r="AF354">
            <v>0</v>
          </cell>
          <cell r="AG354">
            <v>271</v>
          </cell>
          <cell r="AH354">
            <v>168.02</v>
          </cell>
          <cell r="AI354">
            <v>277</v>
          </cell>
          <cell r="AJ354">
            <v>7519.5429999999997</v>
          </cell>
          <cell r="AK354">
            <v>20210.583333333343</v>
          </cell>
          <cell r="AL354">
            <v>21936.333333333347</v>
          </cell>
          <cell r="AM354">
            <v>0.34097596698861832</v>
          </cell>
          <cell r="AN354">
            <v>-2.7615290436675283E-2</v>
          </cell>
          <cell r="AO354">
            <v>1733.5833333333342</v>
          </cell>
          <cell r="AP354">
            <v>1834.0083333333337</v>
          </cell>
          <cell r="AQ354">
            <v>0</v>
          </cell>
          <cell r="AR354">
            <v>19.647499999999997</v>
          </cell>
          <cell r="AS354">
            <v>1753.2308333333342</v>
          </cell>
          <cell r="AT354">
            <v>4.2889634707732416</v>
          </cell>
          <cell r="AU354">
            <v>0.38017324256680679</v>
          </cell>
          <cell r="AW354">
            <v>28.25</v>
          </cell>
          <cell r="AX354">
            <v>26.745000000000001</v>
          </cell>
          <cell r="AY354">
            <v>755.54624999999999</v>
          </cell>
          <cell r="AZ354">
            <v>137.6</v>
          </cell>
          <cell r="BA354">
            <v>0</v>
          </cell>
          <cell r="BB354">
            <v>-137.6</v>
          </cell>
          <cell r="BC354">
            <v>13.5</v>
          </cell>
          <cell r="BD354">
            <v>8.3699999999999992</v>
          </cell>
          <cell r="BE354">
            <v>0</v>
          </cell>
          <cell r="BF354">
            <v>0</v>
          </cell>
          <cell r="BG354">
            <v>626.31624999999997</v>
          </cell>
          <cell r="BH354">
            <v>896.86241666666615</v>
          </cell>
          <cell r="BI354">
            <v>869</v>
          </cell>
          <cell r="BJ354">
            <v>0.72322892609699763</v>
          </cell>
          <cell r="BK354">
            <v>-0.15889145496535795</v>
          </cell>
          <cell r="BL354">
            <v>119.64755896059636</v>
          </cell>
          <cell r="BM354">
            <v>106.85316477955269</v>
          </cell>
          <cell r="BN354">
            <v>0.9787499999999999</v>
          </cell>
          <cell r="BO354">
            <v>0</v>
          </cell>
          <cell r="BP354">
            <v>120.62630896059636</v>
          </cell>
          <cell r="BQ354">
            <v>5.1922027242381397</v>
          </cell>
          <cell r="BR354">
            <v>0.84243272542081704</v>
          </cell>
          <cell r="BT354">
            <v>1.8</v>
          </cell>
          <cell r="BU354">
            <v>58.292999999999999</v>
          </cell>
          <cell r="BV354">
            <v>104.92740000000001</v>
          </cell>
          <cell r="BW354">
            <v>144.97999999999999</v>
          </cell>
          <cell r="BX354">
            <v>1491.3</v>
          </cell>
          <cell r="BY354">
            <v>1346.32</v>
          </cell>
          <cell r="BZ354">
            <v>108.07599999999999</v>
          </cell>
          <cell r="CA354">
            <v>67.00712</v>
          </cell>
          <cell r="CB354">
            <v>135.209</v>
          </cell>
          <cell r="CC354">
            <v>83.829580000000007</v>
          </cell>
          <cell r="CD354">
            <v>1602.0841</v>
          </cell>
          <cell r="CE354">
            <v>3103.1096312499976</v>
          </cell>
          <cell r="CF354">
            <v>3393.1320020749999</v>
          </cell>
          <cell r="CG354">
            <v>0.46884007337004235</v>
          </cell>
          <cell r="CH354">
            <v>0.39399228016778604</v>
          </cell>
          <cell r="CI354">
            <v>247.06374999999991</v>
          </cell>
          <cell r="CJ354">
            <v>310.08665947424157</v>
          </cell>
          <cell r="CK354">
            <v>7.8355099999999993</v>
          </cell>
          <cell r="CL354">
            <v>9.8026524999999989</v>
          </cell>
          <cell r="CM354">
            <v>264.70191249999993</v>
          </cell>
          <cell r="CN354">
            <v>6.0524084804260729</v>
          </cell>
          <cell r="CO354">
            <v>3.3813629703354386E-2</v>
          </cell>
          <cell r="CQ354">
            <v>21.18</v>
          </cell>
          <cell r="CR354">
            <v>98.9</v>
          </cell>
          <cell r="CS354">
            <v>2094.7020000000002</v>
          </cell>
          <cell r="CT354">
            <v>534</v>
          </cell>
          <cell r="CU354">
            <v>3243</v>
          </cell>
          <cell r="CV354">
            <v>2709</v>
          </cell>
          <cell r="CW354">
            <v>408</v>
          </cell>
          <cell r="CX354">
            <v>252.96</v>
          </cell>
          <cell r="CY354">
            <v>978</v>
          </cell>
          <cell r="CZ354">
            <v>606.36</v>
          </cell>
          <cell r="DE354">
            <v>5663.0219999999999</v>
          </cell>
          <cell r="DF354">
            <v>11952.416666666673</v>
          </cell>
          <cell r="DG354">
            <v>12411.125</v>
          </cell>
          <cell r="DH354">
            <v>0.45495256075517171</v>
          </cell>
          <cell r="DI354">
            <v>4.8713396264310101E-2</v>
          </cell>
          <cell r="DJ354">
            <v>1085.75</v>
          </cell>
          <cell r="DK354">
            <v>1052.7166666666653</v>
          </cell>
          <cell r="DL354">
            <v>29.58</v>
          </cell>
          <cell r="DM354">
            <v>70.905000000000001</v>
          </cell>
          <cell r="DN354">
            <v>1186.2349999999999</v>
          </cell>
          <cell r="DO354">
            <v>4.9240030084732878</v>
          </cell>
          <cell r="DP354">
            <v>0.1752534285256119</v>
          </cell>
          <cell r="DR354">
            <v>8.4600000000000009</v>
          </cell>
          <cell r="DS354">
            <v>125.7</v>
          </cell>
          <cell r="DT354">
            <v>1063.422</v>
          </cell>
          <cell r="DU354">
            <v>734</v>
          </cell>
          <cell r="DV354">
            <v>2015</v>
          </cell>
          <cell r="DW354">
            <v>1281</v>
          </cell>
          <cell r="DX354">
            <v>870</v>
          </cell>
          <cell r="DY354">
            <v>539.4</v>
          </cell>
          <cell r="DZ354">
            <v>898</v>
          </cell>
          <cell r="EA354">
            <v>556.76</v>
          </cell>
          <cell r="EB354">
            <v>3440.5820000000003</v>
          </cell>
          <cell r="EC354">
            <v>18640.583333333347</v>
          </cell>
          <cell r="ED354">
            <v>19274.916666666653</v>
          </cell>
          <cell r="EE354">
            <v>0.17801024420529804</v>
          </cell>
          <cell r="EF354">
            <v>6.6276903973509937E-2</v>
          </cell>
          <cell r="EG354">
            <v>601.08333333333337</v>
          </cell>
          <cell r="EH354">
            <v>525</v>
          </cell>
          <cell r="EI354">
            <v>63.074999999999996</v>
          </cell>
          <cell r="EJ354">
            <v>65.10499999999999</v>
          </cell>
          <cell r="EK354">
            <v>729.26333333333343</v>
          </cell>
          <cell r="EL354">
            <v>4.7178870001234117</v>
          </cell>
          <cell r="EM354">
            <v>5.7048751156750239E-2</v>
          </cell>
          <cell r="EO354">
            <v>15.5</v>
          </cell>
          <cell r="EP354">
            <v>41.869593999999999</v>
          </cell>
          <cell r="EQ354">
            <v>565.23951899999997</v>
          </cell>
          <cell r="ER354">
            <v>203</v>
          </cell>
          <cell r="ES354">
            <v>1423</v>
          </cell>
          <cell r="ET354">
            <v>1220</v>
          </cell>
          <cell r="EU354">
            <v>220</v>
          </cell>
          <cell r="EV354">
            <v>136.4</v>
          </cell>
          <cell r="EW354">
            <v>119</v>
          </cell>
          <cell r="EX354">
            <v>73.78</v>
          </cell>
          <cell r="EY354">
            <v>23</v>
          </cell>
          <cell r="EZ354">
            <v>2018.419519</v>
          </cell>
          <cell r="FA354">
            <v>4184.916666666667</v>
          </cell>
          <cell r="FB354">
            <v>395.58333333333354</v>
          </cell>
          <cell r="FC354">
            <v>15.95</v>
          </cell>
          <cell r="FD354">
            <v>8.6274999999999995</v>
          </cell>
          <cell r="FE354">
            <v>420.16083333333353</v>
          </cell>
        </row>
        <row r="355">
          <cell r="A355">
            <v>38322</v>
          </cell>
          <cell r="B355">
            <v>61.01</v>
          </cell>
          <cell r="C355">
            <v>67.599999999999994</v>
          </cell>
          <cell r="D355">
            <v>4124.2759999999998</v>
          </cell>
          <cell r="E355">
            <v>584.9</v>
          </cell>
          <cell r="F355">
            <v>2535.1</v>
          </cell>
          <cell r="G355">
            <v>1950.1999999999998</v>
          </cell>
          <cell r="H355">
            <v>182.2</v>
          </cell>
          <cell r="I355">
            <v>112.964</v>
          </cell>
          <cell r="J355">
            <v>199.5</v>
          </cell>
          <cell r="K355">
            <v>123.69</v>
          </cell>
          <cell r="L355">
            <v>6311.1299999999992</v>
          </cell>
          <cell r="M355">
            <v>16960</v>
          </cell>
          <cell r="N355">
            <v>17653.3</v>
          </cell>
          <cell r="O355">
            <v>0.35750426265910618</v>
          </cell>
          <cell r="P355">
            <v>0.11047226297632737</v>
          </cell>
          <cell r="Q355">
            <v>1119.2</v>
          </cell>
          <cell r="R355">
            <v>1091.0999999999999</v>
          </cell>
          <cell r="S355">
            <v>13.209499999999998</v>
          </cell>
          <cell r="T355">
            <v>14.463749999999999</v>
          </cell>
          <cell r="U355">
            <v>1146.8732499999999</v>
          </cell>
          <cell r="V355">
            <v>5.5029010398489984</v>
          </cell>
          <cell r="W355">
            <v>0.24317665094339622</v>
          </cell>
          <cell r="Y355">
            <v>82.55</v>
          </cell>
          <cell r="Z355">
            <v>96.7</v>
          </cell>
          <cell r="AA355">
            <v>7982.585</v>
          </cell>
          <cell r="AB355">
            <v>1519</v>
          </cell>
          <cell r="AC355">
            <v>1026</v>
          </cell>
          <cell r="AD355">
            <v>-493</v>
          </cell>
          <cell r="AE355">
            <v>0</v>
          </cell>
          <cell r="AF355">
            <v>0</v>
          </cell>
          <cell r="AG355">
            <v>271</v>
          </cell>
          <cell r="AH355">
            <v>168.02</v>
          </cell>
          <cell r="AI355">
            <v>277</v>
          </cell>
          <cell r="AJ355">
            <v>7934.6050000000005</v>
          </cell>
          <cell r="AK355">
            <v>20653</v>
          </cell>
          <cell r="AL355">
            <v>22053</v>
          </cell>
          <cell r="AM355">
            <v>0.35979707976239061</v>
          </cell>
          <cell r="AN355">
            <v>-2.2355235115403799E-2</v>
          </cell>
          <cell r="AO355">
            <v>1756</v>
          </cell>
          <cell r="AP355">
            <v>1841.1</v>
          </cell>
          <cell r="AQ355">
            <v>0</v>
          </cell>
          <cell r="AR355">
            <v>19.647499999999997</v>
          </cell>
          <cell r="AS355">
            <v>1775.6475</v>
          </cell>
          <cell r="AT355">
            <v>4.4685699160447108</v>
          </cell>
          <cell r="AU355">
            <v>0.38650970803273133</v>
          </cell>
          <cell r="AW355">
            <v>29.05</v>
          </cell>
          <cell r="AX355">
            <v>26.745000000000001</v>
          </cell>
          <cell r="AY355">
            <v>776.94225000000006</v>
          </cell>
          <cell r="AZ355">
            <v>120</v>
          </cell>
          <cell r="BA355">
            <v>0</v>
          </cell>
          <cell r="BB355">
            <v>-120</v>
          </cell>
          <cell r="BC355">
            <v>13.5</v>
          </cell>
          <cell r="BD355">
            <v>8.3699999999999992</v>
          </cell>
          <cell r="BE355">
            <v>0</v>
          </cell>
          <cell r="BF355">
            <v>0</v>
          </cell>
          <cell r="BG355">
            <v>665.31225000000006</v>
          </cell>
          <cell r="BH355">
            <v>902</v>
          </cell>
          <cell r="BI355">
            <v>866</v>
          </cell>
          <cell r="BJ355">
            <v>0.76825894919168602</v>
          </cell>
          <cell r="BK355">
            <v>-0.13856812933025403</v>
          </cell>
          <cell r="BL355">
            <v>118.29733704792331</v>
          </cell>
          <cell r="BM355">
            <v>105.81278548242811</v>
          </cell>
          <cell r="BN355">
            <v>0.9787499999999999</v>
          </cell>
          <cell r="BO355">
            <v>0</v>
          </cell>
          <cell r="BP355">
            <v>119.27608704792331</v>
          </cell>
          <cell r="BQ355">
            <v>5.577918143245995</v>
          </cell>
          <cell r="BR355">
            <v>0.86135504434589805</v>
          </cell>
          <cell r="BT355">
            <v>2.39</v>
          </cell>
          <cell r="BU355">
            <v>58.292999999999999</v>
          </cell>
          <cell r="BV355">
            <v>139.32026999999999</v>
          </cell>
          <cell r="BW355">
            <v>144.97999999999999</v>
          </cell>
          <cell r="BX355">
            <v>1491.3</v>
          </cell>
          <cell r="BY355">
            <v>1346.32</v>
          </cell>
          <cell r="BZ355">
            <v>108.07599999999999</v>
          </cell>
          <cell r="CA355">
            <v>67.00712</v>
          </cell>
          <cell r="CB355">
            <v>135.209</v>
          </cell>
          <cell r="CC355">
            <v>83.829580000000007</v>
          </cell>
          <cell r="CD355">
            <v>1636.4769699999999</v>
          </cell>
          <cell r="CE355">
            <v>3129.2333250000001</v>
          </cell>
          <cell r="CF355">
            <v>3417.1227909000004</v>
          </cell>
          <cell r="CG355">
            <v>0.47890493556685604</v>
          </cell>
          <cell r="CH355">
            <v>0.39399228016778604</v>
          </cell>
          <cell r="CI355">
            <v>245.5</v>
          </cell>
          <cell r="CJ355">
            <v>315.95817397190001</v>
          </cell>
          <cell r="CK355">
            <v>7.8355099999999993</v>
          </cell>
          <cell r="CL355">
            <v>9.8026524999999989</v>
          </cell>
          <cell r="CM355">
            <v>263.13816250000002</v>
          </cell>
          <cell r="CN355">
            <v>6.2190788080767261</v>
          </cell>
          <cell r="CO355">
            <v>4.4522173813932517E-2</v>
          </cell>
          <cell r="CQ355">
            <v>20.700000000000003</v>
          </cell>
          <cell r="CR355">
            <v>99</v>
          </cell>
          <cell r="CS355">
            <v>2049.3000000000002</v>
          </cell>
          <cell r="CT355">
            <v>809</v>
          </cell>
          <cell r="CU355">
            <v>3181</v>
          </cell>
          <cell r="CV355">
            <v>2372</v>
          </cell>
          <cell r="CW355">
            <v>408</v>
          </cell>
          <cell r="CX355">
            <v>252.96</v>
          </cell>
          <cell r="CY355">
            <v>978</v>
          </cell>
          <cell r="CZ355">
            <v>606.36</v>
          </cell>
          <cell r="DE355">
            <v>5280.62</v>
          </cell>
          <cell r="DF355">
            <v>12011</v>
          </cell>
          <cell r="DG355">
            <v>12447.5</v>
          </cell>
          <cell r="DH355">
            <v>0.42423137176139786</v>
          </cell>
          <cell r="DI355">
            <v>0.19056035348463546</v>
          </cell>
          <cell r="DJ355">
            <v>1087</v>
          </cell>
          <cell r="DK355">
            <v>1049.5999999999999</v>
          </cell>
          <cell r="DL355">
            <v>29.58</v>
          </cell>
          <cell r="DM355">
            <v>70.905000000000001</v>
          </cell>
          <cell r="DN355">
            <v>1187.4849999999999</v>
          </cell>
          <cell r="DO355">
            <v>4.5915041062182365</v>
          </cell>
          <cell r="DP355">
            <v>0.17061859961701775</v>
          </cell>
          <cell r="DR355">
            <v>9.77</v>
          </cell>
          <cell r="DS355">
            <v>125.3</v>
          </cell>
          <cell r="DT355">
            <v>1224.1809999999998</v>
          </cell>
          <cell r="DU355">
            <v>752</v>
          </cell>
          <cell r="DV355">
            <v>2021</v>
          </cell>
          <cell r="DW355">
            <v>1269</v>
          </cell>
          <cell r="DX355">
            <v>870</v>
          </cell>
          <cell r="DY355">
            <v>539.4</v>
          </cell>
          <cell r="DZ355">
            <v>898</v>
          </cell>
          <cell r="EA355">
            <v>556.76</v>
          </cell>
          <cell r="EB355">
            <v>3589.3409999999994</v>
          </cell>
          <cell r="EC355">
            <v>18691</v>
          </cell>
          <cell r="ED355">
            <v>19328</v>
          </cell>
          <cell r="EE355">
            <v>0.18570679842715229</v>
          </cell>
          <cell r="EF355">
            <v>6.5656043046357609E-2</v>
          </cell>
          <cell r="EG355">
            <v>624</v>
          </cell>
          <cell r="EH355">
            <v>516</v>
          </cell>
          <cell r="EI355">
            <v>63.074999999999996</v>
          </cell>
          <cell r="EJ355">
            <v>65.10499999999999</v>
          </cell>
          <cell r="EK355">
            <v>752.18000000000006</v>
          </cell>
          <cell r="EL355">
            <v>4.7719176261001346</v>
          </cell>
          <cell r="EM355">
            <v>6.5495746616018397E-2</v>
          </cell>
          <cell r="EO355">
            <v>17.240000000000002</v>
          </cell>
          <cell r="EP355">
            <v>42.2</v>
          </cell>
          <cell r="EQ355">
            <v>727.52800000000013</v>
          </cell>
          <cell r="ER355">
            <v>214</v>
          </cell>
          <cell r="ES355">
            <v>1420</v>
          </cell>
          <cell r="ET355">
            <v>1206</v>
          </cell>
          <cell r="EU355">
            <v>220</v>
          </cell>
          <cell r="EV355">
            <v>136.4</v>
          </cell>
          <cell r="EW355">
            <v>119</v>
          </cell>
          <cell r="EX355">
            <v>73.78</v>
          </cell>
          <cell r="EY355">
            <v>23</v>
          </cell>
          <cell r="EZ355">
            <v>2166.7080000000005</v>
          </cell>
          <cell r="FA355">
            <v>4223</v>
          </cell>
          <cell r="FB355">
            <v>400</v>
          </cell>
          <cell r="FC355">
            <v>15.95</v>
          </cell>
          <cell r="FD355">
            <v>8.6274999999999995</v>
          </cell>
          <cell r="FE355">
            <v>424.57749999999999</v>
          </cell>
        </row>
        <row r="356">
          <cell r="A356">
            <v>38353</v>
          </cell>
          <cell r="B356">
            <v>54</v>
          </cell>
          <cell r="C356">
            <v>66.7</v>
          </cell>
          <cell r="D356">
            <v>3601.8</v>
          </cell>
          <cell r="E356">
            <v>501.6</v>
          </cell>
          <cell r="F356">
            <v>2490.8000000000002</v>
          </cell>
          <cell r="G356">
            <v>1989.2000000000003</v>
          </cell>
          <cell r="H356">
            <v>182.2</v>
          </cell>
          <cell r="I356">
            <v>112.964</v>
          </cell>
          <cell r="J356">
            <v>199.5</v>
          </cell>
          <cell r="K356">
            <v>123.69</v>
          </cell>
          <cell r="L356">
            <v>5827.6539999999995</v>
          </cell>
          <cell r="M356">
            <v>17017.775000000001</v>
          </cell>
          <cell r="N356">
            <v>17717.108333333334</v>
          </cell>
          <cell r="O356">
            <v>0.33011697529640349</v>
          </cell>
          <cell r="P356">
            <v>0.11268148164932337</v>
          </cell>
          <cell r="Q356">
            <v>1116.8583333333333</v>
          </cell>
          <cell r="R356">
            <v>1105.7416666666666</v>
          </cell>
          <cell r="S356">
            <v>13.209499999999998</v>
          </cell>
          <cell r="T356">
            <v>14.463749999999999</v>
          </cell>
          <cell r="U356">
            <v>1144.5315833333332</v>
          </cell>
          <cell r="V356">
            <v>5.0917371655464008</v>
          </cell>
          <cell r="W356">
            <v>0.21164929022742396</v>
          </cell>
          <cell r="Y356">
            <v>75.739999999999995</v>
          </cell>
          <cell r="Z356">
            <v>97.1</v>
          </cell>
          <cell r="AA356">
            <v>7354.3539999999994</v>
          </cell>
          <cell r="AB356">
            <v>1601</v>
          </cell>
          <cell r="AC356">
            <v>992</v>
          </cell>
          <cell r="AD356">
            <v>-609</v>
          </cell>
          <cell r="AE356">
            <v>0</v>
          </cell>
          <cell r="AF356">
            <v>0</v>
          </cell>
          <cell r="AG356">
            <v>271</v>
          </cell>
          <cell r="AH356">
            <v>168.02</v>
          </cell>
          <cell r="AI356">
            <v>277</v>
          </cell>
          <cell r="AJ356">
            <v>7190.3739999999998</v>
          </cell>
          <cell r="AK356">
            <v>20769.666666666668</v>
          </cell>
          <cell r="AL356">
            <v>22107.416666666668</v>
          </cell>
          <cell r="AM356">
            <v>0.32604969845372511</v>
          </cell>
          <cell r="AN356">
            <v>-2.7615290436675283E-2</v>
          </cell>
          <cell r="AO356">
            <v>1763.0916666666667</v>
          </cell>
          <cell r="AP356">
            <v>1852.0666666666666</v>
          </cell>
          <cell r="AQ356">
            <v>0</v>
          </cell>
          <cell r="AR356">
            <v>19.647499999999997</v>
          </cell>
          <cell r="AS356">
            <v>1782.7391666666667</v>
          </cell>
          <cell r="AT356">
            <v>4.0333292353947829</v>
          </cell>
          <cell r="AU356">
            <v>0.35409109438443881</v>
          </cell>
          <cell r="AW356">
            <v>25.17</v>
          </cell>
          <cell r="AX356">
            <v>26.745000000000001</v>
          </cell>
          <cell r="AY356">
            <v>673.17165000000011</v>
          </cell>
          <cell r="AZ356">
            <v>120</v>
          </cell>
          <cell r="BA356">
            <v>0</v>
          </cell>
          <cell r="BB356">
            <v>-120</v>
          </cell>
          <cell r="BC356">
            <v>13.5</v>
          </cell>
          <cell r="BD356">
            <v>8.3699999999999992</v>
          </cell>
          <cell r="BE356">
            <v>0</v>
          </cell>
          <cell r="BF356">
            <v>0</v>
          </cell>
          <cell r="BG356">
            <v>561.54165000000012</v>
          </cell>
          <cell r="BH356">
            <v>899</v>
          </cell>
          <cell r="BI356">
            <v>866</v>
          </cell>
          <cell r="BJ356">
            <v>0.64843146651270223</v>
          </cell>
          <cell r="BK356">
            <v>-0.13856812933025403</v>
          </cell>
          <cell r="BL356">
            <v>117.2569577507987</v>
          </cell>
          <cell r="BN356">
            <v>0.9787499999999999</v>
          </cell>
          <cell r="BO356">
            <v>0</v>
          </cell>
          <cell r="BP356">
            <v>118.23570775079871</v>
          </cell>
          <cell r="BQ356">
            <v>4.749340623760987</v>
          </cell>
          <cell r="BR356">
            <v>0.74880050055617364</v>
          </cell>
          <cell r="BT356">
            <v>0.81</v>
          </cell>
          <cell r="BU356">
            <v>58.292999999999999</v>
          </cell>
          <cell r="BV356">
            <v>47.217330000000004</v>
          </cell>
          <cell r="BW356">
            <v>144.97999999999999</v>
          </cell>
          <cell r="BX356">
            <v>1491.3</v>
          </cell>
          <cell r="BY356">
            <v>1346.32</v>
          </cell>
          <cell r="BZ356">
            <v>108.07599999999999</v>
          </cell>
          <cell r="CA356">
            <v>67.00712</v>
          </cell>
          <cell r="CB356">
            <v>135.209</v>
          </cell>
          <cell r="CC356">
            <v>83.829580000000007</v>
          </cell>
          <cell r="CD356">
            <v>1544.3740299999999</v>
          </cell>
          <cell r="CE356">
            <v>3153.2241138250001</v>
          </cell>
          <cell r="CF356">
            <v>3417.1227909000004</v>
          </cell>
          <cell r="CG356">
            <v>0.45195157578555828</v>
          </cell>
          <cell r="CH356">
            <v>0.39399228016778604</v>
          </cell>
          <cell r="CI356">
            <v>251.37151449765832</v>
          </cell>
          <cell r="CJ356">
            <v>315.95817397190001</v>
          </cell>
          <cell r="CK356">
            <v>7.8355099999999993</v>
          </cell>
          <cell r="CL356">
            <v>9.8026524999999989</v>
          </cell>
          <cell r="CM356">
            <v>269.00967699765835</v>
          </cell>
          <cell r="CN356">
            <v>5.7409608726211117</v>
          </cell>
          <cell r="CO356">
            <v>1.4974301951130043E-2</v>
          </cell>
          <cell r="CQ356">
            <v>19.900000000000002</v>
          </cell>
          <cell r="CR356">
            <v>99</v>
          </cell>
          <cell r="CS356">
            <v>1970.1000000000001</v>
          </cell>
          <cell r="CT356">
            <v>534</v>
          </cell>
          <cell r="CU356">
            <v>3243</v>
          </cell>
          <cell r="CV356">
            <v>2709</v>
          </cell>
          <cell r="CW356">
            <v>408</v>
          </cell>
          <cell r="CX356">
            <v>252.96</v>
          </cell>
          <cell r="CY356">
            <v>978</v>
          </cell>
          <cell r="CZ356">
            <v>606.36</v>
          </cell>
          <cell r="DE356">
            <v>5538.42</v>
          </cell>
          <cell r="DF356">
            <v>12047.375</v>
          </cell>
          <cell r="DG356">
            <v>110</v>
          </cell>
          <cell r="DH356">
            <v>0.44494235790319342</v>
          </cell>
          <cell r="DI356">
            <v>0.21763406306487246</v>
          </cell>
          <cell r="DJ356">
            <v>1083.8833333333332</v>
          </cell>
          <cell r="DK356">
            <v>1054.0999999999999</v>
          </cell>
          <cell r="DL356">
            <v>29.58</v>
          </cell>
          <cell r="DM356">
            <v>70.905000000000001</v>
          </cell>
          <cell r="DN356">
            <v>1184.3683333333331</v>
          </cell>
          <cell r="DO356">
            <v>4.7782690656854339</v>
          </cell>
          <cell r="DP356">
            <v>0.163529399557995</v>
          </cell>
          <cell r="DR356">
            <v>7.42</v>
          </cell>
          <cell r="DS356">
            <v>125.3</v>
          </cell>
          <cell r="DT356">
            <v>929.726</v>
          </cell>
          <cell r="DU356">
            <v>752</v>
          </cell>
          <cell r="DV356">
            <v>2021</v>
          </cell>
          <cell r="DW356">
            <v>1269</v>
          </cell>
          <cell r="DX356">
            <v>870</v>
          </cell>
          <cell r="DY356">
            <v>539.4</v>
          </cell>
          <cell r="DZ356">
            <v>898</v>
          </cell>
          <cell r="EA356">
            <v>556.76</v>
          </cell>
          <cell r="EB356">
            <v>3294.8860000000004</v>
          </cell>
          <cell r="EC356">
            <v>18744.083333333332</v>
          </cell>
          <cell r="ED356">
            <v>19411.75</v>
          </cell>
          <cell r="EE356">
            <v>0.17047216473509935</v>
          </cell>
          <cell r="EF356">
            <v>6.5656043046357609E-2</v>
          </cell>
          <cell r="EG356">
            <v>615</v>
          </cell>
          <cell r="EH356">
            <v>531.08333333333337</v>
          </cell>
          <cell r="EI356">
            <v>63.074999999999996</v>
          </cell>
          <cell r="EJ356">
            <v>65.10499999999999</v>
          </cell>
          <cell r="EK356">
            <v>743.18000000000006</v>
          </cell>
          <cell r="EL356">
            <v>4.4334965957103263</v>
          </cell>
          <cell r="EM356">
            <v>4.9601038549942432E-2</v>
          </cell>
          <cell r="EO356">
            <v>16.14</v>
          </cell>
          <cell r="EP356">
            <v>41.869593999999999</v>
          </cell>
          <cell r="EQ356">
            <v>675.77524716000005</v>
          </cell>
          <cell r="ER356">
            <v>203</v>
          </cell>
          <cell r="ES356">
            <v>1423</v>
          </cell>
          <cell r="ET356">
            <v>1220</v>
          </cell>
          <cell r="EU356">
            <v>220</v>
          </cell>
          <cell r="EV356">
            <v>136.4</v>
          </cell>
          <cell r="EW356">
            <v>119</v>
          </cell>
          <cell r="EX356">
            <v>73.78</v>
          </cell>
          <cell r="EY356">
            <v>23</v>
          </cell>
          <cell r="EZ356">
            <v>2128.9552471600005</v>
          </cell>
          <cell r="FA356">
            <v>4241.833333333333</v>
          </cell>
          <cell r="FB356">
            <v>401.83333333333331</v>
          </cell>
          <cell r="FC356">
            <v>15.95</v>
          </cell>
          <cell r="FD356">
            <v>8.6274999999999995</v>
          </cell>
          <cell r="FE356">
            <v>426.4108333333333</v>
          </cell>
        </row>
        <row r="357">
          <cell r="A357">
            <v>38384</v>
          </cell>
          <cell r="B357">
            <v>52.15</v>
          </cell>
          <cell r="C357">
            <v>66.7</v>
          </cell>
          <cell r="D357">
            <v>3478.4050000000002</v>
          </cell>
          <cell r="E357">
            <v>501.6</v>
          </cell>
          <cell r="F357">
            <v>2535.1</v>
          </cell>
          <cell r="G357">
            <v>2033.5</v>
          </cell>
          <cell r="H357">
            <v>182.2</v>
          </cell>
          <cell r="I357">
            <v>112.964</v>
          </cell>
          <cell r="J357">
            <v>199.5</v>
          </cell>
          <cell r="K357">
            <v>123.69</v>
          </cell>
          <cell r="L357">
            <v>5748.5590000000002</v>
          </cell>
          <cell r="M357">
            <v>17075.550000000003</v>
          </cell>
          <cell r="N357">
            <v>17780.916666666668</v>
          </cell>
          <cell r="O357">
            <v>0.32563650988766973</v>
          </cell>
          <cell r="P357">
            <v>0.11519092747531623</v>
          </cell>
          <cell r="Q357">
            <v>1114.5166666666667</v>
          </cell>
          <cell r="R357">
            <v>1120.3833333333332</v>
          </cell>
          <cell r="S357">
            <v>13.209499999999998</v>
          </cell>
          <cell r="T357">
            <v>14.463749999999999</v>
          </cell>
          <cell r="U357">
            <v>1142.1899166666665</v>
          </cell>
          <cell r="V357">
            <v>5.0329274633910499</v>
          </cell>
          <cell r="W357">
            <v>0.20370676200766591</v>
          </cell>
          <cell r="Y357">
            <v>73.95</v>
          </cell>
          <cell r="Z357">
            <v>96.7</v>
          </cell>
          <cell r="AA357">
            <v>7150.9650000000001</v>
          </cell>
          <cell r="AB357">
            <v>1601</v>
          </cell>
          <cell r="AC357">
            <v>992</v>
          </cell>
          <cell r="AD357">
            <v>-609</v>
          </cell>
          <cell r="AE357">
            <v>0</v>
          </cell>
          <cell r="AF357">
            <v>0</v>
          </cell>
          <cell r="AG357">
            <v>271</v>
          </cell>
          <cell r="AH357">
            <v>168.02</v>
          </cell>
          <cell r="AI357">
            <v>277</v>
          </cell>
          <cell r="AJ357">
            <v>6986.9850000000006</v>
          </cell>
          <cell r="AK357">
            <v>20886.333333333336</v>
          </cell>
          <cell r="AL357">
            <v>22161.833333333336</v>
          </cell>
          <cell r="AM357">
            <v>0.31682696231805202</v>
          </cell>
          <cell r="AN357">
            <v>-2.7615290436675283E-2</v>
          </cell>
          <cell r="AO357">
            <v>1770.1833333333334</v>
          </cell>
          <cell r="AP357">
            <v>1863.0333333333333</v>
          </cell>
          <cell r="AQ357">
            <v>0</v>
          </cell>
          <cell r="AR357">
            <v>19.647499999999997</v>
          </cell>
          <cell r="AS357">
            <v>1789.8308333333334</v>
          </cell>
          <cell r="AT357">
            <v>3.9037125016935961</v>
          </cell>
          <cell r="AU357">
            <v>0.3423753171930608</v>
          </cell>
          <cell r="AW357">
            <v>26.48</v>
          </cell>
          <cell r="AX357">
            <v>26.745000000000001</v>
          </cell>
          <cell r="AY357">
            <v>708.20760000000007</v>
          </cell>
          <cell r="AZ357">
            <v>120</v>
          </cell>
          <cell r="BA357">
            <v>0</v>
          </cell>
          <cell r="BB357">
            <v>-120</v>
          </cell>
          <cell r="BC357">
            <v>13.5</v>
          </cell>
          <cell r="BD357">
            <v>8.3699999999999992</v>
          </cell>
          <cell r="BE357">
            <v>0</v>
          </cell>
          <cell r="BF357">
            <v>0</v>
          </cell>
          <cell r="BG357">
            <v>596.57760000000007</v>
          </cell>
          <cell r="BH357">
            <v>896</v>
          </cell>
          <cell r="BI357">
            <v>866</v>
          </cell>
          <cell r="BJ357">
            <v>0.68888868360277145</v>
          </cell>
          <cell r="BK357">
            <v>-0.13856812933025403</v>
          </cell>
          <cell r="BL357">
            <v>116.2165784536741</v>
          </cell>
          <cell r="BN357">
            <v>0.9787499999999999</v>
          </cell>
          <cell r="BO357">
            <v>0</v>
          </cell>
          <cell r="BP357">
            <v>117.19532845367411</v>
          </cell>
          <cell r="BQ357">
            <v>5.0904554632979249</v>
          </cell>
          <cell r="BR357">
            <v>0.79041026785714297</v>
          </cell>
          <cell r="BT357">
            <v>0.2525</v>
          </cell>
          <cell r="BU357">
            <v>58.292999999999999</v>
          </cell>
          <cell r="BV357">
            <v>14.718982499999999</v>
          </cell>
          <cell r="BW357">
            <v>144.97999999999999</v>
          </cell>
          <cell r="BX357">
            <v>1491.3</v>
          </cell>
          <cell r="BY357">
            <v>1346.32</v>
          </cell>
          <cell r="BZ357">
            <v>108.07599999999999</v>
          </cell>
          <cell r="CA357">
            <v>67.00712</v>
          </cell>
          <cell r="CB357">
            <v>135.209</v>
          </cell>
          <cell r="CC357">
            <v>83.829580000000007</v>
          </cell>
          <cell r="CD357">
            <v>1511.8756825</v>
          </cell>
          <cell r="CE357">
            <v>3177.2149026500001</v>
          </cell>
          <cell r="CF357">
            <v>3417.1227909000004</v>
          </cell>
          <cell r="CG357">
            <v>0.44244113396399282</v>
          </cell>
          <cell r="CH357">
            <v>0.39399228016778604</v>
          </cell>
          <cell r="CI357">
            <v>257.24302899531665</v>
          </cell>
          <cell r="CJ357">
            <v>315.95817397190001</v>
          </cell>
          <cell r="CK357">
            <v>7.8355099999999993</v>
          </cell>
          <cell r="CL357">
            <v>9.8026524999999989</v>
          </cell>
          <cell r="CM357">
            <v>274.88119149531667</v>
          </cell>
          <cell r="CN357">
            <v>5.5001059704216209</v>
          </cell>
          <cell r="CO357">
            <v>4.6326682176026012E-3</v>
          </cell>
          <cell r="CQ357">
            <v>20.21</v>
          </cell>
          <cell r="CR357">
            <v>99</v>
          </cell>
          <cell r="CS357">
            <v>2000.7900000000002</v>
          </cell>
          <cell r="CT357">
            <v>534</v>
          </cell>
          <cell r="CU357">
            <v>3243</v>
          </cell>
          <cell r="CV357">
            <v>2709</v>
          </cell>
          <cell r="CW357">
            <v>408</v>
          </cell>
          <cell r="CX357">
            <v>252.96</v>
          </cell>
          <cell r="CY357">
            <v>978</v>
          </cell>
          <cell r="CZ357">
            <v>606.36</v>
          </cell>
          <cell r="DE357">
            <v>5569.11</v>
          </cell>
          <cell r="DF357">
            <v>12083.75</v>
          </cell>
          <cell r="DG357">
            <v>0</v>
          </cell>
          <cell r="DH357">
            <v>0.44740791323558943</v>
          </cell>
          <cell r="DI357">
            <v>0.21763406306487246</v>
          </cell>
          <cell r="DJ357">
            <v>1080.7666666666664</v>
          </cell>
          <cell r="DK357">
            <v>1058.5999999999999</v>
          </cell>
          <cell r="DL357">
            <v>29.58</v>
          </cell>
          <cell r="DM357">
            <v>70.905000000000001</v>
          </cell>
          <cell r="DN357">
            <v>1181.2516666666663</v>
          </cell>
          <cell r="DO357">
            <v>4.7861651705719828</v>
          </cell>
          <cell r="DP357">
            <v>0.16557691114099515</v>
          </cell>
          <cell r="DR357">
            <v>6.71</v>
          </cell>
          <cell r="DS357">
            <v>125.3</v>
          </cell>
          <cell r="DT357">
            <v>840.76299999999992</v>
          </cell>
          <cell r="DU357">
            <v>752</v>
          </cell>
          <cell r="DV357">
            <v>2021</v>
          </cell>
          <cell r="DW357">
            <v>1269</v>
          </cell>
          <cell r="DX357">
            <v>870</v>
          </cell>
          <cell r="DY357">
            <v>539.4</v>
          </cell>
          <cell r="DZ357">
            <v>898</v>
          </cell>
          <cell r="EA357">
            <v>556.76</v>
          </cell>
          <cell r="EB357">
            <v>3205.9229999999998</v>
          </cell>
          <cell r="EC357">
            <v>18797.166666666664</v>
          </cell>
          <cell r="ED357">
            <v>19495.5</v>
          </cell>
          <cell r="EE357">
            <v>0.16586936051324502</v>
          </cell>
          <cell r="EF357">
            <v>6.5656043046357609E-2</v>
          </cell>
          <cell r="EG357">
            <v>606</v>
          </cell>
          <cell r="EH357">
            <v>546.16666666666674</v>
          </cell>
          <cell r="EI357">
            <v>63.074999999999996</v>
          </cell>
          <cell r="EJ357">
            <v>65.10499999999999</v>
          </cell>
          <cell r="EK357">
            <v>734.18000000000006</v>
          </cell>
          <cell r="EL357">
            <v>4.3666716609005958</v>
          </cell>
          <cell r="EM357">
            <v>4.4728177118892036E-2</v>
          </cell>
          <cell r="EO357">
            <v>15.19</v>
          </cell>
          <cell r="EP357">
            <v>41.869593999999999</v>
          </cell>
          <cell r="EQ357">
            <v>635.99913285999992</v>
          </cell>
          <cell r="ER357">
            <v>203</v>
          </cell>
          <cell r="ES357">
            <v>1423</v>
          </cell>
          <cell r="ET357">
            <v>1220</v>
          </cell>
          <cell r="EU357">
            <v>220</v>
          </cell>
          <cell r="EV357">
            <v>136.4</v>
          </cell>
          <cell r="EW357">
            <v>119</v>
          </cell>
          <cell r="EX357">
            <v>73.78</v>
          </cell>
          <cell r="EY357">
            <v>23</v>
          </cell>
          <cell r="EZ357">
            <v>2089.1791328600002</v>
          </cell>
          <cell r="FA357">
            <v>4260.6666666666661</v>
          </cell>
          <cell r="FB357">
            <v>403.66666666666663</v>
          </cell>
          <cell r="FC357">
            <v>15.95</v>
          </cell>
          <cell r="FD357">
            <v>8.6274999999999995</v>
          </cell>
          <cell r="FE357">
            <v>428.24416666666662</v>
          </cell>
        </row>
        <row r="358">
          <cell r="A358">
            <v>38412</v>
          </cell>
          <cell r="B358">
            <v>45.400000000000006</v>
          </cell>
          <cell r="C358">
            <v>67.599999999999994</v>
          </cell>
          <cell r="D358">
            <v>3069.04</v>
          </cell>
          <cell r="E358">
            <v>584.9</v>
          </cell>
          <cell r="F358">
            <v>2490.8000000000002</v>
          </cell>
          <cell r="G358">
            <v>1905.9</v>
          </cell>
          <cell r="H358">
            <v>182.2</v>
          </cell>
          <cell r="I358">
            <v>112.964</v>
          </cell>
          <cell r="J358">
            <v>199.5</v>
          </cell>
          <cell r="K358">
            <v>123.69</v>
          </cell>
          <cell r="L358">
            <v>5211.5940000000001</v>
          </cell>
          <cell r="M358">
            <v>17133.325000000004</v>
          </cell>
          <cell r="N358">
            <v>17844.725000000002</v>
          </cell>
          <cell r="O358">
            <v>0.29521925079163669</v>
          </cell>
          <cell r="P358">
            <v>0.10796281715033451</v>
          </cell>
          <cell r="Q358">
            <v>1112.175</v>
          </cell>
          <cell r="R358">
            <v>1135.0249999999999</v>
          </cell>
          <cell r="S358">
            <v>13.209499999999998</v>
          </cell>
          <cell r="T358">
            <v>14.463749999999999</v>
          </cell>
          <cell r="U358">
            <v>1139.8482499999998</v>
          </cell>
          <cell r="V358">
            <v>4.5721823058464155</v>
          </cell>
          <cell r="W358">
            <v>0.17912693537302299</v>
          </cell>
          <cell r="Y358">
            <v>71.05</v>
          </cell>
          <cell r="Z358">
            <v>97.1</v>
          </cell>
          <cell r="AA358">
            <v>6898.954999999999</v>
          </cell>
          <cell r="AB358">
            <v>1519</v>
          </cell>
          <cell r="AC358">
            <v>1026</v>
          </cell>
          <cell r="AD358">
            <v>-493</v>
          </cell>
          <cell r="AE358">
            <v>0</v>
          </cell>
          <cell r="AF358">
            <v>0</v>
          </cell>
          <cell r="AG358">
            <v>271</v>
          </cell>
          <cell r="AH358">
            <v>168.02</v>
          </cell>
          <cell r="AI358">
            <v>277</v>
          </cell>
          <cell r="AJ358">
            <v>6850.9749999999995</v>
          </cell>
          <cell r="AK358">
            <v>21003.000000000004</v>
          </cell>
          <cell r="AL358">
            <v>22216.250000000004</v>
          </cell>
          <cell r="AM358">
            <v>0.31065954745386115</v>
          </cell>
          <cell r="AN358">
            <v>-2.2355235115403799E-2</v>
          </cell>
          <cell r="AO358">
            <v>1777.2750000000001</v>
          </cell>
          <cell r="AP358">
            <v>1874</v>
          </cell>
          <cell r="AQ358">
            <v>0</v>
          </cell>
          <cell r="AR358">
            <v>19.647499999999997</v>
          </cell>
          <cell r="AS358">
            <v>1796.9225000000001</v>
          </cell>
          <cell r="AT358">
            <v>3.8126157360709763</v>
          </cell>
          <cell r="AU358">
            <v>0.32847474170356605</v>
          </cell>
          <cell r="AW358">
            <v>24.84</v>
          </cell>
          <cell r="AX358">
            <v>26.745000000000001</v>
          </cell>
          <cell r="AY358">
            <v>664.34580000000005</v>
          </cell>
          <cell r="AZ358">
            <v>120</v>
          </cell>
          <cell r="BA358">
            <v>0</v>
          </cell>
          <cell r="BB358">
            <v>-120</v>
          </cell>
          <cell r="BC358">
            <v>13.5</v>
          </cell>
          <cell r="BD358">
            <v>8.3699999999999992</v>
          </cell>
          <cell r="BE358">
            <v>0</v>
          </cell>
          <cell r="BF358">
            <v>0</v>
          </cell>
          <cell r="BG358">
            <v>552.71580000000006</v>
          </cell>
          <cell r="BH358">
            <v>893</v>
          </cell>
          <cell r="BI358">
            <v>866</v>
          </cell>
          <cell r="BJ358">
            <v>0.63823995381062359</v>
          </cell>
          <cell r="BK358">
            <v>-0.13856812933025403</v>
          </cell>
          <cell r="BL358">
            <v>115.1761991565495</v>
          </cell>
          <cell r="BN358">
            <v>0.9787499999999999</v>
          </cell>
          <cell r="BO358">
            <v>0</v>
          </cell>
          <cell r="BP358">
            <v>116.15494915654951</v>
          </cell>
          <cell r="BQ358">
            <v>4.7584352110134311</v>
          </cell>
          <cell r="BR358">
            <v>0.74394826427771565</v>
          </cell>
          <cell r="BT358">
            <v>0.22500000000000001</v>
          </cell>
          <cell r="BU358">
            <v>58.292999999999999</v>
          </cell>
          <cell r="BV358">
            <v>13.115925000000001</v>
          </cell>
          <cell r="BW358">
            <v>144.97999999999999</v>
          </cell>
          <cell r="BX358">
            <v>1491.3</v>
          </cell>
          <cell r="BY358">
            <v>1346.32</v>
          </cell>
          <cell r="BZ358">
            <v>108.07599999999999</v>
          </cell>
          <cell r="CA358">
            <v>67.00712</v>
          </cell>
          <cell r="CB358">
            <v>135.209</v>
          </cell>
          <cell r="CC358">
            <v>83.829580000000007</v>
          </cell>
          <cell r="CD358">
            <v>1510.2726250000001</v>
          </cell>
          <cell r="CE358">
            <v>3201.2056914750001</v>
          </cell>
          <cell r="CF358">
            <v>3417.1227909000004</v>
          </cell>
          <cell r="CG358">
            <v>0.44197200903109046</v>
          </cell>
          <cell r="CH358">
            <v>0.39399228016778604</v>
          </cell>
          <cell r="CI358">
            <v>263.11454349297497</v>
          </cell>
          <cell r="CJ358">
            <v>315.95817397190001</v>
          </cell>
          <cell r="CK358">
            <v>7.8355099999999993</v>
          </cell>
          <cell r="CL358">
            <v>9.8026524999999989</v>
          </cell>
          <cell r="CM358">
            <v>280.752705992975</v>
          </cell>
          <cell r="CN358">
            <v>5.3793697897173258</v>
          </cell>
          <cell r="CO358">
            <v>4.0971828317463276E-3</v>
          </cell>
          <cell r="CQ358">
            <v>20.68</v>
          </cell>
          <cell r="CR358">
            <v>99</v>
          </cell>
          <cell r="CS358">
            <v>2047.32</v>
          </cell>
          <cell r="CT358">
            <v>809</v>
          </cell>
          <cell r="CU358">
            <v>3181</v>
          </cell>
          <cell r="CV358">
            <v>2372</v>
          </cell>
          <cell r="CW358">
            <v>408</v>
          </cell>
          <cell r="CX358">
            <v>252.96</v>
          </cell>
          <cell r="CY358">
            <v>978</v>
          </cell>
          <cell r="CZ358">
            <v>606.36</v>
          </cell>
          <cell r="DE358">
            <v>5278.6399999999994</v>
          </cell>
          <cell r="DF358">
            <v>12120.125</v>
          </cell>
          <cell r="DG358">
            <v>0</v>
          </cell>
          <cell r="DH358">
            <v>0.4240723036754368</v>
          </cell>
          <cell r="DI358">
            <v>0.19056035348463546</v>
          </cell>
          <cell r="DJ358">
            <v>1077.6499999999996</v>
          </cell>
          <cell r="DK358">
            <v>1063.0999999999999</v>
          </cell>
          <cell r="DL358">
            <v>29.58</v>
          </cell>
          <cell r="DM358">
            <v>70.905000000000001</v>
          </cell>
          <cell r="DN358">
            <v>1178.1349999999995</v>
          </cell>
          <cell r="DO358">
            <v>4.5190546920814842</v>
          </cell>
          <cell r="DP358">
            <v>0.16891904992729034</v>
          </cell>
          <cell r="DR358">
            <v>6.43</v>
          </cell>
          <cell r="DS358">
            <v>125.3</v>
          </cell>
          <cell r="DT358">
            <v>805.67899999999997</v>
          </cell>
          <cell r="DU358">
            <v>752</v>
          </cell>
          <cell r="DV358">
            <v>2021</v>
          </cell>
          <cell r="DW358">
            <v>1269</v>
          </cell>
          <cell r="DX358">
            <v>870</v>
          </cell>
          <cell r="DY358">
            <v>539.4</v>
          </cell>
          <cell r="DZ358">
            <v>898</v>
          </cell>
          <cell r="EA358">
            <v>556.76</v>
          </cell>
          <cell r="EB358">
            <v>3170.8389999999999</v>
          </cell>
          <cell r="EC358">
            <v>18850.249999999996</v>
          </cell>
          <cell r="ED358">
            <v>19579.25</v>
          </cell>
          <cell r="EE358">
            <v>0.16405417011589404</v>
          </cell>
          <cell r="EF358">
            <v>6.5656043046357609E-2</v>
          </cell>
          <cell r="EG358">
            <v>597</v>
          </cell>
          <cell r="EH358">
            <v>561.25000000000011</v>
          </cell>
          <cell r="EI358">
            <v>63.074999999999996</v>
          </cell>
          <cell r="EJ358">
            <v>65.10499999999999</v>
          </cell>
          <cell r="EK358">
            <v>725.18000000000006</v>
          </cell>
          <cell r="EL358">
            <v>4.3724854518878065</v>
          </cell>
          <cell r="EM358">
            <v>4.274102465484543E-2</v>
          </cell>
          <cell r="EO358">
            <v>14.35</v>
          </cell>
          <cell r="EP358">
            <v>42.2</v>
          </cell>
          <cell r="EQ358">
            <v>605.57000000000005</v>
          </cell>
          <cell r="ER358">
            <v>214</v>
          </cell>
          <cell r="ES358">
            <v>1420</v>
          </cell>
          <cell r="ET358">
            <v>1206</v>
          </cell>
          <cell r="EU358">
            <v>220</v>
          </cell>
          <cell r="EV358">
            <v>136.4</v>
          </cell>
          <cell r="EW358">
            <v>119</v>
          </cell>
          <cell r="EX358">
            <v>73.78</v>
          </cell>
          <cell r="EY358">
            <v>23</v>
          </cell>
          <cell r="EZ358">
            <v>2044.7500000000002</v>
          </cell>
          <cell r="FA358">
            <v>4279.4999999999991</v>
          </cell>
          <cell r="FB358">
            <v>405.49999999999994</v>
          </cell>
          <cell r="FC358">
            <v>15.95</v>
          </cell>
          <cell r="FD358">
            <v>8.6274999999999995</v>
          </cell>
          <cell r="FE358">
            <v>430.07749999999993</v>
          </cell>
        </row>
        <row r="359">
          <cell r="A359">
            <v>38443</v>
          </cell>
          <cell r="H359">
            <v>182.2</v>
          </cell>
          <cell r="I359">
            <v>112.964</v>
          </cell>
          <cell r="J359">
            <v>199.5</v>
          </cell>
          <cell r="K359">
            <v>123.69</v>
          </cell>
          <cell r="M359">
            <v>17191.100000000006</v>
          </cell>
          <cell r="N359">
            <v>17908.533333333336</v>
          </cell>
          <cell r="Q359">
            <v>1109.8333333333333</v>
          </cell>
          <cell r="R359">
            <v>1149.6666666666665</v>
          </cell>
          <cell r="S359">
            <v>13.209499999999998</v>
          </cell>
          <cell r="T359">
            <v>14.463749999999999</v>
          </cell>
          <cell r="U359">
            <v>1137.5065833333331</v>
          </cell>
          <cell r="V359">
            <v>0</v>
          </cell>
          <cell r="W359">
            <v>0</v>
          </cell>
          <cell r="AG359">
            <v>271</v>
          </cell>
          <cell r="AH359">
            <v>168.02</v>
          </cell>
          <cell r="AI359">
            <v>277</v>
          </cell>
          <cell r="AK359">
            <v>21119.666666666672</v>
          </cell>
          <cell r="AL359">
            <v>22270.666666666672</v>
          </cell>
          <cell r="AO359">
            <v>1784.3666666666668</v>
          </cell>
          <cell r="AP359">
            <v>1884.9666666666667</v>
          </cell>
          <cell r="AQ359">
            <v>0</v>
          </cell>
          <cell r="AR359">
            <v>19.647499999999997</v>
          </cell>
          <cell r="AS359">
            <v>1804.0141666666668</v>
          </cell>
          <cell r="AT359">
            <v>0</v>
          </cell>
          <cell r="AU359">
            <v>0</v>
          </cell>
          <cell r="BC359">
            <v>13.5</v>
          </cell>
          <cell r="BD359">
            <v>8.3699999999999992</v>
          </cell>
          <cell r="BE359">
            <v>0</v>
          </cell>
          <cell r="BF359">
            <v>0</v>
          </cell>
          <cell r="BG359">
            <v>8.3699999999999992</v>
          </cell>
          <cell r="BH359">
            <v>890</v>
          </cell>
          <cell r="BJ359">
            <v>9.6651270207852181E-3</v>
          </cell>
          <cell r="BK359">
            <v>0</v>
          </cell>
          <cell r="BL359">
            <v>114.1358198594249</v>
          </cell>
          <cell r="BN359">
            <v>0.9787499999999999</v>
          </cell>
          <cell r="BO359">
            <v>0</v>
          </cell>
          <cell r="BP359">
            <v>115.1145698594249</v>
          </cell>
          <cell r="BZ359">
            <v>108.07599999999999</v>
          </cell>
          <cell r="CB359">
            <v>135.209</v>
          </cell>
          <cell r="CE359">
            <v>3225.1964803000001</v>
          </cell>
          <cell r="CI359">
            <v>268.9860579906333</v>
          </cell>
          <cell r="CK359">
            <v>7.8355099999999993</v>
          </cell>
          <cell r="CL359">
            <v>9.8026524999999989</v>
          </cell>
          <cell r="CM359">
            <v>286.62422049063332</v>
          </cell>
          <cell r="CW359">
            <v>408</v>
          </cell>
          <cell r="CX359">
            <v>252.96</v>
          </cell>
          <cell r="CY359">
            <v>978</v>
          </cell>
          <cell r="CZ359">
            <v>606.36</v>
          </cell>
          <cell r="DF359">
            <v>12156.5</v>
          </cell>
          <cell r="DJ359">
            <v>1074.5333333333328</v>
          </cell>
          <cell r="DK359">
            <v>1067.5999999999999</v>
          </cell>
          <cell r="DL359">
            <v>29.58</v>
          </cell>
          <cell r="DM359">
            <v>70.905000000000001</v>
          </cell>
          <cell r="DN359">
            <v>1175.0183333333327</v>
          </cell>
          <cell r="DO359">
            <v>0</v>
          </cell>
          <cell r="DP359">
            <v>0</v>
          </cell>
          <cell r="DX359">
            <v>870</v>
          </cell>
          <cell r="DY359">
            <v>539.4</v>
          </cell>
          <cell r="DZ359">
            <v>898</v>
          </cell>
          <cell r="EA359">
            <v>556.76</v>
          </cell>
          <cell r="EC359">
            <v>18903.333333333328</v>
          </cell>
          <cell r="ED359">
            <v>19663</v>
          </cell>
          <cell r="EE359">
            <v>0</v>
          </cell>
          <cell r="EF359">
            <v>0</v>
          </cell>
          <cell r="EG359">
            <v>588</v>
          </cell>
          <cell r="EH359">
            <v>576.33333333333348</v>
          </cell>
          <cell r="EI359">
            <v>63.074999999999996</v>
          </cell>
          <cell r="EJ359">
            <v>65.10499999999999</v>
          </cell>
          <cell r="EK359">
            <v>716.18000000000006</v>
          </cell>
          <cell r="EU359">
            <v>220</v>
          </cell>
          <cell r="EV359">
            <v>136.4</v>
          </cell>
          <cell r="EW359">
            <v>119</v>
          </cell>
          <cell r="EX359">
            <v>73.78</v>
          </cell>
          <cell r="EY359">
            <v>23</v>
          </cell>
          <cell r="EZ359">
            <v>233.18</v>
          </cell>
          <cell r="FA359">
            <v>4298.3333333333321</v>
          </cell>
          <cell r="FB359">
            <v>407.33333333333326</v>
          </cell>
          <cell r="FC359">
            <v>15.95</v>
          </cell>
          <cell r="FD359">
            <v>8.6274999999999995</v>
          </cell>
          <cell r="FE359">
            <v>431.91083333333324</v>
          </cell>
        </row>
        <row r="360">
          <cell r="A360">
            <v>38473</v>
          </cell>
          <cell r="H360">
            <v>182.2</v>
          </cell>
          <cell r="I360">
            <v>112.964</v>
          </cell>
          <cell r="J360">
            <v>199.5</v>
          </cell>
          <cell r="K360">
            <v>123.69</v>
          </cell>
          <cell r="M360">
            <v>17248.875000000007</v>
          </cell>
          <cell r="N360">
            <v>17972.341666666671</v>
          </cell>
          <cell r="Q360">
            <v>1107.4916666666666</v>
          </cell>
          <cell r="R360">
            <v>1164.3083333333332</v>
          </cell>
          <cell r="S360">
            <v>13.209499999999998</v>
          </cell>
          <cell r="T360">
            <v>14.463749999999999</v>
          </cell>
          <cell r="U360">
            <v>1135.1649166666664</v>
          </cell>
          <cell r="AG360">
            <v>271</v>
          </cell>
          <cell r="AH360">
            <v>168.02</v>
          </cell>
          <cell r="AI360">
            <v>277</v>
          </cell>
          <cell r="AK360">
            <v>21236.333333333339</v>
          </cell>
          <cell r="AL360">
            <v>22325.083333333339</v>
          </cell>
          <cell r="AO360">
            <v>1791.4583333333335</v>
          </cell>
          <cell r="AP360">
            <v>1895.9333333333334</v>
          </cell>
          <cell r="AQ360">
            <v>0</v>
          </cell>
          <cell r="AR360">
            <v>19.647499999999997</v>
          </cell>
          <cell r="AS360">
            <v>1811.1058333333335</v>
          </cell>
          <cell r="AT360">
            <v>0</v>
          </cell>
          <cell r="AU360">
            <v>0</v>
          </cell>
          <cell r="BC360">
            <v>13.5</v>
          </cell>
          <cell r="BD360">
            <v>8.3699999999999992</v>
          </cell>
          <cell r="BE360">
            <v>0</v>
          </cell>
          <cell r="BF360">
            <v>0</v>
          </cell>
          <cell r="BG360">
            <v>8.3699999999999992</v>
          </cell>
          <cell r="BH360">
            <v>887</v>
          </cell>
          <cell r="BJ360">
            <v>9.6651270207852181E-3</v>
          </cell>
          <cell r="BK360">
            <v>0</v>
          </cell>
          <cell r="BL360">
            <v>113.0954405623003</v>
          </cell>
          <cell r="BN360">
            <v>0.9787499999999999</v>
          </cell>
          <cell r="BO360">
            <v>0</v>
          </cell>
          <cell r="BP360">
            <v>114.0741905623003</v>
          </cell>
          <cell r="BZ360">
            <v>108.07599999999999</v>
          </cell>
          <cell r="CB360">
            <v>135.209</v>
          </cell>
          <cell r="CE360">
            <v>3249.1872691250001</v>
          </cell>
          <cell r="CI360">
            <v>274.85757248829162</v>
          </cell>
          <cell r="CK360">
            <v>7.8355099999999993</v>
          </cell>
          <cell r="CL360">
            <v>9.8026524999999989</v>
          </cell>
          <cell r="CM360">
            <v>292.49573498829164</v>
          </cell>
          <cell r="CW360">
            <v>408</v>
          </cell>
          <cell r="CX360">
            <v>252.96</v>
          </cell>
          <cell r="CY360">
            <v>978</v>
          </cell>
          <cell r="CZ360">
            <v>606.36</v>
          </cell>
          <cell r="DF360">
            <v>12192.875</v>
          </cell>
          <cell r="DJ360">
            <v>1071.4166666666661</v>
          </cell>
          <cell r="DK360">
            <v>1072.0999999999999</v>
          </cell>
          <cell r="DL360">
            <v>29.58</v>
          </cell>
          <cell r="DM360">
            <v>70.905000000000001</v>
          </cell>
          <cell r="DN360">
            <v>1171.901666666666</v>
          </cell>
          <cell r="DO360">
            <v>0</v>
          </cell>
          <cell r="DP360">
            <v>0</v>
          </cell>
          <cell r="DX360">
            <v>870</v>
          </cell>
          <cell r="DY360">
            <v>539.4</v>
          </cell>
          <cell r="DZ360">
            <v>898</v>
          </cell>
          <cell r="EA360">
            <v>556.76</v>
          </cell>
          <cell r="EC360">
            <v>18956.416666666661</v>
          </cell>
          <cell r="ED360">
            <v>19746.75</v>
          </cell>
          <cell r="EE360">
            <v>0</v>
          </cell>
          <cell r="EG360">
            <v>579</v>
          </cell>
          <cell r="EH360">
            <v>591.41666666666686</v>
          </cell>
          <cell r="EI360">
            <v>63.074999999999996</v>
          </cell>
          <cell r="EJ360">
            <v>65.10499999999999</v>
          </cell>
          <cell r="EK360">
            <v>707.18000000000006</v>
          </cell>
          <cell r="EU360">
            <v>220</v>
          </cell>
          <cell r="EV360">
            <v>136.4</v>
          </cell>
          <cell r="EW360">
            <v>119</v>
          </cell>
          <cell r="EX360">
            <v>73.78</v>
          </cell>
          <cell r="EY360">
            <v>23</v>
          </cell>
          <cell r="EZ360">
            <v>233.18</v>
          </cell>
          <cell r="FA360">
            <v>4317.1666666666652</v>
          </cell>
          <cell r="FB360">
            <v>409.16666666666657</v>
          </cell>
          <cell r="FC360">
            <v>15.95</v>
          </cell>
          <cell r="FD360">
            <v>8.6274999999999995</v>
          </cell>
          <cell r="FE360">
            <v>433.74416666666656</v>
          </cell>
        </row>
        <row r="361">
          <cell r="A361">
            <v>38504</v>
          </cell>
          <cell r="H361">
            <v>182.2</v>
          </cell>
          <cell r="I361">
            <v>112.964</v>
          </cell>
          <cell r="J361">
            <v>199.5</v>
          </cell>
          <cell r="K361">
            <v>123.69</v>
          </cell>
          <cell r="M361">
            <v>17306.650000000009</v>
          </cell>
          <cell r="N361">
            <v>18036.150000000005</v>
          </cell>
          <cell r="Q361">
            <v>1105.1499999999999</v>
          </cell>
          <cell r="R361">
            <v>1178.9499999999998</v>
          </cell>
          <cell r="S361">
            <v>13.209499999999998</v>
          </cell>
          <cell r="T361">
            <v>14.463749999999999</v>
          </cell>
          <cell r="U361">
            <v>1132.8232499999997</v>
          </cell>
          <cell r="AG361">
            <v>271</v>
          </cell>
          <cell r="AH361">
            <v>168.02</v>
          </cell>
          <cell r="AI361">
            <v>277</v>
          </cell>
          <cell r="AK361">
            <v>21353.000000000007</v>
          </cell>
          <cell r="AL361">
            <v>22379.500000000007</v>
          </cell>
          <cell r="AO361">
            <v>1798.5500000000002</v>
          </cell>
          <cell r="AP361">
            <v>1906.9</v>
          </cell>
          <cell r="AQ361">
            <v>0</v>
          </cell>
          <cell r="AR361">
            <v>19.647499999999997</v>
          </cell>
          <cell r="AS361">
            <v>1818.1975000000002</v>
          </cell>
          <cell r="AT361">
            <v>0</v>
          </cell>
          <cell r="AU361">
            <v>0</v>
          </cell>
          <cell r="BC361">
            <v>13.5</v>
          </cell>
          <cell r="BD361">
            <v>8.3699999999999992</v>
          </cell>
          <cell r="BE361">
            <v>0</v>
          </cell>
          <cell r="BF361">
            <v>0</v>
          </cell>
          <cell r="BG361">
            <v>8.3699999999999992</v>
          </cell>
          <cell r="BH361">
            <v>884</v>
          </cell>
          <cell r="BJ361">
            <v>9.6651270207852181E-3</v>
          </cell>
          <cell r="BK361">
            <v>0</v>
          </cell>
          <cell r="BL361">
            <v>112.05506126517569</v>
          </cell>
          <cell r="BN361">
            <v>0.9787499999999999</v>
          </cell>
          <cell r="BO361">
            <v>0</v>
          </cell>
          <cell r="BP361">
            <v>113.0338112651757</v>
          </cell>
          <cell r="BZ361">
            <v>108.07599999999999</v>
          </cell>
          <cell r="CB361">
            <v>135.209</v>
          </cell>
          <cell r="CE361">
            <v>3273.17805795</v>
          </cell>
          <cell r="CI361">
            <v>280.72908698594995</v>
          </cell>
          <cell r="CK361">
            <v>7.8355099999999993</v>
          </cell>
          <cell r="CL361">
            <v>9.8026524999999989</v>
          </cell>
          <cell r="CM361">
            <v>298.36724948594997</v>
          </cell>
          <cell r="CW361">
            <v>408</v>
          </cell>
          <cell r="CX361">
            <v>252.96</v>
          </cell>
          <cell r="CY361">
            <v>978</v>
          </cell>
          <cell r="CZ361">
            <v>606.36</v>
          </cell>
          <cell r="DF361">
            <v>12229.25</v>
          </cell>
          <cell r="DJ361">
            <v>1068.2999999999993</v>
          </cell>
          <cell r="DK361">
            <v>1076.5999999999999</v>
          </cell>
          <cell r="DL361">
            <v>29.58</v>
          </cell>
          <cell r="DM361">
            <v>70.905000000000001</v>
          </cell>
          <cell r="DN361">
            <v>1168.7849999999992</v>
          </cell>
          <cell r="DO361">
            <v>0</v>
          </cell>
          <cell r="DP361">
            <v>0</v>
          </cell>
          <cell r="DX361">
            <v>870</v>
          </cell>
          <cell r="DY361">
            <v>539.4</v>
          </cell>
          <cell r="DZ361">
            <v>898</v>
          </cell>
          <cell r="EA361">
            <v>556.76</v>
          </cell>
          <cell r="EC361">
            <v>19009.499999999993</v>
          </cell>
          <cell r="ED361">
            <v>19830.5</v>
          </cell>
          <cell r="EE361">
            <v>0</v>
          </cell>
          <cell r="EG361">
            <v>570</v>
          </cell>
          <cell r="EH361">
            <v>606.50000000000023</v>
          </cell>
          <cell r="EI361">
            <v>63.074999999999996</v>
          </cell>
          <cell r="EJ361">
            <v>65.10499999999999</v>
          </cell>
          <cell r="EK361">
            <v>698.18000000000006</v>
          </cell>
          <cell r="EU361">
            <v>220</v>
          </cell>
          <cell r="EV361">
            <v>136.4</v>
          </cell>
          <cell r="EW361">
            <v>119</v>
          </cell>
          <cell r="EX361">
            <v>73.78</v>
          </cell>
          <cell r="EY361">
            <v>23</v>
          </cell>
          <cell r="EZ361">
            <v>233.18</v>
          </cell>
          <cell r="FA361">
            <v>4335.9999999999982</v>
          </cell>
          <cell r="FB361">
            <v>410.99999999999989</v>
          </cell>
          <cell r="FC361">
            <v>15.95</v>
          </cell>
          <cell r="FD361">
            <v>8.6274999999999995</v>
          </cell>
          <cell r="FE361">
            <v>435.57749999999987</v>
          </cell>
        </row>
        <row r="362">
          <cell r="A362">
            <v>38534</v>
          </cell>
          <cell r="H362">
            <v>182.2</v>
          </cell>
          <cell r="I362">
            <v>112.964</v>
          </cell>
          <cell r="J362">
            <v>199.5</v>
          </cell>
          <cell r="K362">
            <v>123.69</v>
          </cell>
          <cell r="M362">
            <v>17364.42500000001</v>
          </cell>
          <cell r="N362">
            <v>18099.958333333339</v>
          </cell>
          <cell r="Q362">
            <v>1102.8083333333332</v>
          </cell>
          <cell r="R362">
            <v>1193.5916666666665</v>
          </cell>
          <cell r="S362">
            <v>13.209499999999998</v>
          </cell>
          <cell r="T362">
            <v>14.463749999999999</v>
          </cell>
          <cell r="U362">
            <v>1130.481583333333</v>
          </cell>
          <cell r="AG362">
            <v>271</v>
          </cell>
          <cell r="AH362">
            <v>168.02</v>
          </cell>
          <cell r="AI362">
            <v>277</v>
          </cell>
          <cell r="AK362">
            <v>21469.666666666675</v>
          </cell>
          <cell r="AL362">
            <v>22433.916666666675</v>
          </cell>
          <cell r="AO362">
            <v>1805.6416666666669</v>
          </cell>
          <cell r="AP362">
            <v>1917.8666666666668</v>
          </cell>
          <cell r="AQ362">
            <v>0</v>
          </cell>
          <cell r="AR362">
            <v>19.647499999999997</v>
          </cell>
          <cell r="AS362">
            <v>1825.2891666666669</v>
          </cell>
          <cell r="AT362">
            <v>0</v>
          </cell>
          <cell r="AU362">
            <v>0</v>
          </cell>
          <cell r="BC362">
            <v>13.5</v>
          </cell>
          <cell r="BD362">
            <v>8.3699999999999992</v>
          </cell>
          <cell r="BE362">
            <v>0</v>
          </cell>
          <cell r="BF362">
            <v>0</v>
          </cell>
          <cell r="BG362">
            <v>8.3699999999999992</v>
          </cell>
          <cell r="BH362">
            <v>881</v>
          </cell>
          <cell r="BJ362">
            <v>9.6651270207852181E-3</v>
          </cell>
          <cell r="BK362">
            <v>0</v>
          </cell>
          <cell r="BL362">
            <v>111.01468196805109</v>
          </cell>
          <cell r="BN362">
            <v>0.9787499999999999</v>
          </cell>
          <cell r="BO362">
            <v>0</v>
          </cell>
          <cell r="BP362">
            <v>111.9934319680511</v>
          </cell>
          <cell r="BZ362">
            <v>108.07599999999999</v>
          </cell>
          <cell r="CB362">
            <v>135.209</v>
          </cell>
          <cell r="CE362">
            <v>3297.168846775</v>
          </cell>
          <cell r="CI362">
            <v>286.60060148360827</v>
          </cell>
          <cell r="CK362">
            <v>7.8355099999999993</v>
          </cell>
          <cell r="CL362">
            <v>9.8026524999999989</v>
          </cell>
          <cell r="CM362">
            <v>304.23876398360829</v>
          </cell>
          <cell r="CW362">
            <v>408</v>
          </cell>
          <cell r="CX362">
            <v>252.96</v>
          </cell>
          <cell r="CY362">
            <v>978</v>
          </cell>
          <cell r="CZ362">
            <v>606.36</v>
          </cell>
          <cell r="DF362">
            <v>12265.625</v>
          </cell>
          <cell r="DJ362">
            <v>1065.1833333333325</v>
          </cell>
          <cell r="DK362">
            <v>1081.0999999999999</v>
          </cell>
          <cell r="DL362">
            <v>29.58</v>
          </cell>
          <cell r="DM362">
            <v>70.905000000000001</v>
          </cell>
          <cell r="DN362">
            <v>1165.6683333333324</v>
          </cell>
          <cell r="DO362">
            <v>0</v>
          </cell>
          <cell r="DP362">
            <v>0</v>
          </cell>
          <cell r="DX362">
            <v>870</v>
          </cell>
          <cell r="DY362">
            <v>539.4</v>
          </cell>
          <cell r="DZ362">
            <v>898</v>
          </cell>
          <cell r="EA362">
            <v>556.76</v>
          </cell>
          <cell r="EC362">
            <v>19062.583333333325</v>
          </cell>
          <cell r="ED362">
            <v>19914.25</v>
          </cell>
          <cell r="EE362">
            <v>0</v>
          </cell>
          <cell r="EG362">
            <v>561</v>
          </cell>
          <cell r="EH362">
            <v>621.5833333333336</v>
          </cell>
          <cell r="EI362">
            <v>63.074999999999996</v>
          </cell>
          <cell r="EJ362">
            <v>65.10499999999999</v>
          </cell>
          <cell r="EK362">
            <v>689.18000000000006</v>
          </cell>
          <cell r="EU362">
            <v>220</v>
          </cell>
          <cell r="EV362">
            <v>136.4</v>
          </cell>
          <cell r="EW362">
            <v>119</v>
          </cell>
          <cell r="EX362">
            <v>73.78</v>
          </cell>
          <cell r="EY362">
            <v>23</v>
          </cell>
          <cell r="EZ362">
            <v>233.18</v>
          </cell>
          <cell r="FA362">
            <v>4354.8333333333312</v>
          </cell>
          <cell r="FB362">
            <v>412.8333333333332</v>
          </cell>
          <cell r="FC362">
            <v>15.95</v>
          </cell>
          <cell r="FD362">
            <v>8.6274999999999995</v>
          </cell>
          <cell r="FE362">
            <v>437.41083333333319</v>
          </cell>
        </row>
        <row r="363">
          <cell r="A363">
            <v>38565</v>
          </cell>
          <cell r="H363">
            <v>182.2</v>
          </cell>
          <cell r="I363">
            <v>112.964</v>
          </cell>
          <cell r="J363">
            <v>199.5</v>
          </cell>
          <cell r="K363">
            <v>123.69</v>
          </cell>
          <cell r="M363">
            <v>17422.200000000012</v>
          </cell>
          <cell r="N363">
            <v>18163.766666666674</v>
          </cell>
          <cell r="Q363">
            <v>1100.4666666666665</v>
          </cell>
          <cell r="R363">
            <v>1208.2333333333331</v>
          </cell>
          <cell r="S363">
            <v>13.209499999999998</v>
          </cell>
          <cell r="T363">
            <v>14.463749999999999</v>
          </cell>
          <cell r="U363">
            <v>1128.1399166666663</v>
          </cell>
          <cell r="AG363">
            <v>271</v>
          </cell>
          <cell r="AH363">
            <v>168.02</v>
          </cell>
          <cell r="AI363">
            <v>277</v>
          </cell>
          <cell r="AK363">
            <v>21586.333333333343</v>
          </cell>
          <cell r="AL363">
            <v>22488.333333333343</v>
          </cell>
          <cell r="AO363">
            <v>1812.7333333333336</v>
          </cell>
          <cell r="AP363">
            <v>1928.8333333333335</v>
          </cell>
          <cell r="AQ363">
            <v>0</v>
          </cell>
          <cell r="AR363">
            <v>19.647499999999997</v>
          </cell>
          <cell r="AS363">
            <v>1832.3808333333336</v>
          </cell>
          <cell r="AT363">
            <v>0</v>
          </cell>
          <cell r="AU363">
            <v>0</v>
          </cell>
          <cell r="BC363">
            <v>13.5</v>
          </cell>
          <cell r="BD363">
            <v>8.3699999999999992</v>
          </cell>
          <cell r="BE363">
            <v>0</v>
          </cell>
          <cell r="BF363">
            <v>0</v>
          </cell>
          <cell r="BG363">
            <v>8.3699999999999992</v>
          </cell>
          <cell r="BH363">
            <v>878</v>
          </cell>
          <cell r="BJ363">
            <v>9.6651270207852181E-3</v>
          </cell>
          <cell r="BK363">
            <v>0</v>
          </cell>
          <cell r="BL363">
            <v>109.97430267092649</v>
          </cell>
          <cell r="BN363">
            <v>0.9787499999999999</v>
          </cell>
          <cell r="BO363">
            <v>0</v>
          </cell>
          <cell r="BP363">
            <v>110.9530526709265</v>
          </cell>
          <cell r="BZ363">
            <v>108.07599999999999</v>
          </cell>
          <cell r="CB363">
            <v>135.209</v>
          </cell>
          <cell r="CE363">
            <v>3321.1596356</v>
          </cell>
          <cell r="CI363">
            <v>292.4721159812666</v>
          </cell>
          <cell r="CK363">
            <v>7.8355099999999993</v>
          </cell>
          <cell r="CL363">
            <v>9.8026524999999989</v>
          </cell>
          <cell r="CM363">
            <v>310.11027848126662</v>
          </cell>
          <cell r="CW363">
            <v>408</v>
          </cell>
          <cell r="CX363">
            <v>252.96</v>
          </cell>
          <cell r="CY363">
            <v>978</v>
          </cell>
          <cell r="CZ363">
            <v>606.36</v>
          </cell>
          <cell r="DF363">
            <v>12302</v>
          </cell>
          <cell r="DJ363">
            <v>1062.0666666666657</v>
          </cell>
          <cell r="DK363">
            <v>1085.5999999999999</v>
          </cell>
          <cell r="DL363">
            <v>29.58</v>
          </cell>
          <cell r="DM363">
            <v>70.905000000000001</v>
          </cell>
          <cell r="DN363">
            <v>1162.5516666666656</v>
          </cell>
          <cell r="DO363">
            <v>0</v>
          </cell>
          <cell r="DP363">
            <v>0</v>
          </cell>
          <cell r="DX363">
            <v>870</v>
          </cell>
          <cell r="DY363">
            <v>539.4</v>
          </cell>
          <cell r="DZ363">
            <v>898</v>
          </cell>
          <cell r="EA363">
            <v>556.76</v>
          </cell>
          <cell r="EC363">
            <v>19115.666666666657</v>
          </cell>
          <cell r="ED363">
            <v>19998</v>
          </cell>
          <cell r="EE363">
            <v>0</v>
          </cell>
          <cell r="EG363">
            <v>552</v>
          </cell>
          <cell r="EH363">
            <v>636.66666666666697</v>
          </cell>
          <cell r="EI363">
            <v>63.074999999999996</v>
          </cell>
          <cell r="EJ363">
            <v>65.10499999999999</v>
          </cell>
          <cell r="EK363">
            <v>680.18000000000006</v>
          </cell>
          <cell r="EU363">
            <v>220</v>
          </cell>
          <cell r="EV363">
            <v>136.4</v>
          </cell>
          <cell r="EW363">
            <v>119</v>
          </cell>
          <cell r="EX363">
            <v>73.78</v>
          </cell>
          <cell r="EY363">
            <v>23</v>
          </cell>
          <cell r="EZ363">
            <v>233.18</v>
          </cell>
          <cell r="FA363">
            <v>4373.6666666666642</v>
          </cell>
          <cell r="FB363">
            <v>414.66666666666652</v>
          </cell>
          <cell r="FC363">
            <v>15.95</v>
          </cell>
          <cell r="FD363">
            <v>8.6274999999999995</v>
          </cell>
          <cell r="FE363">
            <v>439.2441666666665</v>
          </cell>
        </row>
        <row r="364">
          <cell r="A364">
            <v>38596</v>
          </cell>
          <cell r="H364">
            <v>182.2</v>
          </cell>
          <cell r="I364">
            <v>112.964</v>
          </cell>
          <cell r="J364">
            <v>199.5</v>
          </cell>
          <cell r="K364">
            <v>123.69</v>
          </cell>
          <cell r="M364">
            <v>17479.975000000013</v>
          </cell>
          <cell r="N364">
            <v>18227.575000000008</v>
          </cell>
          <cell r="Q364">
            <v>1098.1249999999998</v>
          </cell>
          <cell r="R364">
            <v>1222.8749999999998</v>
          </cell>
          <cell r="S364">
            <v>13.209499999999998</v>
          </cell>
          <cell r="T364">
            <v>14.463749999999999</v>
          </cell>
          <cell r="U364">
            <v>1125.7982499999996</v>
          </cell>
          <cell r="AG364">
            <v>271</v>
          </cell>
          <cell r="AH364">
            <v>168.02</v>
          </cell>
          <cell r="AI364">
            <v>277</v>
          </cell>
          <cell r="AK364">
            <v>21703.000000000011</v>
          </cell>
          <cell r="AL364">
            <v>22542.750000000011</v>
          </cell>
          <cell r="AO364">
            <v>1819.8250000000003</v>
          </cell>
          <cell r="AP364">
            <v>1939.8000000000002</v>
          </cell>
          <cell r="AQ364">
            <v>0</v>
          </cell>
          <cell r="AR364">
            <v>19.647499999999997</v>
          </cell>
          <cell r="AS364">
            <v>1839.4725000000003</v>
          </cell>
          <cell r="AT364">
            <v>0</v>
          </cell>
          <cell r="AU364">
            <v>0</v>
          </cell>
          <cell r="BC364">
            <v>13.5</v>
          </cell>
          <cell r="BD364">
            <v>8.3699999999999992</v>
          </cell>
          <cell r="BE364">
            <v>0</v>
          </cell>
          <cell r="BF364">
            <v>0</v>
          </cell>
          <cell r="BG364">
            <v>8.3699999999999992</v>
          </cell>
          <cell r="BH364">
            <v>875</v>
          </cell>
          <cell r="BJ364">
            <v>9.6651270207852181E-3</v>
          </cell>
          <cell r="BK364">
            <v>0</v>
          </cell>
          <cell r="BL364">
            <v>108.93392337380189</v>
          </cell>
          <cell r="BN364">
            <v>0.9787499999999999</v>
          </cell>
          <cell r="BO364">
            <v>0</v>
          </cell>
          <cell r="BP364">
            <v>109.91267337380189</v>
          </cell>
          <cell r="BZ364">
            <v>108.07599999999999</v>
          </cell>
          <cell r="CB364">
            <v>135.209</v>
          </cell>
          <cell r="CE364">
            <v>3345.150424425</v>
          </cell>
          <cell r="CI364">
            <v>298.34363047892492</v>
          </cell>
          <cell r="CK364">
            <v>7.8355099999999993</v>
          </cell>
          <cell r="CL364">
            <v>9.8026524999999989</v>
          </cell>
          <cell r="CM364">
            <v>315.98179297892494</v>
          </cell>
          <cell r="CW364">
            <v>408</v>
          </cell>
          <cell r="CX364">
            <v>252.96</v>
          </cell>
          <cell r="CY364">
            <v>978</v>
          </cell>
          <cell r="CZ364">
            <v>606.36</v>
          </cell>
          <cell r="DF364">
            <v>12338.375</v>
          </cell>
          <cell r="DJ364">
            <v>1058.9499999999989</v>
          </cell>
          <cell r="DK364">
            <v>1090.0999999999999</v>
          </cell>
          <cell r="DL364">
            <v>29.58</v>
          </cell>
          <cell r="DM364">
            <v>70.905000000000001</v>
          </cell>
          <cell r="DN364">
            <v>1159.4349999999988</v>
          </cell>
          <cell r="DO364">
            <v>0</v>
          </cell>
          <cell r="DP364">
            <v>0</v>
          </cell>
          <cell r="DX364">
            <v>870</v>
          </cell>
          <cell r="DY364">
            <v>539.4</v>
          </cell>
          <cell r="DZ364">
            <v>898</v>
          </cell>
          <cell r="EA364">
            <v>556.76</v>
          </cell>
          <cell r="EC364">
            <v>19168.749999999989</v>
          </cell>
          <cell r="ED364">
            <v>20081.75</v>
          </cell>
          <cell r="EE364">
            <v>0</v>
          </cell>
          <cell r="EG364">
            <v>543</v>
          </cell>
          <cell r="EH364">
            <v>651.75000000000034</v>
          </cell>
          <cell r="EI364">
            <v>63.074999999999996</v>
          </cell>
          <cell r="EJ364">
            <v>65.10499999999999</v>
          </cell>
          <cell r="EK364">
            <v>671.18000000000006</v>
          </cell>
          <cell r="EU364">
            <v>220</v>
          </cell>
          <cell r="EV364">
            <v>136.4</v>
          </cell>
          <cell r="EW364">
            <v>119</v>
          </cell>
          <cell r="EX364">
            <v>73.78</v>
          </cell>
          <cell r="EY364">
            <v>23</v>
          </cell>
          <cell r="EZ364">
            <v>233.18</v>
          </cell>
          <cell r="FA364">
            <v>4392.4999999999973</v>
          </cell>
          <cell r="FB364">
            <v>416.49999999999983</v>
          </cell>
          <cell r="FC364">
            <v>15.95</v>
          </cell>
          <cell r="FD364">
            <v>8.6274999999999995</v>
          </cell>
          <cell r="FE364">
            <v>441.07749999999982</v>
          </cell>
        </row>
        <row r="365">
          <cell r="A365">
            <v>38626</v>
          </cell>
          <cell r="H365">
            <v>182.2</v>
          </cell>
          <cell r="I365">
            <v>112.964</v>
          </cell>
          <cell r="J365">
            <v>199.5</v>
          </cell>
          <cell r="K365">
            <v>123.69</v>
          </cell>
          <cell r="M365">
            <v>17537.750000000015</v>
          </cell>
          <cell r="N365">
            <v>18291.383333333342</v>
          </cell>
          <cell r="Q365">
            <v>1095.7833333333331</v>
          </cell>
          <cell r="R365">
            <v>1237.5166666666664</v>
          </cell>
          <cell r="S365">
            <v>13.209499999999998</v>
          </cell>
          <cell r="T365">
            <v>14.463749999999999</v>
          </cell>
          <cell r="U365">
            <v>1123.4565833333329</v>
          </cell>
          <cell r="AG365">
            <v>271</v>
          </cell>
          <cell r="AH365">
            <v>168.02</v>
          </cell>
          <cell r="AI365">
            <v>277</v>
          </cell>
          <cell r="AK365">
            <v>21819.666666666679</v>
          </cell>
          <cell r="AL365">
            <v>22597.166666666679</v>
          </cell>
          <cell r="AO365">
            <v>1826.916666666667</v>
          </cell>
          <cell r="AP365">
            <v>1950.7666666666669</v>
          </cell>
          <cell r="AQ365">
            <v>0</v>
          </cell>
          <cell r="AR365">
            <v>19.647499999999997</v>
          </cell>
          <cell r="AS365">
            <v>1846.564166666667</v>
          </cell>
          <cell r="AT365">
            <v>0</v>
          </cell>
          <cell r="AU365">
            <v>0</v>
          </cell>
          <cell r="BC365">
            <v>13.5</v>
          </cell>
          <cell r="BD365">
            <v>8.3699999999999992</v>
          </cell>
          <cell r="BE365">
            <v>0</v>
          </cell>
          <cell r="BF365">
            <v>0</v>
          </cell>
          <cell r="BG365">
            <v>8.3699999999999992</v>
          </cell>
          <cell r="BH365">
            <v>872</v>
          </cell>
          <cell r="BJ365">
            <v>9.6651270207852181E-3</v>
          </cell>
          <cell r="BK365">
            <v>0</v>
          </cell>
          <cell r="BL365">
            <v>107.89354407667729</v>
          </cell>
          <cell r="BN365">
            <v>0.9787499999999999</v>
          </cell>
          <cell r="BO365">
            <v>0</v>
          </cell>
          <cell r="BP365">
            <v>108.87229407667729</v>
          </cell>
          <cell r="BZ365">
            <v>108.07599999999999</v>
          </cell>
          <cell r="CB365">
            <v>135.209</v>
          </cell>
          <cell r="CE365">
            <v>3369.14121325</v>
          </cell>
          <cell r="CI365">
            <v>304.21514497658325</v>
          </cell>
          <cell r="CK365">
            <v>7.8355099999999993</v>
          </cell>
          <cell r="CL365">
            <v>9.8026524999999989</v>
          </cell>
          <cell r="CM365">
            <v>321.85330747658327</v>
          </cell>
          <cell r="CW365">
            <v>408</v>
          </cell>
          <cell r="CX365">
            <v>252.96</v>
          </cell>
          <cell r="CY365">
            <v>978</v>
          </cell>
          <cell r="CZ365">
            <v>606.36</v>
          </cell>
          <cell r="DF365">
            <v>12374.75</v>
          </cell>
          <cell r="DJ365">
            <v>1055.8333333333321</v>
          </cell>
          <cell r="DK365">
            <v>1094.5999999999999</v>
          </cell>
          <cell r="DL365">
            <v>29.58</v>
          </cell>
          <cell r="DM365">
            <v>70.905000000000001</v>
          </cell>
          <cell r="DN365">
            <v>1156.318333333332</v>
          </cell>
          <cell r="DO365">
            <v>0</v>
          </cell>
          <cell r="DP365">
            <v>0</v>
          </cell>
          <cell r="DX365">
            <v>870</v>
          </cell>
          <cell r="DY365">
            <v>539.4</v>
          </cell>
          <cell r="DZ365">
            <v>898</v>
          </cell>
          <cell r="EA365">
            <v>556.76</v>
          </cell>
          <cell r="EC365">
            <v>19221.833333333321</v>
          </cell>
          <cell r="ED365">
            <v>20165.5</v>
          </cell>
          <cell r="EG365">
            <v>534</v>
          </cell>
          <cell r="EH365">
            <v>666.83333333333371</v>
          </cell>
          <cell r="EI365">
            <v>63.074999999999996</v>
          </cell>
          <cell r="EJ365">
            <v>65.10499999999999</v>
          </cell>
          <cell r="EK365">
            <v>662.18000000000006</v>
          </cell>
          <cell r="EU365">
            <v>220</v>
          </cell>
          <cell r="EV365">
            <v>136.4</v>
          </cell>
          <cell r="EW365">
            <v>119</v>
          </cell>
          <cell r="EX365">
            <v>73.78</v>
          </cell>
          <cell r="EY365">
            <v>23</v>
          </cell>
          <cell r="EZ365">
            <v>233.18</v>
          </cell>
          <cell r="FA365">
            <v>4411.3333333333303</v>
          </cell>
          <cell r="FB365">
            <v>418.33333333333314</v>
          </cell>
          <cell r="FC365">
            <v>15.95</v>
          </cell>
          <cell r="FD365">
            <v>8.6274999999999995</v>
          </cell>
          <cell r="FE365">
            <v>442.91083333333313</v>
          </cell>
        </row>
        <row r="366">
          <cell r="A366">
            <v>38657</v>
          </cell>
          <cell r="H366">
            <v>182.2</v>
          </cell>
          <cell r="I366">
            <v>112.964</v>
          </cell>
          <cell r="J366">
            <v>199.5</v>
          </cell>
          <cell r="K366">
            <v>123.69</v>
          </cell>
          <cell r="M366">
            <v>17595.525000000016</v>
          </cell>
          <cell r="N366">
            <v>18355.191666666677</v>
          </cell>
          <cell r="Q366">
            <v>1093.4416666666664</v>
          </cell>
          <cell r="R366">
            <v>1252.1583333333331</v>
          </cell>
          <cell r="S366">
            <v>13.209499999999998</v>
          </cell>
          <cell r="T366">
            <v>14.463749999999999</v>
          </cell>
          <cell r="U366">
            <v>1121.1149166666662</v>
          </cell>
          <cell r="AG366">
            <v>271</v>
          </cell>
          <cell r="AH366">
            <v>168.02</v>
          </cell>
          <cell r="AI366">
            <v>277</v>
          </cell>
          <cell r="AK366">
            <v>21936.333333333347</v>
          </cell>
          <cell r="AL366">
            <v>22651.583333333347</v>
          </cell>
          <cell r="AO366">
            <v>1834.0083333333337</v>
          </cell>
          <cell r="AP366">
            <v>1961.7333333333336</v>
          </cell>
          <cell r="AQ366">
            <v>0</v>
          </cell>
          <cell r="AR366">
            <v>19.647499999999997</v>
          </cell>
          <cell r="AS366">
            <v>1853.6558333333337</v>
          </cell>
          <cell r="AT366">
            <v>0</v>
          </cell>
          <cell r="AU366">
            <v>0</v>
          </cell>
          <cell r="BC366">
            <v>13.5</v>
          </cell>
          <cell r="BD366">
            <v>8.3699999999999992</v>
          </cell>
          <cell r="BE366">
            <v>0</v>
          </cell>
          <cell r="BF366">
            <v>0</v>
          </cell>
          <cell r="BG366">
            <v>8.3699999999999992</v>
          </cell>
          <cell r="BH366">
            <v>869</v>
          </cell>
          <cell r="BJ366">
            <v>9.6651270207852181E-3</v>
          </cell>
          <cell r="BK366">
            <v>0</v>
          </cell>
          <cell r="BL366">
            <v>106.85316477955269</v>
          </cell>
          <cell r="BN366">
            <v>0.9787499999999999</v>
          </cell>
          <cell r="BO366">
            <v>0</v>
          </cell>
          <cell r="BP366">
            <v>107.83191477955269</v>
          </cell>
          <cell r="BZ366">
            <v>108.07599999999999</v>
          </cell>
          <cell r="CB366">
            <v>135.209</v>
          </cell>
          <cell r="CE366">
            <v>3393.1320020749999</v>
          </cell>
          <cell r="CI366">
            <v>310.08665947424157</v>
          </cell>
          <cell r="CK366">
            <v>7.8355099999999993</v>
          </cell>
          <cell r="CL366">
            <v>9.8026524999999989</v>
          </cell>
          <cell r="CM366">
            <v>327.72482197424159</v>
          </cell>
          <cell r="CW366">
            <v>408</v>
          </cell>
          <cell r="CX366">
            <v>252.96</v>
          </cell>
          <cell r="CY366">
            <v>978</v>
          </cell>
          <cell r="CZ366">
            <v>606.36</v>
          </cell>
          <cell r="DF366">
            <v>12411.125</v>
          </cell>
          <cell r="DJ366">
            <v>1052.7166666666653</v>
          </cell>
          <cell r="DK366">
            <v>1099.0999999999999</v>
          </cell>
          <cell r="DL366">
            <v>29.58</v>
          </cell>
          <cell r="DM366">
            <v>70.905000000000001</v>
          </cell>
          <cell r="DN366">
            <v>1153.2016666666652</v>
          </cell>
          <cell r="DO366">
            <v>0</v>
          </cell>
          <cell r="DP366">
            <v>0</v>
          </cell>
          <cell r="DX366">
            <v>870</v>
          </cell>
          <cell r="DY366">
            <v>539.4</v>
          </cell>
          <cell r="DZ366">
            <v>898</v>
          </cell>
          <cell r="EA366">
            <v>556.76</v>
          </cell>
          <cell r="EC366">
            <v>19274.916666666653</v>
          </cell>
          <cell r="ED366">
            <v>20249.25</v>
          </cell>
          <cell r="EG366">
            <v>525</v>
          </cell>
          <cell r="EH366">
            <v>681.91666666666708</v>
          </cell>
          <cell r="EI366">
            <v>63.074999999999996</v>
          </cell>
          <cell r="EJ366">
            <v>65.10499999999999</v>
          </cell>
          <cell r="EK366">
            <v>653.18000000000006</v>
          </cell>
          <cell r="EU366">
            <v>220</v>
          </cell>
          <cell r="EV366">
            <v>136.4</v>
          </cell>
          <cell r="EW366">
            <v>119</v>
          </cell>
          <cell r="EX366">
            <v>73.78</v>
          </cell>
          <cell r="EY366">
            <v>23</v>
          </cell>
          <cell r="EZ366">
            <v>233.18</v>
          </cell>
          <cell r="FA366">
            <v>4430.1666666666633</v>
          </cell>
          <cell r="FB366">
            <v>420.16666666666646</v>
          </cell>
          <cell r="FC366">
            <v>15.95</v>
          </cell>
          <cell r="FD366">
            <v>8.6274999999999995</v>
          </cell>
          <cell r="FE366">
            <v>444.74416666666644</v>
          </cell>
        </row>
        <row r="367">
          <cell r="A367">
            <v>38687</v>
          </cell>
          <cell r="H367">
            <v>182.2</v>
          </cell>
          <cell r="I367">
            <v>112.964</v>
          </cell>
          <cell r="J367">
            <v>199.5</v>
          </cell>
          <cell r="K367">
            <v>123.69</v>
          </cell>
          <cell r="M367">
            <v>17653.3</v>
          </cell>
          <cell r="N367">
            <v>18419</v>
          </cell>
          <cell r="Q367">
            <v>1091.0999999999999</v>
          </cell>
          <cell r="R367">
            <v>1266.8</v>
          </cell>
          <cell r="S367">
            <v>13.209499999999998</v>
          </cell>
          <cell r="T367">
            <v>14.463749999999999</v>
          </cell>
          <cell r="U367">
            <v>1118.7732499999997</v>
          </cell>
          <cell r="AE367">
            <v>0</v>
          </cell>
          <cell r="AF367">
            <v>0</v>
          </cell>
          <cell r="AG367">
            <v>271</v>
          </cell>
          <cell r="AH367">
            <v>168.02</v>
          </cell>
          <cell r="AI367">
            <v>277</v>
          </cell>
          <cell r="AJ367">
            <v>445.02</v>
          </cell>
          <cell r="AK367">
            <v>22053</v>
          </cell>
          <cell r="AL367">
            <v>22706</v>
          </cell>
          <cell r="AO367">
            <v>1841.1</v>
          </cell>
          <cell r="AP367">
            <v>1972.7</v>
          </cell>
          <cell r="AQ367">
            <v>0</v>
          </cell>
          <cell r="AR367">
            <v>19.647499999999997</v>
          </cell>
          <cell r="AS367">
            <v>1860.7474999999999</v>
          </cell>
          <cell r="AT367">
            <v>0.23916194970032204</v>
          </cell>
          <cell r="AU367">
            <v>0</v>
          </cell>
          <cell r="BC367">
            <v>13.5</v>
          </cell>
          <cell r="BD367">
            <v>8.3699999999999992</v>
          </cell>
          <cell r="BE367">
            <v>0</v>
          </cell>
          <cell r="BF367">
            <v>0</v>
          </cell>
          <cell r="BG367">
            <v>8.3699999999999992</v>
          </cell>
          <cell r="BH367">
            <v>866</v>
          </cell>
          <cell r="BL367">
            <v>105.81278548242811</v>
          </cell>
          <cell r="BN367">
            <v>0.9787499999999999</v>
          </cell>
          <cell r="BO367">
            <v>0</v>
          </cell>
          <cell r="BP367">
            <v>106.79153548242812</v>
          </cell>
          <cell r="BZ367">
            <v>108.07599999999999</v>
          </cell>
          <cell r="CB367">
            <v>135.209</v>
          </cell>
          <cell r="CE367">
            <v>3417.1227909000004</v>
          </cell>
          <cell r="CI367">
            <v>315.95817397190001</v>
          </cell>
          <cell r="CK367">
            <v>7.8355099999999993</v>
          </cell>
          <cell r="CL367">
            <v>9.8026524999999989</v>
          </cell>
          <cell r="CM367">
            <v>333.59633647190003</v>
          </cell>
          <cell r="CW367">
            <v>408</v>
          </cell>
          <cell r="CX367">
            <v>252.96</v>
          </cell>
          <cell r="CY367">
            <v>978</v>
          </cell>
          <cell r="CZ367">
            <v>606.36</v>
          </cell>
          <cell r="DF367">
            <v>12447.5</v>
          </cell>
          <cell r="DJ367">
            <v>1049.5999999999999</v>
          </cell>
          <cell r="DK367">
            <v>1103.5999999999999</v>
          </cell>
          <cell r="DL367">
            <v>29.58</v>
          </cell>
          <cell r="DM367">
            <v>70.905000000000001</v>
          </cell>
          <cell r="DN367">
            <v>1150.0849999999998</v>
          </cell>
          <cell r="DX367">
            <v>870</v>
          </cell>
          <cell r="DY367">
            <v>539.4</v>
          </cell>
          <cell r="DZ367">
            <v>898</v>
          </cell>
          <cell r="EA367">
            <v>556.76</v>
          </cell>
          <cell r="EC367">
            <v>19328</v>
          </cell>
          <cell r="EG367">
            <v>516</v>
          </cell>
          <cell r="EH367">
            <v>697</v>
          </cell>
          <cell r="EI367">
            <v>63.074999999999996</v>
          </cell>
          <cell r="EJ367">
            <v>65.10499999999999</v>
          </cell>
          <cell r="EK367">
            <v>644.18000000000006</v>
          </cell>
          <cell r="EU367">
            <v>220</v>
          </cell>
          <cell r="EV367">
            <v>136.4</v>
          </cell>
          <cell r="EW367">
            <v>119</v>
          </cell>
          <cell r="EX367">
            <v>73.78</v>
          </cell>
          <cell r="EY367">
            <v>23</v>
          </cell>
          <cell r="EZ367">
            <v>233.18</v>
          </cell>
          <cell r="FA367">
            <v>4449</v>
          </cell>
          <cell r="FB367">
            <v>422</v>
          </cell>
          <cell r="FC367">
            <v>15.95</v>
          </cell>
          <cell r="FD367">
            <v>8.6274999999999995</v>
          </cell>
          <cell r="FE367">
            <v>446.57749999999999</v>
          </cell>
        </row>
        <row r="368">
          <cell r="A368">
            <v>38718</v>
          </cell>
          <cell r="H368">
            <v>182.2</v>
          </cell>
          <cell r="I368">
            <v>112.964</v>
          </cell>
          <cell r="J368">
            <v>199.5</v>
          </cell>
          <cell r="K368">
            <v>123.69</v>
          </cell>
          <cell r="M368">
            <v>17717.108333333334</v>
          </cell>
          <cell r="Q368">
            <v>1105.7416666666666</v>
          </cell>
          <cell r="S368">
            <v>13.209499999999998</v>
          </cell>
          <cell r="T368">
            <v>14.463749999999999</v>
          </cell>
          <cell r="U368">
            <v>1133.4149166666664</v>
          </cell>
          <cell r="AE368">
            <v>0</v>
          </cell>
          <cell r="AF368">
            <v>0</v>
          </cell>
          <cell r="AG368">
            <v>271</v>
          </cell>
          <cell r="AH368">
            <v>168.02</v>
          </cell>
          <cell r="AJ368">
            <v>168.02</v>
          </cell>
          <cell r="AK368">
            <v>22107.416666666668</v>
          </cell>
          <cell r="AO368">
            <v>1852.0666666666666</v>
          </cell>
          <cell r="AQ368">
            <v>0</v>
          </cell>
          <cell r="AR368">
            <v>19.647499999999997</v>
          </cell>
          <cell r="AS368">
            <v>1871.7141666666666</v>
          </cell>
          <cell r="BC368">
            <v>13.5</v>
          </cell>
          <cell r="BD368">
            <v>8.3699999999999992</v>
          </cell>
          <cell r="BE368">
            <v>0</v>
          </cell>
          <cell r="BF368">
            <v>0</v>
          </cell>
          <cell r="BG368">
            <v>8.3699999999999992</v>
          </cell>
          <cell r="BH368">
            <v>868.25</v>
          </cell>
          <cell r="BL368">
            <v>106.61040961022364</v>
          </cell>
          <cell r="BN368">
            <v>0.9787499999999999</v>
          </cell>
          <cell r="BO368">
            <v>0</v>
          </cell>
          <cell r="BP368">
            <v>107.58915961022365</v>
          </cell>
          <cell r="CW368">
            <v>408</v>
          </cell>
          <cell r="CX368">
            <v>252.96</v>
          </cell>
          <cell r="CY368">
            <v>978</v>
          </cell>
          <cell r="CZ368">
            <v>606.36</v>
          </cell>
          <cell r="DF368">
            <v>12483.833333333334</v>
          </cell>
          <cell r="DJ368">
            <v>1054.0999999999999</v>
          </cell>
          <cell r="DK368">
            <v>114</v>
          </cell>
          <cell r="DL368">
            <v>29.58</v>
          </cell>
          <cell r="DM368">
            <v>70.905000000000001</v>
          </cell>
          <cell r="DN368">
            <v>1154.5849999999998</v>
          </cell>
          <cell r="DX368">
            <v>870</v>
          </cell>
          <cell r="DY368">
            <v>539.4</v>
          </cell>
          <cell r="DZ368">
            <v>898</v>
          </cell>
          <cell r="EA368">
            <v>556.76</v>
          </cell>
          <cell r="EC368">
            <v>19411.75</v>
          </cell>
          <cell r="EG368">
            <v>531.08333333333337</v>
          </cell>
          <cell r="EH368">
            <v>137</v>
          </cell>
          <cell r="EI368">
            <v>63.074999999999996</v>
          </cell>
          <cell r="EJ368">
            <v>65.10499999999999</v>
          </cell>
          <cell r="EK368">
            <v>659.26333333333343</v>
          </cell>
          <cell r="EU368">
            <v>220</v>
          </cell>
          <cell r="EV368">
            <v>136.4</v>
          </cell>
          <cell r="EW368">
            <v>119</v>
          </cell>
          <cell r="EX368">
            <v>73.78</v>
          </cell>
          <cell r="EY368">
            <v>23</v>
          </cell>
          <cell r="EZ368">
            <v>233.18</v>
          </cell>
          <cell r="FA368">
            <v>4462.833333333333</v>
          </cell>
          <cell r="FB368">
            <v>423.5</v>
          </cell>
          <cell r="FC368">
            <v>15.95</v>
          </cell>
          <cell r="FD368">
            <v>8.6274999999999995</v>
          </cell>
          <cell r="FE368">
            <v>448.07749999999999</v>
          </cell>
        </row>
        <row r="369">
          <cell r="A369">
            <v>38749</v>
          </cell>
          <cell r="H369">
            <v>182.2</v>
          </cell>
          <cell r="I369">
            <v>112.964</v>
          </cell>
          <cell r="J369">
            <v>199.5</v>
          </cell>
          <cell r="K369">
            <v>123.69</v>
          </cell>
          <cell r="M369">
            <v>17780.916666666668</v>
          </cell>
          <cell r="Q369">
            <v>1120.3833333333332</v>
          </cell>
          <cell r="S369">
            <v>13.209499999999998</v>
          </cell>
          <cell r="T369">
            <v>14.463749999999999</v>
          </cell>
          <cell r="U369">
            <v>1148.056583333333</v>
          </cell>
          <cell r="AG369">
            <v>271</v>
          </cell>
          <cell r="AH369">
            <v>168.02</v>
          </cell>
          <cell r="AJ369">
            <v>168.02</v>
          </cell>
          <cell r="AK369">
            <v>22161.833333333336</v>
          </cell>
          <cell r="AO369">
            <v>1863.0333333333333</v>
          </cell>
          <cell r="AQ369">
            <v>0</v>
          </cell>
          <cell r="AR369">
            <v>19.647499999999997</v>
          </cell>
          <cell r="AS369">
            <v>1882.6808333333333</v>
          </cell>
          <cell r="BC369">
            <v>13.5</v>
          </cell>
          <cell r="BD369">
            <v>8.3699999999999992</v>
          </cell>
          <cell r="BE369">
            <v>0</v>
          </cell>
          <cell r="BF369">
            <v>0</v>
          </cell>
          <cell r="BG369">
            <v>8.3699999999999992</v>
          </cell>
          <cell r="BH369">
            <v>870.5</v>
          </cell>
          <cell r="BL369">
            <v>107.40803373801917</v>
          </cell>
          <cell r="BN369">
            <v>0.9787499999999999</v>
          </cell>
          <cell r="BO369">
            <v>0</v>
          </cell>
          <cell r="BP369">
            <v>108.38678373801918</v>
          </cell>
          <cell r="CW369">
            <v>408</v>
          </cell>
          <cell r="CX369">
            <v>252.96</v>
          </cell>
          <cell r="CY369">
            <v>978</v>
          </cell>
          <cell r="CZ369">
            <v>606.36</v>
          </cell>
          <cell r="DF369">
            <v>12520.166666666668</v>
          </cell>
          <cell r="DJ369">
            <v>1058.5999999999999</v>
          </cell>
          <cell r="DK369">
            <v>0</v>
          </cell>
          <cell r="DL369">
            <v>29.58</v>
          </cell>
          <cell r="DM369">
            <v>70.905000000000001</v>
          </cell>
          <cell r="DN369">
            <v>1159.0849999999998</v>
          </cell>
          <cell r="DX369">
            <v>870</v>
          </cell>
          <cell r="DY369">
            <v>539.4</v>
          </cell>
          <cell r="DZ369">
            <v>898</v>
          </cell>
          <cell r="EA369">
            <v>556.76</v>
          </cell>
          <cell r="EC369">
            <v>19495.5</v>
          </cell>
          <cell r="EG369">
            <v>546.16666666666674</v>
          </cell>
          <cell r="EH369">
            <v>0</v>
          </cell>
          <cell r="EI369">
            <v>63.074999999999996</v>
          </cell>
          <cell r="EJ369">
            <v>65.10499999999999</v>
          </cell>
          <cell r="EK369">
            <v>674.34666666666681</v>
          </cell>
          <cell r="EU369">
            <v>220</v>
          </cell>
          <cell r="EV369">
            <v>136.4</v>
          </cell>
          <cell r="EW369">
            <v>119</v>
          </cell>
          <cell r="EX369">
            <v>73.78</v>
          </cell>
          <cell r="EY369">
            <v>23</v>
          </cell>
          <cell r="EZ369">
            <v>233.18</v>
          </cell>
          <cell r="FA369">
            <v>4476.6666666666661</v>
          </cell>
          <cell r="FB369">
            <v>425</v>
          </cell>
          <cell r="FC369">
            <v>15.95</v>
          </cell>
          <cell r="FD369">
            <v>8.6274999999999995</v>
          </cell>
          <cell r="FE369">
            <v>449.57749999999999</v>
          </cell>
        </row>
        <row r="370">
          <cell r="A370">
            <v>38780</v>
          </cell>
          <cell r="H370">
            <v>182.2</v>
          </cell>
          <cell r="I370">
            <v>112.964</v>
          </cell>
          <cell r="J370">
            <v>199.5</v>
          </cell>
          <cell r="K370">
            <v>123.69</v>
          </cell>
          <cell r="M370">
            <v>17844.725000000002</v>
          </cell>
          <cell r="Q370">
            <v>1135.0249999999999</v>
          </cell>
          <cell r="S370">
            <v>13.209499999999998</v>
          </cell>
          <cell r="T370">
            <v>14.463749999999999</v>
          </cell>
          <cell r="U370">
            <v>1162.6982499999997</v>
          </cell>
          <cell r="AG370">
            <v>271</v>
          </cell>
          <cell r="AH370">
            <v>168.02</v>
          </cell>
          <cell r="AJ370">
            <v>168.02</v>
          </cell>
          <cell r="AK370">
            <v>22216.250000000004</v>
          </cell>
          <cell r="AO370">
            <v>1874</v>
          </cell>
          <cell r="AQ370">
            <v>0</v>
          </cell>
          <cell r="AR370">
            <v>19.647499999999997</v>
          </cell>
          <cell r="AS370">
            <v>1893.6475</v>
          </cell>
          <cell r="BC370">
            <v>13.5</v>
          </cell>
          <cell r="BD370">
            <v>8.3699999999999992</v>
          </cell>
          <cell r="BE370">
            <v>0</v>
          </cell>
          <cell r="BF370">
            <v>0</v>
          </cell>
          <cell r="BG370">
            <v>8.3699999999999992</v>
          </cell>
          <cell r="BH370">
            <v>872.75</v>
          </cell>
          <cell r="BL370">
            <v>108.2056578658147</v>
          </cell>
          <cell r="BN370">
            <v>0.9787499999999999</v>
          </cell>
          <cell r="BO370">
            <v>0</v>
          </cell>
          <cell r="BP370">
            <v>109.18440786581471</v>
          </cell>
          <cell r="CW370">
            <v>408</v>
          </cell>
          <cell r="CX370">
            <v>252.96</v>
          </cell>
          <cell r="CY370">
            <v>978</v>
          </cell>
          <cell r="CZ370">
            <v>606.36</v>
          </cell>
          <cell r="DF370">
            <v>12556.500000000002</v>
          </cell>
          <cell r="DJ370">
            <v>1063.0999999999999</v>
          </cell>
          <cell r="DK370">
            <v>0</v>
          </cell>
          <cell r="DL370">
            <v>29.58</v>
          </cell>
          <cell r="DM370">
            <v>70.905000000000001</v>
          </cell>
          <cell r="DN370">
            <v>1163.5849999999998</v>
          </cell>
          <cell r="DX370">
            <v>870</v>
          </cell>
          <cell r="DY370">
            <v>539.4</v>
          </cell>
          <cell r="DZ370">
            <v>898</v>
          </cell>
          <cell r="EA370">
            <v>556.76</v>
          </cell>
          <cell r="EC370">
            <v>19579.25</v>
          </cell>
          <cell r="EG370">
            <v>561.25000000000011</v>
          </cell>
          <cell r="EH370">
            <v>0</v>
          </cell>
          <cell r="EI370">
            <v>63.074999999999996</v>
          </cell>
          <cell r="EJ370">
            <v>65.10499999999999</v>
          </cell>
          <cell r="EK370">
            <v>689.43000000000018</v>
          </cell>
          <cell r="EU370">
            <v>220</v>
          </cell>
          <cell r="EV370">
            <v>136.4</v>
          </cell>
          <cell r="EW370">
            <v>119</v>
          </cell>
          <cell r="EX370">
            <v>73.78</v>
          </cell>
          <cell r="EY370">
            <v>23</v>
          </cell>
          <cell r="EZ370">
            <v>233.18</v>
          </cell>
          <cell r="FA370">
            <v>4490.4999999999991</v>
          </cell>
          <cell r="FB370">
            <v>426.5</v>
          </cell>
          <cell r="FC370">
            <v>15.95</v>
          </cell>
          <cell r="FD370">
            <v>8.6274999999999995</v>
          </cell>
          <cell r="FE370">
            <v>451.07749999999999</v>
          </cell>
        </row>
        <row r="371">
          <cell r="A371">
            <v>38811</v>
          </cell>
          <cell r="H371">
            <v>182.2</v>
          </cell>
          <cell r="I371">
            <v>112.964</v>
          </cell>
          <cell r="J371">
            <v>199.5</v>
          </cell>
          <cell r="K371">
            <v>123.69</v>
          </cell>
          <cell r="M371">
            <v>17908.533333333336</v>
          </cell>
          <cell r="Q371">
            <v>1149.6666666666665</v>
          </cell>
          <cell r="S371">
            <v>13.209499999999998</v>
          </cell>
          <cell r="T371">
            <v>14.463749999999999</v>
          </cell>
          <cell r="U371">
            <v>1177.3399166666663</v>
          </cell>
          <cell r="AG371">
            <v>271</v>
          </cell>
          <cell r="AH371">
            <v>168.02</v>
          </cell>
          <cell r="AJ371">
            <v>168.02</v>
          </cell>
          <cell r="AK371">
            <v>22270.666666666672</v>
          </cell>
          <cell r="AO371">
            <v>1884.9666666666667</v>
          </cell>
          <cell r="AQ371">
            <v>0</v>
          </cell>
          <cell r="AR371">
            <v>19.647499999999997</v>
          </cell>
          <cell r="AS371">
            <v>1904.6141666666667</v>
          </cell>
          <cell r="BC371">
            <v>13.5</v>
          </cell>
          <cell r="BD371">
            <v>8.3699999999999992</v>
          </cell>
          <cell r="BE371">
            <v>0</v>
          </cell>
          <cell r="BF371">
            <v>0</v>
          </cell>
          <cell r="BG371">
            <v>8.3699999999999992</v>
          </cell>
          <cell r="BH371">
            <v>875</v>
          </cell>
          <cell r="BL371">
            <v>109.00328199361023</v>
          </cell>
          <cell r="BN371">
            <v>0.9787499999999999</v>
          </cell>
          <cell r="BO371">
            <v>0</v>
          </cell>
          <cell r="BP371">
            <v>109.98203199361024</v>
          </cell>
          <cell r="CW371">
            <v>408</v>
          </cell>
          <cell r="CX371">
            <v>252.96</v>
          </cell>
          <cell r="CY371">
            <v>978</v>
          </cell>
          <cell r="CZ371">
            <v>606.36</v>
          </cell>
          <cell r="DF371">
            <v>12592.833333333336</v>
          </cell>
          <cell r="DJ371">
            <v>1067.5999999999999</v>
          </cell>
          <cell r="DK371">
            <v>0</v>
          </cell>
          <cell r="DL371">
            <v>29.58</v>
          </cell>
          <cell r="DM371">
            <v>70.905000000000001</v>
          </cell>
          <cell r="DN371">
            <v>1168.0849999999998</v>
          </cell>
          <cell r="DX371">
            <v>870</v>
          </cell>
          <cell r="DY371">
            <v>539.4</v>
          </cell>
          <cell r="DZ371">
            <v>898</v>
          </cell>
          <cell r="EA371">
            <v>556.76</v>
          </cell>
          <cell r="EC371">
            <v>19663</v>
          </cell>
          <cell r="EG371">
            <v>576.33333333333348</v>
          </cell>
          <cell r="EH371">
            <v>0</v>
          </cell>
          <cell r="EI371">
            <v>63.074999999999996</v>
          </cell>
          <cell r="EJ371">
            <v>65.10499999999999</v>
          </cell>
          <cell r="EK371">
            <v>704.51333333333355</v>
          </cell>
          <cell r="EU371">
            <v>220</v>
          </cell>
          <cell r="EV371">
            <v>136.4</v>
          </cell>
          <cell r="EW371">
            <v>119</v>
          </cell>
          <cell r="EX371">
            <v>73.78</v>
          </cell>
          <cell r="EY371">
            <v>23</v>
          </cell>
          <cell r="EZ371">
            <v>233.18</v>
          </cell>
          <cell r="FA371">
            <v>4504.3333333333321</v>
          </cell>
          <cell r="FB371">
            <v>428</v>
          </cell>
          <cell r="FC371">
            <v>15.95</v>
          </cell>
          <cell r="FD371">
            <v>8.6274999999999995</v>
          </cell>
          <cell r="FE371">
            <v>452.57749999999999</v>
          </cell>
        </row>
        <row r="372">
          <cell r="A372">
            <v>38842</v>
          </cell>
          <cell r="H372">
            <v>182.2</v>
          </cell>
          <cell r="I372">
            <v>112.964</v>
          </cell>
          <cell r="J372">
            <v>199.5</v>
          </cell>
          <cell r="K372">
            <v>123.69</v>
          </cell>
          <cell r="M372">
            <v>17972.341666666671</v>
          </cell>
          <cell r="Q372">
            <v>1164.3083333333332</v>
          </cell>
          <cell r="S372">
            <v>13.209499999999998</v>
          </cell>
          <cell r="T372">
            <v>14.463749999999999</v>
          </cell>
          <cell r="U372">
            <v>1191.981583333333</v>
          </cell>
          <cell r="AG372">
            <v>271</v>
          </cell>
          <cell r="AH372">
            <v>168.02</v>
          </cell>
          <cell r="AJ372">
            <v>168.02</v>
          </cell>
          <cell r="AK372">
            <v>22325.083333333339</v>
          </cell>
          <cell r="AO372">
            <v>1895.9333333333334</v>
          </cell>
          <cell r="AQ372">
            <v>0</v>
          </cell>
          <cell r="AR372">
            <v>19.647499999999997</v>
          </cell>
          <cell r="AS372">
            <v>1915.5808333333334</v>
          </cell>
          <cell r="BC372">
            <v>13.5</v>
          </cell>
          <cell r="BD372">
            <v>8.3699999999999992</v>
          </cell>
          <cell r="BE372">
            <v>0</v>
          </cell>
          <cell r="BF372">
            <v>0</v>
          </cell>
          <cell r="BG372">
            <v>8.3699999999999992</v>
          </cell>
          <cell r="BH372">
            <v>877.25</v>
          </cell>
          <cell r="BL372">
            <v>109.80090612140576</v>
          </cell>
          <cell r="BN372">
            <v>0.9787499999999999</v>
          </cell>
          <cell r="BO372">
            <v>0</v>
          </cell>
          <cell r="BP372">
            <v>110.77965612140576</v>
          </cell>
          <cell r="CW372">
            <v>408</v>
          </cell>
          <cell r="CX372">
            <v>252.96</v>
          </cell>
          <cell r="CY372">
            <v>978</v>
          </cell>
          <cell r="CZ372">
            <v>606.36</v>
          </cell>
          <cell r="DF372">
            <v>12629.16666666667</v>
          </cell>
          <cell r="DJ372">
            <v>1072.0999999999999</v>
          </cell>
          <cell r="DL372">
            <v>29.58</v>
          </cell>
          <cell r="DM372">
            <v>70.905000000000001</v>
          </cell>
          <cell r="DN372">
            <v>1172.5849999999998</v>
          </cell>
          <cell r="DX372">
            <v>870</v>
          </cell>
          <cell r="DY372">
            <v>539.4</v>
          </cell>
          <cell r="DZ372">
            <v>898</v>
          </cell>
          <cell r="EA372">
            <v>556.76</v>
          </cell>
          <cell r="EC372">
            <v>19746.75</v>
          </cell>
          <cell r="EG372">
            <v>591.41666666666686</v>
          </cell>
          <cell r="EH372">
            <v>0</v>
          </cell>
          <cell r="EI372">
            <v>63.074999999999996</v>
          </cell>
          <cell r="EJ372">
            <v>65.10499999999999</v>
          </cell>
          <cell r="EK372">
            <v>719.59666666666692</v>
          </cell>
          <cell r="EU372">
            <v>220</v>
          </cell>
          <cell r="EV372">
            <v>136.4</v>
          </cell>
          <cell r="EW372">
            <v>119</v>
          </cell>
          <cell r="EX372">
            <v>73.78</v>
          </cell>
          <cell r="EY372">
            <v>23</v>
          </cell>
          <cell r="EZ372">
            <v>233.18</v>
          </cell>
          <cell r="FA372">
            <v>4518.1666666666652</v>
          </cell>
          <cell r="FB372">
            <v>429.5</v>
          </cell>
          <cell r="FC372">
            <v>15.95</v>
          </cell>
          <cell r="FD372">
            <v>8.6274999999999995</v>
          </cell>
          <cell r="FE372">
            <v>454.07749999999999</v>
          </cell>
        </row>
        <row r="373">
          <cell r="A373">
            <v>38873</v>
          </cell>
          <cell r="H373">
            <v>182.2</v>
          </cell>
          <cell r="I373">
            <v>112.964</v>
          </cell>
          <cell r="J373">
            <v>199.5</v>
          </cell>
          <cell r="K373">
            <v>123.69</v>
          </cell>
          <cell r="M373">
            <v>18036.150000000005</v>
          </cell>
          <cell r="Q373">
            <v>1178.9499999999998</v>
          </cell>
          <cell r="S373">
            <v>13.209499999999998</v>
          </cell>
          <cell r="T373">
            <v>14.463749999999999</v>
          </cell>
          <cell r="U373">
            <v>1206.6232499999996</v>
          </cell>
          <cell r="AG373">
            <v>271</v>
          </cell>
          <cell r="AH373">
            <v>168.02</v>
          </cell>
          <cell r="AJ373">
            <v>168.02</v>
          </cell>
          <cell r="AK373">
            <v>22379.500000000007</v>
          </cell>
          <cell r="AO373">
            <v>1906.9</v>
          </cell>
          <cell r="AQ373">
            <v>0</v>
          </cell>
          <cell r="AR373">
            <v>19.647499999999997</v>
          </cell>
          <cell r="AS373">
            <v>1926.5475000000001</v>
          </cell>
          <cell r="BC373">
            <v>13.5</v>
          </cell>
          <cell r="BD373">
            <v>8.3699999999999992</v>
          </cell>
          <cell r="BE373">
            <v>0</v>
          </cell>
          <cell r="BF373">
            <v>0</v>
          </cell>
          <cell r="BG373">
            <v>8.3699999999999992</v>
          </cell>
          <cell r="BH373">
            <v>879.5</v>
          </cell>
          <cell r="BL373">
            <v>110.59853024920129</v>
          </cell>
          <cell r="BN373">
            <v>0.9787499999999999</v>
          </cell>
          <cell r="BO373">
            <v>0</v>
          </cell>
          <cell r="BP373">
            <v>111.57728024920129</v>
          </cell>
          <cell r="CW373">
            <v>408</v>
          </cell>
          <cell r="CX373">
            <v>252.96</v>
          </cell>
          <cell r="CY373">
            <v>978</v>
          </cell>
          <cell r="CZ373">
            <v>606.36</v>
          </cell>
          <cell r="DF373">
            <v>12665.500000000004</v>
          </cell>
          <cell r="DJ373">
            <v>1076.5999999999999</v>
          </cell>
          <cell r="DL373">
            <v>29.58</v>
          </cell>
          <cell r="DM373">
            <v>70.905000000000001</v>
          </cell>
          <cell r="DN373">
            <v>1177.0849999999998</v>
          </cell>
          <cell r="DX373">
            <v>870</v>
          </cell>
          <cell r="DY373">
            <v>539.4</v>
          </cell>
          <cell r="DZ373">
            <v>898</v>
          </cell>
          <cell r="EA373">
            <v>556.76</v>
          </cell>
          <cell r="EC373">
            <v>19830.5</v>
          </cell>
          <cell r="EG373">
            <v>606.50000000000023</v>
          </cell>
          <cell r="EH373">
            <v>0</v>
          </cell>
          <cell r="EI373">
            <v>63.074999999999996</v>
          </cell>
          <cell r="EJ373">
            <v>65.10499999999999</v>
          </cell>
          <cell r="EK373">
            <v>734.68000000000029</v>
          </cell>
          <cell r="EU373">
            <v>220</v>
          </cell>
          <cell r="EV373">
            <v>136.4</v>
          </cell>
          <cell r="EW373">
            <v>119</v>
          </cell>
          <cell r="EX373">
            <v>73.78</v>
          </cell>
          <cell r="EY373">
            <v>23</v>
          </cell>
          <cell r="EZ373">
            <v>233.18</v>
          </cell>
          <cell r="FA373">
            <v>4531.9999999999982</v>
          </cell>
          <cell r="FB373">
            <v>431</v>
          </cell>
          <cell r="FC373">
            <v>15.95</v>
          </cell>
          <cell r="FD373">
            <v>8.6274999999999995</v>
          </cell>
          <cell r="FE373">
            <v>455.57749999999999</v>
          </cell>
        </row>
        <row r="374">
          <cell r="A374">
            <v>38904</v>
          </cell>
          <cell r="H374">
            <v>182.2</v>
          </cell>
          <cell r="I374">
            <v>112.964</v>
          </cell>
          <cell r="J374">
            <v>199.5</v>
          </cell>
          <cell r="K374">
            <v>123.69</v>
          </cell>
          <cell r="M374">
            <v>18099.958333333339</v>
          </cell>
          <cell r="Q374">
            <v>1193.5916666666665</v>
          </cell>
          <cell r="S374">
            <v>13.209499999999998</v>
          </cell>
          <cell r="T374">
            <v>14.463749999999999</v>
          </cell>
          <cell r="U374">
            <v>1221.2649166666663</v>
          </cell>
          <cell r="AG374">
            <v>271</v>
          </cell>
          <cell r="AH374">
            <v>168.02</v>
          </cell>
          <cell r="AJ374">
            <v>168.02</v>
          </cell>
          <cell r="AK374">
            <v>22433.916666666675</v>
          </cell>
          <cell r="AO374">
            <v>1917.8666666666668</v>
          </cell>
          <cell r="AQ374">
            <v>0</v>
          </cell>
          <cell r="AR374">
            <v>19.647499999999997</v>
          </cell>
          <cell r="AS374">
            <v>1937.5141666666668</v>
          </cell>
          <cell r="BC374">
            <v>13.5</v>
          </cell>
          <cell r="BD374">
            <v>8.3699999999999992</v>
          </cell>
          <cell r="BE374">
            <v>0</v>
          </cell>
          <cell r="BF374">
            <v>0</v>
          </cell>
          <cell r="BG374">
            <v>8.3699999999999992</v>
          </cell>
          <cell r="BH374">
            <v>881.75</v>
          </cell>
          <cell r="BL374">
            <v>111.39615437699682</v>
          </cell>
          <cell r="BN374">
            <v>0.9787499999999999</v>
          </cell>
          <cell r="BO374">
            <v>0</v>
          </cell>
          <cell r="BP374">
            <v>112.37490437699682</v>
          </cell>
          <cell r="CW374">
            <v>408</v>
          </cell>
          <cell r="CX374">
            <v>252.96</v>
          </cell>
          <cell r="CY374">
            <v>978</v>
          </cell>
          <cell r="CZ374">
            <v>606.36</v>
          </cell>
          <cell r="DF374">
            <v>12701.833333333338</v>
          </cell>
          <cell r="DJ374">
            <v>1081.0999999999999</v>
          </cell>
          <cell r="DL374">
            <v>29.58</v>
          </cell>
          <cell r="DM374">
            <v>70.905000000000001</v>
          </cell>
          <cell r="DN374">
            <v>1181.5849999999998</v>
          </cell>
          <cell r="DX374">
            <v>870</v>
          </cell>
          <cell r="DY374">
            <v>539.4</v>
          </cell>
          <cell r="DZ374">
            <v>898</v>
          </cell>
          <cell r="EA374">
            <v>556.76</v>
          </cell>
          <cell r="EC374">
            <v>19914.25</v>
          </cell>
          <cell r="EG374">
            <v>621.5833333333336</v>
          </cell>
          <cell r="EH374">
            <v>0</v>
          </cell>
          <cell r="EI374">
            <v>63.074999999999996</v>
          </cell>
          <cell r="EJ374">
            <v>65.10499999999999</v>
          </cell>
          <cell r="EK374">
            <v>749.76333333333366</v>
          </cell>
          <cell r="EU374">
            <v>220</v>
          </cell>
          <cell r="EV374">
            <v>136.4</v>
          </cell>
          <cell r="EW374">
            <v>119</v>
          </cell>
          <cell r="EX374">
            <v>73.78</v>
          </cell>
          <cell r="EY374">
            <v>23</v>
          </cell>
          <cell r="EZ374">
            <v>233.18</v>
          </cell>
          <cell r="FA374">
            <v>4545.8333333333312</v>
          </cell>
          <cell r="FB374">
            <v>432.5</v>
          </cell>
          <cell r="FC374">
            <v>15.95</v>
          </cell>
          <cell r="FD374">
            <v>8.6274999999999995</v>
          </cell>
          <cell r="FE374">
            <v>457.07749999999999</v>
          </cell>
        </row>
        <row r="375">
          <cell r="A375">
            <v>38935</v>
          </cell>
          <cell r="H375">
            <v>182.2</v>
          </cell>
          <cell r="I375">
            <v>112.964</v>
          </cell>
          <cell r="J375">
            <v>199.5</v>
          </cell>
          <cell r="K375">
            <v>123.69</v>
          </cell>
          <cell r="M375">
            <v>18163.766666666674</v>
          </cell>
          <cell r="Q375">
            <v>1208.2333333333331</v>
          </cell>
          <cell r="S375">
            <v>13.209499999999998</v>
          </cell>
          <cell r="T375">
            <v>14.463749999999999</v>
          </cell>
          <cell r="U375">
            <v>1235.9065833333329</v>
          </cell>
          <cell r="AG375">
            <v>271</v>
          </cell>
          <cell r="AH375">
            <v>168.02</v>
          </cell>
          <cell r="AJ375">
            <v>168.02</v>
          </cell>
          <cell r="AK375">
            <v>22488.333333333343</v>
          </cell>
          <cell r="AO375">
            <v>1928.8333333333335</v>
          </cell>
          <cell r="AQ375">
            <v>0</v>
          </cell>
          <cell r="AR375">
            <v>19.647499999999997</v>
          </cell>
          <cell r="AS375">
            <v>1948.4808333333335</v>
          </cell>
          <cell r="BC375">
            <v>13.5</v>
          </cell>
          <cell r="BD375">
            <v>8.3699999999999992</v>
          </cell>
          <cell r="BE375">
            <v>0</v>
          </cell>
          <cell r="BF375">
            <v>0</v>
          </cell>
          <cell r="BG375">
            <v>8.3699999999999992</v>
          </cell>
          <cell r="BH375">
            <v>884</v>
          </cell>
          <cell r="BL375">
            <v>112.19377850479235</v>
          </cell>
          <cell r="BN375">
            <v>0.9787499999999999</v>
          </cell>
          <cell r="BO375">
            <v>0</v>
          </cell>
          <cell r="BP375">
            <v>113.17252850479235</v>
          </cell>
          <cell r="CW375">
            <v>408</v>
          </cell>
          <cell r="CX375">
            <v>252.96</v>
          </cell>
          <cell r="CY375">
            <v>978</v>
          </cell>
          <cell r="CZ375">
            <v>606.36</v>
          </cell>
          <cell r="DF375">
            <v>12738.166666666672</v>
          </cell>
          <cell r="DJ375">
            <v>1085.5999999999999</v>
          </cell>
          <cell r="DL375">
            <v>29.58</v>
          </cell>
          <cell r="DM375">
            <v>70.905000000000001</v>
          </cell>
          <cell r="DN375">
            <v>1186.0849999999998</v>
          </cell>
          <cell r="DX375">
            <v>870</v>
          </cell>
          <cell r="DY375">
            <v>539.4</v>
          </cell>
          <cell r="DZ375">
            <v>898</v>
          </cell>
          <cell r="EA375">
            <v>556.76</v>
          </cell>
          <cell r="EC375">
            <v>19998</v>
          </cell>
          <cell r="EG375">
            <v>636.66666666666697</v>
          </cell>
          <cell r="EH375">
            <v>0</v>
          </cell>
          <cell r="EI375">
            <v>63.074999999999996</v>
          </cell>
          <cell r="EJ375">
            <v>65.10499999999999</v>
          </cell>
          <cell r="EK375">
            <v>764.84666666666703</v>
          </cell>
          <cell r="EU375">
            <v>220</v>
          </cell>
          <cell r="EV375">
            <v>136.4</v>
          </cell>
          <cell r="EW375">
            <v>119</v>
          </cell>
          <cell r="EX375">
            <v>73.78</v>
          </cell>
          <cell r="EY375">
            <v>23</v>
          </cell>
          <cell r="EZ375">
            <v>233.18</v>
          </cell>
          <cell r="FA375">
            <v>4559.6666666666642</v>
          </cell>
          <cell r="FB375">
            <v>434</v>
          </cell>
          <cell r="FC375">
            <v>15.95</v>
          </cell>
          <cell r="FD375">
            <v>8.6274999999999995</v>
          </cell>
          <cell r="FE375">
            <v>458.57749999999999</v>
          </cell>
        </row>
        <row r="376">
          <cell r="A376">
            <v>38966</v>
          </cell>
          <cell r="H376">
            <v>182.2</v>
          </cell>
          <cell r="I376">
            <v>112.964</v>
          </cell>
          <cell r="J376">
            <v>199.5</v>
          </cell>
          <cell r="K376">
            <v>123.69</v>
          </cell>
          <cell r="M376">
            <v>18227.575000000008</v>
          </cell>
          <cell r="Q376">
            <v>1222.8749999999998</v>
          </cell>
          <cell r="S376">
            <v>13.209499999999998</v>
          </cell>
          <cell r="T376">
            <v>14.463749999999999</v>
          </cell>
          <cell r="U376">
            <v>1250.5482499999996</v>
          </cell>
          <cell r="AG376">
            <v>271</v>
          </cell>
          <cell r="AH376">
            <v>168.02</v>
          </cell>
          <cell r="AJ376">
            <v>168.02</v>
          </cell>
          <cell r="AK376">
            <v>22542.750000000011</v>
          </cell>
          <cell r="AO376">
            <v>1939.8000000000002</v>
          </cell>
          <cell r="AQ376">
            <v>0</v>
          </cell>
          <cell r="AR376">
            <v>19.647499999999997</v>
          </cell>
          <cell r="AS376">
            <v>1959.4475000000002</v>
          </cell>
          <cell r="BC376">
            <v>13.5</v>
          </cell>
          <cell r="BD376">
            <v>8.3699999999999992</v>
          </cell>
          <cell r="BE376">
            <v>0</v>
          </cell>
          <cell r="BF376">
            <v>0</v>
          </cell>
          <cell r="BG376">
            <v>8.3699999999999992</v>
          </cell>
          <cell r="BH376">
            <v>886.25</v>
          </cell>
          <cell r="BL376">
            <v>112.99140263258788</v>
          </cell>
          <cell r="BN376">
            <v>0.9787499999999999</v>
          </cell>
          <cell r="BO376">
            <v>0</v>
          </cell>
          <cell r="BP376">
            <v>113.97015263258788</v>
          </cell>
          <cell r="CW376">
            <v>408</v>
          </cell>
          <cell r="CX376">
            <v>252.96</v>
          </cell>
          <cell r="CY376">
            <v>978</v>
          </cell>
          <cell r="CZ376">
            <v>606.36</v>
          </cell>
          <cell r="DF376">
            <v>12774.500000000005</v>
          </cell>
          <cell r="DJ376">
            <v>1090.0999999999999</v>
          </cell>
          <cell r="DL376">
            <v>29.58</v>
          </cell>
          <cell r="DM376">
            <v>70.905000000000001</v>
          </cell>
          <cell r="DN376">
            <v>1190.5849999999998</v>
          </cell>
          <cell r="DX376">
            <v>870</v>
          </cell>
          <cell r="DY376">
            <v>539.4</v>
          </cell>
          <cell r="DZ376">
            <v>898</v>
          </cell>
          <cell r="EA376">
            <v>556.76</v>
          </cell>
          <cell r="EC376">
            <v>20081.75</v>
          </cell>
          <cell r="EG376">
            <v>651.75000000000034</v>
          </cell>
          <cell r="EH376">
            <v>0</v>
          </cell>
          <cell r="EI376">
            <v>63.074999999999996</v>
          </cell>
          <cell r="EJ376">
            <v>65.10499999999999</v>
          </cell>
          <cell r="EK376">
            <v>779.9300000000004</v>
          </cell>
          <cell r="EU376">
            <v>220</v>
          </cell>
          <cell r="EV376">
            <v>136.4</v>
          </cell>
          <cell r="EW376">
            <v>119</v>
          </cell>
          <cell r="EX376">
            <v>73.78</v>
          </cell>
          <cell r="EY376">
            <v>23</v>
          </cell>
          <cell r="EZ376">
            <v>233.18</v>
          </cell>
          <cell r="FA376">
            <v>4573.4999999999973</v>
          </cell>
          <cell r="FB376">
            <v>435.5</v>
          </cell>
          <cell r="FC376">
            <v>15.95</v>
          </cell>
          <cell r="FD376">
            <v>8.6274999999999995</v>
          </cell>
          <cell r="FE376">
            <v>460.07749999999999</v>
          </cell>
        </row>
        <row r="377">
          <cell r="A377">
            <v>38997</v>
          </cell>
          <cell r="H377">
            <v>182.2</v>
          </cell>
          <cell r="I377">
            <v>112.964</v>
          </cell>
          <cell r="J377">
            <v>199.5</v>
          </cell>
          <cell r="K377">
            <v>123.69</v>
          </cell>
          <cell r="M377">
            <v>18291.383333333342</v>
          </cell>
          <cell r="Q377">
            <v>1237.5166666666664</v>
          </cell>
          <cell r="S377">
            <v>13.209499999999998</v>
          </cell>
          <cell r="T377">
            <v>14.463749999999999</v>
          </cell>
          <cell r="U377">
            <v>1265.1899166666662</v>
          </cell>
          <cell r="AG377">
            <v>271</v>
          </cell>
          <cell r="AH377">
            <v>168.02</v>
          </cell>
          <cell r="AJ377">
            <v>168.02</v>
          </cell>
          <cell r="AK377">
            <v>22597.166666666679</v>
          </cell>
          <cell r="AO377">
            <v>1950.7666666666669</v>
          </cell>
          <cell r="AQ377">
            <v>0</v>
          </cell>
          <cell r="AR377">
            <v>19.647499999999997</v>
          </cell>
          <cell r="AS377">
            <v>1970.4141666666669</v>
          </cell>
          <cell r="BC377">
            <v>13.5</v>
          </cell>
          <cell r="BD377">
            <v>8.3699999999999992</v>
          </cell>
          <cell r="BE377">
            <v>0</v>
          </cell>
          <cell r="BF377">
            <v>0</v>
          </cell>
          <cell r="BG377">
            <v>8.3699999999999992</v>
          </cell>
          <cell r="BH377">
            <v>888.5</v>
          </cell>
          <cell r="BL377">
            <v>113.78902676038341</v>
          </cell>
          <cell r="BN377">
            <v>0.9787499999999999</v>
          </cell>
          <cell r="BO377">
            <v>0</v>
          </cell>
          <cell r="BP377">
            <v>114.76777676038341</v>
          </cell>
          <cell r="CW377">
            <v>408</v>
          </cell>
          <cell r="CX377">
            <v>252.96</v>
          </cell>
          <cell r="CY377">
            <v>978</v>
          </cell>
          <cell r="CZ377">
            <v>606.36</v>
          </cell>
          <cell r="DF377">
            <v>12810.833333333339</v>
          </cell>
          <cell r="DJ377">
            <v>1094.5999999999999</v>
          </cell>
          <cell r="DL377">
            <v>29.58</v>
          </cell>
          <cell r="DM377">
            <v>70.905000000000001</v>
          </cell>
          <cell r="DN377">
            <v>1195.0849999999998</v>
          </cell>
          <cell r="DX377">
            <v>870</v>
          </cell>
          <cell r="DY377">
            <v>539.4</v>
          </cell>
          <cell r="DZ377">
            <v>898</v>
          </cell>
          <cell r="EA377">
            <v>556.76</v>
          </cell>
          <cell r="EC377">
            <v>20165.5</v>
          </cell>
          <cell r="EG377">
            <v>666.83333333333371</v>
          </cell>
          <cell r="EH377">
            <v>0</v>
          </cell>
          <cell r="EI377">
            <v>63.074999999999996</v>
          </cell>
          <cell r="EJ377">
            <v>65.10499999999999</v>
          </cell>
          <cell r="EK377">
            <v>795.01333333333378</v>
          </cell>
          <cell r="EU377">
            <v>220</v>
          </cell>
          <cell r="EV377">
            <v>136.4</v>
          </cell>
          <cell r="EW377">
            <v>119</v>
          </cell>
          <cell r="EX377">
            <v>73.78</v>
          </cell>
          <cell r="EY377">
            <v>23</v>
          </cell>
          <cell r="EZ377">
            <v>233.18</v>
          </cell>
          <cell r="FA377">
            <v>4587.3333333333303</v>
          </cell>
          <cell r="FB377">
            <v>437</v>
          </cell>
          <cell r="FC377">
            <v>15.95</v>
          </cell>
          <cell r="FD377">
            <v>8.6274999999999995</v>
          </cell>
          <cell r="FE377">
            <v>461.57749999999999</v>
          </cell>
        </row>
        <row r="378">
          <cell r="A378">
            <v>39028</v>
          </cell>
          <cell r="H378">
            <v>182.2</v>
          </cell>
          <cell r="I378">
            <v>112.964</v>
          </cell>
          <cell r="J378">
            <v>199.5</v>
          </cell>
          <cell r="K378">
            <v>123.69</v>
          </cell>
          <cell r="M378">
            <v>18355.191666666677</v>
          </cell>
          <cell r="Q378">
            <v>1252.1583333333331</v>
          </cell>
          <cell r="S378">
            <v>13.209499999999998</v>
          </cell>
          <cell r="T378">
            <v>14.463749999999999</v>
          </cell>
          <cell r="U378">
            <v>1279.8315833333329</v>
          </cell>
          <cell r="AG378">
            <v>271</v>
          </cell>
          <cell r="AH378">
            <v>168.02</v>
          </cell>
          <cell r="AJ378">
            <v>168.02</v>
          </cell>
          <cell r="AK378">
            <v>22651.583333333347</v>
          </cell>
          <cell r="AO378">
            <v>1961.7333333333336</v>
          </cell>
          <cell r="AQ378">
            <v>0</v>
          </cell>
          <cell r="AR378">
            <v>19.647499999999997</v>
          </cell>
          <cell r="AS378">
            <v>1981.3808333333336</v>
          </cell>
          <cell r="BC378">
            <v>13.5</v>
          </cell>
          <cell r="BD378">
            <v>8.3699999999999992</v>
          </cell>
          <cell r="BE378">
            <v>0</v>
          </cell>
          <cell r="BF378">
            <v>0</v>
          </cell>
          <cell r="BG378">
            <v>8.3699999999999992</v>
          </cell>
          <cell r="BH378">
            <v>890.75</v>
          </cell>
          <cell r="BL378">
            <v>114.58665088817894</v>
          </cell>
          <cell r="BN378">
            <v>0.9787499999999999</v>
          </cell>
          <cell r="BO378">
            <v>0</v>
          </cell>
          <cell r="BP378">
            <v>115.56540088817894</v>
          </cell>
          <cell r="CW378">
            <v>408</v>
          </cell>
          <cell r="CX378">
            <v>252.96</v>
          </cell>
          <cell r="CY378">
            <v>978</v>
          </cell>
          <cell r="CZ378">
            <v>606.36</v>
          </cell>
          <cell r="DF378">
            <v>12847.166666666673</v>
          </cell>
          <cell r="DJ378">
            <v>1099.0999999999999</v>
          </cell>
          <cell r="DL378">
            <v>29.58</v>
          </cell>
          <cell r="DM378">
            <v>70.905000000000001</v>
          </cell>
          <cell r="DN378">
            <v>1199.5849999999998</v>
          </cell>
          <cell r="DX378">
            <v>870</v>
          </cell>
          <cell r="DY378">
            <v>539.4</v>
          </cell>
          <cell r="DZ378">
            <v>898</v>
          </cell>
          <cell r="EA378">
            <v>556.76</v>
          </cell>
          <cell r="EC378">
            <v>20249.25</v>
          </cell>
          <cell r="EG378">
            <v>681.91666666666708</v>
          </cell>
          <cell r="EH378">
            <v>0</v>
          </cell>
          <cell r="EI378">
            <v>63.074999999999996</v>
          </cell>
          <cell r="EJ378">
            <v>65.10499999999999</v>
          </cell>
          <cell r="EK378">
            <v>810.09666666666715</v>
          </cell>
          <cell r="EU378">
            <v>220</v>
          </cell>
          <cell r="EV378">
            <v>136.4</v>
          </cell>
          <cell r="EW378">
            <v>119</v>
          </cell>
          <cell r="EX378">
            <v>73.78</v>
          </cell>
          <cell r="EY378">
            <v>23</v>
          </cell>
          <cell r="EZ378">
            <v>233.18</v>
          </cell>
          <cell r="FA378">
            <v>4601.1666666666633</v>
          </cell>
          <cell r="FB378">
            <v>438.5</v>
          </cell>
          <cell r="FC378">
            <v>15.95</v>
          </cell>
          <cell r="FD378">
            <v>8.6274999999999995</v>
          </cell>
          <cell r="FE378">
            <v>463.07749999999999</v>
          </cell>
        </row>
        <row r="379">
          <cell r="A379">
            <v>39059</v>
          </cell>
          <cell r="H379">
            <v>182.2</v>
          </cell>
          <cell r="I379">
            <v>112.964</v>
          </cell>
          <cell r="J379">
            <v>199.5</v>
          </cell>
          <cell r="K379">
            <v>123.69</v>
          </cell>
          <cell r="M379">
            <v>18419</v>
          </cell>
          <cell r="Q379">
            <v>1266.8</v>
          </cell>
          <cell r="S379">
            <v>13.209499999999998</v>
          </cell>
          <cell r="T379">
            <v>14.463749999999999</v>
          </cell>
          <cell r="U379">
            <v>1294.4732499999998</v>
          </cell>
          <cell r="AE379">
            <v>0</v>
          </cell>
          <cell r="AF379">
            <v>0</v>
          </cell>
          <cell r="AG379">
            <v>271</v>
          </cell>
          <cell r="AH379">
            <v>168.02</v>
          </cell>
          <cell r="AI379">
            <v>277</v>
          </cell>
          <cell r="AJ379">
            <v>445.02</v>
          </cell>
          <cell r="AK379">
            <v>22706</v>
          </cell>
          <cell r="AO379">
            <v>1972.7</v>
          </cell>
          <cell r="AQ379">
            <v>0</v>
          </cell>
          <cell r="AR379">
            <v>19.647499999999997</v>
          </cell>
          <cell r="AS379">
            <v>1992.3475000000001</v>
          </cell>
          <cell r="BC379">
            <v>13.5</v>
          </cell>
          <cell r="BD379">
            <v>8.3699999999999992</v>
          </cell>
          <cell r="BE379">
            <v>0</v>
          </cell>
          <cell r="BF379">
            <v>0</v>
          </cell>
          <cell r="BG379">
            <v>8.3699999999999992</v>
          </cell>
          <cell r="BH379">
            <v>893</v>
          </cell>
          <cell r="BL379">
            <v>115.38427501597444</v>
          </cell>
          <cell r="BN379">
            <v>0.9787499999999999</v>
          </cell>
          <cell r="BO379">
            <v>0</v>
          </cell>
          <cell r="BP379">
            <v>116.36302501597444</v>
          </cell>
          <cell r="CW379">
            <v>408</v>
          </cell>
          <cell r="CX379">
            <v>252.96</v>
          </cell>
          <cell r="CY379">
            <v>978</v>
          </cell>
          <cell r="CZ379">
            <v>606.36</v>
          </cell>
          <cell r="DF379">
            <v>12883.5</v>
          </cell>
          <cell r="DJ379">
            <v>1103.5999999999999</v>
          </cell>
          <cell r="DL379">
            <v>29.58</v>
          </cell>
          <cell r="DM379">
            <v>70.905000000000001</v>
          </cell>
          <cell r="DN379">
            <v>1204.0849999999998</v>
          </cell>
          <cell r="DX379">
            <v>870</v>
          </cell>
          <cell r="DY379">
            <v>539.4</v>
          </cell>
          <cell r="DZ379">
            <v>898</v>
          </cell>
          <cell r="EA379">
            <v>556.76</v>
          </cell>
          <cell r="EC379">
            <v>20333</v>
          </cell>
          <cell r="EG379">
            <v>697</v>
          </cell>
          <cell r="EH379">
            <v>3.4784246794871798</v>
          </cell>
          <cell r="EI379">
            <v>63.074999999999996</v>
          </cell>
          <cell r="EJ379">
            <v>65.10499999999999</v>
          </cell>
          <cell r="EK379">
            <v>825.18000000000006</v>
          </cell>
          <cell r="EU379">
            <v>220</v>
          </cell>
          <cell r="EV379">
            <v>136.4</v>
          </cell>
          <cell r="EW379">
            <v>119</v>
          </cell>
          <cell r="EX379">
            <v>73.78</v>
          </cell>
          <cell r="EY379">
            <v>23</v>
          </cell>
          <cell r="FA379">
            <v>4615</v>
          </cell>
          <cell r="FB379">
            <v>440</v>
          </cell>
          <cell r="FC379">
            <v>15.95</v>
          </cell>
          <cell r="FD379">
            <v>8.6274999999999995</v>
          </cell>
          <cell r="FE379">
            <v>464.57749999999999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 margin vs industry"/>
      <sheetName val="Sheet1"/>
      <sheetName val="AG in Global"/>
      <sheetName val="DE in Global"/>
      <sheetName val="FC 2-4-00"/>
    </sheetNames>
    <sheetDataSet>
      <sheetData sheetId="0" refreshError="1"/>
      <sheetData sheetId="1" refreshError="1">
        <row r="9">
          <cell r="BP9" t="str">
            <v>Share of 2001 Worldwide Industry Revenues</v>
          </cell>
        </row>
      </sheetData>
      <sheetData sheetId="2" refreshError="1"/>
      <sheetData sheetId="3" refreshError="1"/>
      <sheetData sheetId="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ltipleSecurities"/>
      <sheetName val="Model_Template"/>
      <sheetName val="Q&amp;A"/>
      <sheetName val="mwareDates"/>
      <sheetName val="mwareSettings"/>
      <sheetName val="Quarterly"/>
      <sheetName val="INPUT"/>
      <sheetName val="Val"/>
      <sheetName val="PRINT SHEET"/>
      <sheetName val="Key Metrics"/>
      <sheetName val="Profile"/>
      <sheetName val="STA GRAPHS"/>
      <sheetName val="RESIDUAL INCOME"/>
      <sheetName val="Employee"/>
      <sheetName val="Individual"/>
      <sheetName val="Assumptions"/>
      <sheetName val="BS"/>
      <sheetName val="UPS-GAS"/>
      <sheetName val="Combo Box"/>
      <sheetName val="MMD"/>
      <sheetName val="Model"/>
      <sheetName val="MATQTRS"/>
      <sheetName val="UNIV-EBS DATA"/>
      <sheetName val="Ratios"/>
      <sheetName val="MATINC"/>
      <sheetName val="MATBAL"/>
      <sheetName val="Macro1"/>
      <sheetName val="Macro2"/>
      <sheetName val="Analysis"/>
      <sheetName val="MACRS"/>
      <sheetName val="Valuation"/>
      <sheetName val="DATA"/>
      <sheetName val="LXK"/>
      <sheetName val="FutureAcq"/>
      <sheetName val="Credit Output"/>
      <sheetName val="CalcsMO"/>
      <sheetName val=" Capital"/>
      <sheetName val="New Business"/>
      <sheetName val="yearly"/>
      <sheetName val="OnAir"/>
      <sheetName val="RELPE"/>
      <sheetName val="SALESCAT"/>
      <sheetName val="MATCASH"/>
      <sheetName val="FinSum"/>
      <sheetName val="Modeles (S)"/>
      <sheetName val="Ventilation (S)"/>
      <sheetName val="Scenario"/>
      <sheetName val="changes in EST"/>
      <sheetName val="US peers EBIT Margins"/>
      <sheetName val="Sheet7"/>
      <sheetName val="Aladdin Macro1"/>
      <sheetName val="main"/>
      <sheetName val="WY"/>
      <sheetName val="Gas"/>
      <sheetName val="Off Peak"/>
      <sheetName val="Peak"/>
      <sheetName val="Model (Euro)"/>
      <sheetName val="Monthly Spot"/>
      <sheetName val="NKEBALST"/>
      <sheetName val="NKEQTRIN"/>
      <sheetName val="Sheet1"/>
      <sheetName val="DMK"/>
      <sheetName val="Annual"/>
      <sheetName val="Cashflow Model"/>
      <sheetName val="premium detail - P&amp;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cro1"/>
      <sheetName val="__FDSCACHE__"/>
      <sheetName val="model"/>
      <sheetName val="Revenue and EBIT Analysis"/>
      <sheetName val="DCF"/>
      <sheetName val="WACC "/>
      <sheetName val="Disclaimer"/>
      <sheetName val="Segment Description"/>
      <sheetName val="A vs E"/>
      <sheetName val="Single Model"/>
      <sheetName val="EV"/>
      <sheetName val="Tables"/>
      <sheetName val="Long View"/>
      <sheetName val="Summary"/>
      <sheetName val="SOTP"/>
      <sheetName val="End Market Breakdown"/>
      <sheetName val="Sensitivity Analysis"/>
      <sheetName val="Test &amp; Measurement and Electron"/>
      <sheetName val="Automotive OEM"/>
      <sheetName val="Polymers &amp; Fluids"/>
      <sheetName val="Food Equipment"/>
      <sheetName val="Welding"/>
      <sheetName val="Construction Products"/>
      <sheetName val="Specialty Products"/>
      <sheetName val="2010 Analyst Day"/>
      <sheetName val="2011 Analyst Day"/>
      <sheetName val="2012 Analyst Day"/>
      <sheetName val="2013 Analyst Day"/>
      <sheetName val="2015 Analyst Day"/>
      <sheetName val="2016 Analyst Day"/>
      <sheetName val="MONTHLY Base Sales"/>
      <sheetName val="Module1"/>
      <sheetName val="Construction"/>
      <sheetName val="DuPont Analysis"/>
      <sheetName val="__APW_ACTIVE_FIELD_RESTORE__"/>
      <sheetName val="2017 Analyst Day"/>
    </sheetNames>
    <sheetDataSet>
      <sheetData sheetId="0" refreshError="1"/>
      <sheetData sheetId="1" refreshError="1"/>
      <sheetData sheetId="2">
        <row r="7">
          <cell r="AR7">
            <v>15014</v>
          </cell>
        </row>
      </sheetData>
      <sheetData sheetId="3" refreshError="1"/>
      <sheetData sheetId="4" refreshError="1"/>
      <sheetData sheetId="5" refreshError="1"/>
      <sheetData sheetId="6" refreshError="1"/>
      <sheetData sheetId="7" refreshError="1"/>
      <sheetData sheetId="8" refreshError="1"/>
      <sheetData sheetId="9" refreshError="1"/>
      <sheetData sheetId="10">
        <row r="4">
          <cell r="O4" t="str">
            <v>Future P/E</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RNKJAN"/>
    </sheetNames>
    <definedNames>
      <definedName name="NEWWEEK"/>
    </defined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eavy-truck data"/>
      <sheetName val="Evaluation"/>
      <sheetName val="Heavy Graphs"/>
      <sheetName val="units in backlog"/>
      <sheetName val="Pre-Buy Effect"/>
      <sheetName val="Truck Downgrade"/>
      <sheetName val="NUMX.XL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ket Share 5"/>
      <sheetName val="Market Share Trends 6"/>
      <sheetName val="Market Share 8"/>
      <sheetName val="Market Share 9"/>
      <sheetName val="SAAR 2"/>
    </sheetNames>
    <sheetDataSet>
      <sheetData sheetId="0" refreshError="1"/>
      <sheetData sheetId="1" refreshError="1"/>
      <sheetData sheetId="2" refreshError="1"/>
      <sheetData sheetId="3" refreshError="1">
        <row r="2">
          <cell r="F2" t="str">
            <v>Monthly Auto Review</v>
          </cell>
        </row>
        <row r="3">
          <cell r="F3" t="str">
            <v>November 15, 1999</v>
          </cell>
        </row>
        <row r="4">
          <cell r="A4" t="str">
            <v xml:space="preserve">  9</v>
          </cell>
          <cell r="F4" t="str">
            <v>New York</v>
          </cell>
        </row>
        <row r="6">
          <cell r="F6" t="str">
            <v>Sales and Market Share Detail: Passenger Cars &amp; Light Trucks  (000s)</v>
          </cell>
        </row>
        <row r="7">
          <cell r="L7" t="str">
            <v>Oct</v>
          </cell>
          <cell r="M7" t="str">
            <v>Oct</v>
          </cell>
          <cell r="N7" t="str">
            <v>YTD</v>
          </cell>
          <cell r="O7" t="str">
            <v>YTD</v>
          </cell>
        </row>
        <row r="8">
          <cell r="G8">
            <v>1994</v>
          </cell>
          <cell r="H8">
            <v>1995</v>
          </cell>
          <cell r="I8">
            <v>1996</v>
          </cell>
          <cell r="J8">
            <v>1997</v>
          </cell>
          <cell r="K8">
            <v>1998</v>
          </cell>
          <cell r="L8">
            <v>1998</v>
          </cell>
          <cell r="M8">
            <v>1999</v>
          </cell>
          <cell r="N8">
            <v>1998</v>
          </cell>
          <cell r="O8">
            <v>1999</v>
          </cell>
        </row>
        <row r="9">
          <cell r="F9" t="str">
            <v>Passenger Cars</v>
          </cell>
        </row>
        <row r="10">
          <cell r="F10" t="str">
            <v>General Motors</v>
          </cell>
        </row>
        <row r="11">
          <cell r="F11" t="str">
            <v xml:space="preserve">   Unit sales</v>
          </cell>
          <cell r="G11">
            <v>3057.8719999999998</v>
          </cell>
          <cell r="H11">
            <v>2930.6190000000001</v>
          </cell>
          <cell r="I11">
            <v>2757.6709999999998</v>
          </cell>
          <cell r="J11">
            <v>2685.1330000000003</v>
          </cell>
          <cell r="K11">
            <v>2458.6880000000001</v>
          </cell>
          <cell r="L11">
            <v>228.44300000000001</v>
          </cell>
          <cell r="M11">
            <v>189.78100000000001</v>
          </cell>
          <cell r="N11">
            <v>2065.1869999999999</v>
          </cell>
          <cell r="O11">
            <v>2218.5450000000001</v>
          </cell>
        </row>
        <row r="12">
          <cell r="F12" t="str">
            <v xml:space="preserve">   Change</v>
          </cell>
          <cell r="G12">
            <v>4.7875466973555714E-2</v>
          </cell>
          <cell r="H12">
            <v>-3.535093275682577E-2</v>
          </cell>
          <cell r="I12">
            <v>-6.512445136862044E-2</v>
          </cell>
          <cell r="J12">
            <v>-2.3132432562289362E-2</v>
          </cell>
          <cell r="K12">
            <v>-8.4332880345219685E-2</v>
          </cell>
          <cell r="M12">
            <v>-0.13728908642081739</v>
          </cell>
          <cell r="O12">
            <v>7.8454973523584215E-2</v>
          </cell>
        </row>
        <row r="13">
          <cell r="F13" t="str">
            <v xml:space="preserve">   Market share</v>
          </cell>
          <cell r="G13">
            <v>0.34012181720300944</v>
          </cell>
          <cell r="H13">
            <v>0.33938849783173086</v>
          </cell>
          <cell r="I13">
            <v>0.32341760668923353</v>
          </cell>
          <cell r="J13">
            <v>0.32458869034285864</v>
          </cell>
          <cell r="K13">
            <v>0.30197047535496468</v>
          </cell>
          <cell r="L13">
            <v>0.32066360942551098</v>
          </cell>
          <cell r="M13">
            <v>0.27563414545586584</v>
          </cell>
          <cell r="N13">
            <v>0.29947146984109585</v>
          </cell>
          <cell r="O13">
            <v>0.30109760983427142</v>
          </cell>
        </row>
        <row r="15">
          <cell r="F15" t="str">
            <v>Ford</v>
          </cell>
        </row>
        <row r="16">
          <cell r="F16" t="str">
            <v xml:space="preserve">   Unit sales</v>
          </cell>
          <cell r="G16">
            <v>1938.8409999999999</v>
          </cell>
          <cell r="H16">
            <v>1791.2249999999999</v>
          </cell>
          <cell r="I16">
            <v>1737.252</v>
          </cell>
          <cell r="J16">
            <v>1625.425</v>
          </cell>
          <cell r="K16">
            <v>1559.19</v>
          </cell>
          <cell r="L16">
            <v>138.68</v>
          </cell>
          <cell r="M16">
            <v>128.01499999999999</v>
          </cell>
          <cell r="N16">
            <v>1424.5340000000001</v>
          </cell>
          <cell r="O16">
            <v>1459.4989999999998</v>
          </cell>
        </row>
        <row r="17">
          <cell r="F17" t="str">
            <v xml:space="preserve">   Change</v>
          </cell>
          <cell r="G17">
            <v>2.8963123633062082E-2</v>
          </cell>
          <cell r="H17">
            <v>-7.0097881702947062E-2</v>
          </cell>
          <cell r="I17">
            <v>-3.6429737829059561E-2</v>
          </cell>
          <cell r="J17">
            <v>-6.1322396535481771E-2</v>
          </cell>
          <cell r="K17">
            <v>-4.0749342479659112E-2</v>
          </cell>
          <cell r="M17">
            <v>-4.1399957844290292E-2</v>
          </cell>
          <cell r="O17">
            <v>2.8546997101332572E-2</v>
          </cell>
        </row>
        <row r="18">
          <cell r="F18" t="str">
            <v xml:space="preserve">   Market share</v>
          </cell>
          <cell r="G18">
            <v>0.21565393325413881</v>
          </cell>
          <cell r="H18">
            <v>0.20743780137528695</v>
          </cell>
          <cell r="I18">
            <v>0.20374362425977732</v>
          </cell>
          <cell r="J18">
            <v>0.19648731440883599</v>
          </cell>
          <cell r="K18">
            <v>0.19149617416634701</v>
          </cell>
          <cell r="L18">
            <v>0.19466400526665234</v>
          </cell>
          <cell r="M18">
            <v>0.18592643694854943</v>
          </cell>
          <cell r="N18">
            <v>0.2065707806695547</v>
          </cell>
          <cell r="O18">
            <v>0.19808102177576259</v>
          </cell>
        </row>
        <row r="20">
          <cell r="F20" t="str">
            <v>Chrysler</v>
          </cell>
        </row>
        <row r="21">
          <cell r="F21" t="str">
            <v xml:space="preserve">   Unit sales</v>
          </cell>
          <cell r="G21">
            <v>811.82399999999996</v>
          </cell>
          <cell r="H21">
            <v>786.18</v>
          </cell>
          <cell r="I21">
            <v>832.63300000000004</v>
          </cell>
          <cell r="J21">
            <v>736.53</v>
          </cell>
          <cell r="K21">
            <v>739.21699999999998</v>
          </cell>
          <cell r="L21">
            <v>67.358999999999995</v>
          </cell>
          <cell r="M21">
            <v>58.845999999999997</v>
          </cell>
          <cell r="N21">
            <v>637.30700000000002</v>
          </cell>
          <cell r="O21">
            <v>637.875</v>
          </cell>
        </row>
        <row r="22">
          <cell r="F22" t="str">
            <v xml:space="preserve">   Change</v>
          </cell>
          <cell r="G22">
            <v>-2.990389076044575E-2</v>
          </cell>
          <cell r="H22">
            <v>-2.5258638113003662E-2</v>
          </cell>
          <cell r="I22">
            <v>5.2209789371126636E-2</v>
          </cell>
          <cell r="J22">
            <v>-0.11253923334629723</v>
          </cell>
          <cell r="K22">
            <v>3.6481881253989101E-3</v>
          </cell>
          <cell r="M22">
            <v>-9.2781845153465881E-2</v>
          </cell>
          <cell r="O22">
            <v>4.8009816599379196E-3</v>
          </cell>
        </row>
        <row r="23">
          <cell r="F23" t="str">
            <v xml:space="preserve">   Market share</v>
          </cell>
          <cell r="G23">
            <v>9.0297780328612812E-2</v>
          </cell>
          <cell r="H23">
            <v>9.1045765152464417E-2</v>
          </cell>
          <cell r="I23">
            <v>9.7650579822784023E-2</v>
          </cell>
          <cell r="J23">
            <v>8.9034438181730929E-2</v>
          </cell>
          <cell r="K23">
            <v>9.0788952840080137E-2</v>
          </cell>
          <cell r="L23">
            <v>9.4551288799801222E-2</v>
          </cell>
          <cell r="M23">
            <v>8.5466758650738897E-2</v>
          </cell>
          <cell r="N23">
            <v>9.2415487812977357E-2</v>
          </cell>
          <cell r="O23">
            <v>8.6571441135084429E-2</v>
          </cell>
        </row>
        <row r="25">
          <cell r="F25" t="str">
            <v>Total Japanese</v>
          </cell>
        </row>
        <row r="26">
          <cell r="F26" t="str">
            <v xml:space="preserve">   Unit sales</v>
          </cell>
          <cell r="G26">
            <v>2656.2280000000001</v>
          </cell>
          <cell r="H26">
            <v>2562.5920000000001</v>
          </cell>
          <cell r="I26">
            <v>2563.4169999999999</v>
          </cell>
          <cell r="J26">
            <v>2564.873</v>
          </cell>
          <cell r="K26">
            <v>2597.989</v>
          </cell>
          <cell r="L26">
            <v>221.321</v>
          </cell>
          <cell r="M26">
            <v>225.203</v>
          </cell>
          <cell r="N26">
            <v>2189.8330000000001</v>
          </cell>
          <cell r="O26">
            <v>2247.9340000000002</v>
          </cell>
        </row>
        <row r="27">
          <cell r="F27" t="str">
            <v xml:space="preserve">   Change</v>
          </cell>
          <cell r="G27">
            <v>6.6582719708178084E-2</v>
          </cell>
          <cell r="H27">
            <v>-2.894594616114976E-2</v>
          </cell>
          <cell r="I27">
            <v>-6.1736573496932179E-3</v>
          </cell>
          <cell r="J27">
            <v>3.8271709905772777E-3</v>
          </cell>
          <cell r="K27">
            <v>1.2911360523503612E-2</v>
          </cell>
          <cell r="M27">
            <v>5.6676293014010781E-2</v>
          </cell>
          <cell r="O27">
            <v>3.0542051465796582E-2</v>
          </cell>
        </row>
        <row r="28">
          <cell r="F28" t="str">
            <v xml:space="preserve">   Market share</v>
          </cell>
          <cell r="G28">
            <v>0.29544764930170897</v>
          </cell>
          <cell r="H28">
            <v>0.29676810579458157</v>
          </cell>
          <cell r="I28">
            <v>0.30063564184650565</v>
          </cell>
          <cell r="J28">
            <v>0.31005122203099766</v>
          </cell>
          <cell r="K28">
            <v>0.31907910775867837</v>
          </cell>
          <cell r="L28">
            <v>0.31066651506793164</v>
          </cell>
          <cell r="M28">
            <v>0.32708035292836135</v>
          </cell>
          <cell r="N28">
            <v>0.31754630801788725</v>
          </cell>
          <cell r="O28">
            <v>0.30508624096657638</v>
          </cell>
        </row>
        <row r="30">
          <cell r="F30" t="str">
            <v>Other*</v>
          </cell>
        </row>
        <row r="31">
          <cell r="F31" t="str">
            <v xml:space="preserve">   Unit sales</v>
          </cell>
          <cell r="G31">
            <v>525.755</v>
          </cell>
          <cell r="H31">
            <v>564.38200000000006</v>
          </cell>
          <cell r="I31">
            <v>635.68399999999997</v>
          </cell>
          <cell r="J31">
            <v>660.45600000000002</v>
          </cell>
          <cell r="K31">
            <v>787.06299999999999</v>
          </cell>
          <cell r="L31">
            <v>56.603999999999999</v>
          </cell>
          <cell r="M31">
            <v>86.679999999999993</v>
          </cell>
          <cell r="N31">
            <v>579.245</v>
          </cell>
          <cell r="O31">
            <v>804.33900000000006</v>
          </cell>
        </row>
        <row r="32">
          <cell r="F32" t="str">
            <v xml:space="preserve">   Change</v>
          </cell>
          <cell r="G32">
            <v>0.2617447157163193</v>
          </cell>
          <cell r="H32">
            <v>8.0485722897224221E-2</v>
          </cell>
          <cell r="I32">
            <v>0.1190225446916835</v>
          </cell>
          <cell r="J32">
            <v>4.2353311512591363E-2</v>
          </cell>
          <cell r="K32">
            <v>0.19169634313262351</v>
          </cell>
          <cell r="M32">
            <v>0.59023825443159761</v>
          </cell>
          <cell r="O32">
            <v>0.39402316674075766</v>
          </cell>
        </row>
        <row r="33">
          <cell r="F33" t="str">
            <v xml:space="preserve">   Market share</v>
          </cell>
          <cell r="G33">
            <v>5.8478819912530101E-2</v>
          </cell>
          <cell r="H33">
            <v>6.5359829845936274E-2</v>
          </cell>
          <cell r="I33">
            <v>7.4552547381699544E-2</v>
          </cell>
          <cell r="J33">
            <v>7.9838335035576649E-2</v>
          </cell>
          <cell r="K33">
            <v>9.66652898799297E-2</v>
          </cell>
          <cell r="L33">
            <v>7.9454581440103755E-2</v>
          </cell>
          <cell r="M33">
            <v>0.12589230601648452</v>
          </cell>
          <cell r="N33">
            <v>8.8271966428063162E-2</v>
          </cell>
          <cell r="O33">
            <v>0.1091636862883052</v>
          </cell>
        </row>
        <row r="35">
          <cell r="F35" t="str">
            <v>Total Cars</v>
          </cell>
        </row>
        <row r="36">
          <cell r="F36" t="str">
            <v xml:space="preserve">   Unit sales</v>
          </cell>
          <cell r="G36">
            <v>8990.52</v>
          </cell>
          <cell r="H36">
            <v>8634.9979999999996</v>
          </cell>
          <cell r="I36">
            <v>8526.6569999999992</v>
          </cell>
          <cell r="J36">
            <v>8272.4170000000013</v>
          </cell>
          <cell r="K36">
            <v>8142.1470000000008</v>
          </cell>
          <cell r="L36">
            <v>712.40700000000004</v>
          </cell>
          <cell r="M36">
            <v>688.52499999999998</v>
          </cell>
          <cell r="N36">
            <v>6896.1059999999998</v>
          </cell>
          <cell r="O36">
            <v>7368.192</v>
          </cell>
        </row>
        <row r="37">
          <cell r="F37" t="str">
            <v xml:space="preserve">   Change</v>
          </cell>
          <cell r="G37">
            <v>5.196845032593278E-2</v>
          </cell>
          <cell r="H37">
            <v>-3.3266608002113784E-2</v>
          </cell>
          <cell r="I37">
            <v>-1.8958765548921175E-2</v>
          </cell>
          <cell r="J37">
            <v>-2.6656873413184456E-2</v>
          </cell>
          <cell r="K37">
            <v>-1.5747513695211435E-2</v>
          </cell>
          <cell r="M37">
            <v>3.6492212586776152E-3</v>
          </cell>
          <cell r="O37">
            <v>7.2630554112712353E-2</v>
          </cell>
        </row>
        <row r="39">
          <cell r="F39" t="str">
            <v>Light Trucks</v>
          </cell>
        </row>
        <row r="40">
          <cell r="F40" t="str">
            <v>General Motors</v>
          </cell>
        </row>
        <row r="41">
          <cell r="F41" t="str">
            <v xml:space="preserve">   Unit sales</v>
          </cell>
          <cell r="G41">
            <v>1948.345</v>
          </cell>
          <cell r="H41">
            <v>1895.5350000000001</v>
          </cell>
          <cell r="I41">
            <v>1975.021</v>
          </cell>
          <cell r="J41">
            <v>2044.627</v>
          </cell>
          <cell r="K41">
            <v>2116.306</v>
          </cell>
          <cell r="L41">
            <v>179.63300000000001</v>
          </cell>
          <cell r="M41">
            <v>188.91499999999999</v>
          </cell>
          <cell r="N41">
            <v>1772.4680000000001</v>
          </cell>
          <cell r="O41">
            <v>1985.7909999999999</v>
          </cell>
        </row>
        <row r="42">
          <cell r="F42" t="str">
            <v xml:space="preserve">   Change</v>
          </cell>
          <cell r="G42">
            <v>0.10943553857390076</v>
          </cell>
          <cell r="H42">
            <v>-2.0746265344659731E-2</v>
          </cell>
          <cell r="I42">
            <v>3.5167479530416434E-2</v>
          </cell>
          <cell r="J42">
            <v>3.8615297154462214E-2</v>
          </cell>
          <cell r="K42">
            <v>3.5057250050987365E-2</v>
          </cell>
          <cell r="M42">
            <v>9.2120944027330953E-2</v>
          </cell>
          <cell r="O42">
            <v>0.12473003523547388</v>
          </cell>
        </row>
        <row r="43">
          <cell r="F43" t="str">
            <v xml:space="preserve">   Market share</v>
          </cell>
          <cell r="G43">
            <v>0.32092357573377678</v>
          </cell>
          <cell r="H43">
            <v>0.31105847857059166</v>
          </cell>
          <cell r="I43">
            <v>0.30054157777324647</v>
          </cell>
          <cell r="J43">
            <v>0.31113361556043179</v>
          </cell>
          <cell r="K43">
            <v>0.32204110452040163</v>
          </cell>
          <cell r="L43">
            <v>0.27407980421236366</v>
          </cell>
          <cell r="M43">
            <v>0.28478117005769038</v>
          </cell>
          <cell r="N43">
            <v>0.28719041205803475</v>
          </cell>
          <cell r="O43">
            <v>0.28959975172884894</v>
          </cell>
        </row>
        <row r="45">
          <cell r="F45" t="str">
            <v>Ford</v>
          </cell>
        </row>
        <row r="46">
          <cell r="F46" t="str">
            <v xml:space="preserve">   Unit sales</v>
          </cell>
          <cell r="G46">
            <v>1849.779</v>
          </cell>
          <cell r="H46">
            <v>1980.713</v>
          </cell>
          <cell r="I46">
            <v>2070.3939999999998</v>
          </cell>
          <cell r="J46">
            <v>2182.1870000000004</v>
          </cell>
          <cell r="K46">
            <v>2303.0000000000005</v>
          </cell>
          <cell r="L46">
            <v>202.154</v>
          </cell>
          <cell r="M46">
            <v>183.02</v>
          </cell>
          <cell r="N46">
            <v>1921.1990000000001</v>
          </cell>
          <cell r="O46">
            <v>2017.7579999999998</v>
          </cell>
        </row>
        <row r="47">
          <cell r="F47" t="str">
            <v xml:space="preserve">   Change</v>
          </cell>
          <cell r="G47">
            <v>0.10884710463053171</v>
          </cell>
          <cell r="H47">
            <v>7.7782176466111297E-2</v>
          </cell>
          <cell r="I47">
            <v>3.8489616171996088E-2</v>
          </cell>
          <cell r="J47">
            <v>5.7429214428364572E-2</v>
          </cell>
          <cell r="K47">
            <v>5.536326630119226E-2</v>
          </cell>
          <cell r="M47">
            <v>-5.9829482625964436E-2</v>
          </cell>
          <cell r="O47">
            <v>5.4362336846677239E-2</v>
          </cell>
        </row>
        <row r="48">
          <cell r="F48" t="str">
            <v xml:space="preserve">   Market share</v>
          </cell>
          <cell r="G48">
            <v>0.30515943190113876</v>
          </cell>
          <cell r="H48">
            <v>0.32503624162307332</v>
          </cell>
          <cell r="I48">
            <v>0.31505461429132287</v>
          </cell>
          <cell r="J48">
            <v>0.33206630409310456</v>
          </cell>
          <cell r="K48">
            <v>0.35045057931626383</v>
          </cell>
          <cell r="L48">
            <v>0.30844181604018284</v>
          </cell>
          <cell r="M48">
            <v>0.27589471319883813</v>
          </cell>
          <cell r="N48">
            <v>0.3112890796648991</v>
          </cell>
          <cell r="O48">
            <v>0.29426169010177744</v>
          </cell>
        </row>
        <row r="50">
          <cell r="F50" t="str">
            <v>Chrysler</v>
          </cell>
        </row>
        <row r="51">
          <cell r="F51" t="str">
            <v xml:space="preserve">   Unit sales</v>
          </cell>
          <cell r="G51">
            <v>1392.171</v>
          </cell>
          <cell r="H51">
            <v>1378.1630000000002</v>
          </cell>
          <cell r="I51">
            <v>1618.193</v>
          </cell>
          <cell r="J51">
            <v>1567.2579999999998</v>
          </cell>
          <cell r="K51">
            <v>1770.7940000000001</v>
          </cell>
          <cell r="L51">
            <v>158.82</v>
          </cell>
          <cell r="M51">
            <v>150.67099999999999</v>
          </cell>
          <cell r="N51">
            <v>1477.367</v>
          </cell>
          <cell r="O51">
            <v>1605.2160000000001</v>
          </cell>
        </row>
        <row r="52">
          <cell r="F52" t="str">
            <v xml:space="preserve">   Change</v>
          </cell>
          <cell r="G52">
            <v>0.14333228772232953</v>
          </cell>
          <cell r="H52">
            <v>-3.5917992062829418E-3</v>
          </cell>
          <cell r="I52">
            <v>0.16654216754241191</v>
          </cell>
          <cell r="J52">
            <v>-2.8321668108460041E-2</v>
          </cell>
          <cell r="K52">
            <v>0.1298675776419711</v>
          </cell>
          <cell r="M52">
            <v>-1.4821568684432185E-2</v>
          </cell>
          <cell r="O52">
            <v>9.0782706666657775E-2</v>
          </cell>
        </row>
        <row r="53">
          <cell r="F53" t="str">
            <v xml:space="preserve">   Market share</v>
          </cell>
          <cell r="G53">
            <v>0.22931282465521649</v>
          </cell>
          <cell r="H53">
            <v>0.22615740991450034</v>
          </cell>
          <cell r="I53">
            <v>0.24624258545181191</v>
          </cell>
          <cell r="J53">
            <v>0.23620958896551078</v>
          </cell>
          <cell r="K53">
            <v>0.21850279165462094</v>
          </cell>
          <cell r="L53">
            <v>0.2423238185912811</v>
          </cell>
          <cell r="M53">
            <v>0.22712999853776708</v>
          </cell>
          <cell r="N53">
            <v>0.23937562624032854</v>
          </cell>
          <cell r="O53">
            <v>0.23409822839925046</v>
          </cell>
        </row>
        <row r="55">
          <cell r="F55" t="str">
            <v>Total Japanese</v>
          </cell>
        </row>
        <row r="56">
          <cell r="F56" t="str">
            <v xml:space="preserve">   Unit sales</v>
          </cell>
          <cell r="G56">
            <v>861.18</v>
          </cell>
          <cell r="H56">
            <v>809.90499999999997</v>
          </cell>
          <cell r="I56">
            <v>873.70799999999997</v>
          </cell>
          <cell r="J56">
            <v>996.54699999999991</v>
          </cell>
          <cell r="K56">
            <v>1120.107</v>
          </cell>
          <cell r="L56">
            <v>104.416</v>
          </cell>
          <cell r="M56">
            <v>129.16200000000001</v>
          </cell>
          <cell r="N56">
            <v>921.01</v>
          </cell>
          <cell r="O56">
            <v>1141.7069999999999</v>
          </cell>
        </row>
        <row r="57">
          <cell r="F57" t="str">
            <v xml:space="preserve">   Change</v>
          </cell>
          <cell r="G57">
            <v>0.15896188483203355</v>
          </cell>
          <cell r="H57">
            <v>-5.3393603274546231E-2</v>
          </cell>
          <cell r="I57">
            <v>7.1773320856855394E-2</v>
          </cell>
          <cell r="J57">
            <v>0.14431032041966496</v>
          </cell>
          <cell r="K57">
            <v>0.12398813101639972</v>
          </cell>
          <cell r="M57">
            <v>0.28457103538508699</v>
          </cell>
          <cell r="O57">
            <v>0.24446726199362634</v>
          </cell>
        </row>
        <row r="58">
          <cell r="F58" t="str">
            <v xml:space="preserve">   Market share</v>
          </cell>
          <cell r="G58">
            <v>0.14185011635537539</v>
          </cell>
          <cell r="H58">
            <v>0.132905916844962</v>
          </cell>
          <cell r="I58">
            <v>0.13295331079168657</v>
          </cell>
          <cell r="J58">
            <v>0.15164588513499117</v>
          </cell>
          <cell r="K58">
            <v>0.17044817500920637</v>
          </cell>
          <cell r="L58">
            <v>0.15931547564555601</v>
          </cell>
          <cell r="M58">
            <v>0.19470611379187153</v>
          </cell>
          <cell r="N58">
            <v>0.14922991072875255</v>
          </cell>
          <cell r="O58">
            <v>0.16650194494138049</v>
          </cell>
        </row>
        <row r="60">
          <cell r="F60" t="str">
            <v>Other</v>
          </cell>
        </row>
        <row r="61">
          <cell r="F61" t="str">
            <v xml:space="preserve">   Unit sales</v>
          </cell>
          <cell r="G61">
            <v>16.72</v>
          </cell>
          <cell r="H61">
            <v>29.497</v>
          </cell>
          <cell r="I61">
            <v>34.085000000000001</v>
          </cell>
          <cell r="J61">
            <v>60.04699999999999</v>
          </cell>
          <cell r="K61">
            <v>95.616000000000014</v>
          </cell>
          <cell r="L61">
            <v>10.381</v>
          </cell>
          <cell r="M61">
            <v>11.600999999999999</v>
          </cell>
          <cell r="N61">
            <v>79.708000000000013</v>
          </cell>
          <cell r="O61">
            <v>106.54700000000001</v>
          </cell>
        </row>
        <row r="62">
          <cell r="F62" t="str">
            <v xml:space="preserve">   Change</v>
          </cell>
          <cell r="G62">
            <v>0.58118731363513176</v>
          </cell>
          <cell r="H62">
            <v>0.7757051943584452</v>
          </cell>
          <cell r="I62">
            <v>0.14803772692710537</v>
          </cell>
          <cell r="J62">
            <v>0.76742240967804665</v>
          </cell>
          <cell r="K62">
            <v>0.59235265708528351</v>
          </cell>
          <cell r="M62">
            <v>0.16050402732803271</v>
          </cell>
          <cell r="O62">
            <v>0.34193806416859029</v>
          </cell>
        </row>
        <row r="63">
          <cell r="F63" t="str">
            <v xml:space="preserve">   Market share</v>
          </cell>
          <cell r="G63">
            <v>2.7540513544925295E-3</v>
          </cell>
          <cell r="H63">
            <v>4.8404761412460025E-3</v>
          </cell>
          <cell r="I63">
            <v>5.1867598766803524E-3</v>
          </cell>
          <cell r="J63">
            <v>9.1374320174570939E-3</v>
          </cell>
          <cell r="K63">
            <v>1.4550014151933948E-2</v>
          </cell>
          <cell r="L63">
            <v>1.5839085510616354E-2</v>
          </cell>
          <cell r="M63">
            <v>1.7488004413833025E-2</v>
          </cell>
          <cell r="N63">
            <v>1.2914971307985157E-2</v>
          </cell>
          <cell r="O63">
            <v>1.5538384828742636E-2</v>
          </cell>
        </row>
        <row r="65">
          <cell r="F65" t="str">
            <v>Total Light Trucks</v>
          </cell>
        </row>
        <row r="66">
          <cell r="F66" t="str">
            <v xml:space="preserve">   Unit sales</v>
          </cell>
          <cell r="G66">
            <v>6068.0070000000005</v>
          </cell>
          <cell r="H66">
            <v>6093.8220000000001</v>
          </cell>
          <cell r="I66">
            <v>6571.54</v>
          </cell>
          <cell r="J66">
            <v>6850.6660000000002</v>
          </cell>
          <cell r="K66">
            <v>7405.8230000000003</v>
          </cell>
          <cell r="L66">
            <v>655.404</v>
          </cell>
          <cell r="M66">
            <v>663.36899999999991</v>
          </cell>
          <cell r="N66">
            <v>6171.7519999999995</v>
          </cell>
          <cell r="O66">
            <v>6857.0190000000002</v>
          </cell>
        </row>
        <row r="67">
          <cell r="F67" t="str">
            <v xml:space="preserve">   Change</v>
          </cell>
          <cell r="G67">
            <v>0.12461337392461092</v>
          </cell>
          <cell r="H67">
            <v>1.0818033328040766E-2</v>
          </cell>
          <cell r="I67">
            <v>7.1391265176052432E-2</v>
          </cell>
          <cell r="J67">
            <v>4.5870659383366652E-2</v>
          </cell>
          <cell r="K67">
            <v>8.1036938598378683E-2</v>
          </cell>
          <cell r="M67">
            <v>5.1081763778817679E-2</v>
          </cell>
          <cell r="O67">
            <v>0.11537278725210443</v>
          </cell>
        </row>
        <row r="68">
          <cell r="F68" t="str">
            <v>Source: Ward's Automotive Reports.</v>
          </cell>
        </row>
      </sheetData>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odel"/>
      <sheetName val="Geo Sales Drivers"/>
      <sheetName val="Volume &amp; Pricing"/>
      <sheetName val="EV"/>
      <sheetName val="A vs E"/>
      <sheetName val="Margins"/>
      <sheetName val="Fin Svcs"/>
      <sheetName val="GPS - Caterpillar Inc."/>
      <sheetName val="BPF"/>
      <sheetName val="Monthly Numbers (NEW)"/>
      <sheetName val="ROIC"/>
      <sheetName val="MTW vs CAT"/>
      <sheetName val="EPS Sensitivity"/>
      <sheetName val="Cycle Prices"/>
      <sheetName val="Rel Perf"/>
      <sheetName val="graphs 04 and 05"/>
      <sheetName val="Management"/>
      <sheetName val="NCPs"/>
      <sheetName val="Module1"/>
      <sheetName val="gsr - Caterpillar Inc."/>
      <sheetName val="earnings-model"/>
      <sheetName val="qtrly-fax"/>
      <sheetName val="Segments2"/>
      <sheetName val="Proxy Segments"/>
      <sheetName val="preview-qtrly"/>
      <sheetName val="05 Guidance"/>
      <sheetName val="end mkts"/>
      <sheetName val="graphs 2003"/>
      <sheetName val="graphs 2002"/>
      <sheetName val="graphs_data"/>
      <sheetName val="Reconciliations"/>
      <sheetName val="graphs_data (old)"/>
      <sheetName val="Dealers"/>
    </sheetNames>
    <sheetDataSet>
      <sheetData sheetId="0" refreshError="1">
        <row r="8">
          <cell r="AC8">
            <v>46625</v>
          </cell>
        </row>
        <row r="185">
          <cell r="CZ185">
            <v>1537</v>
          </cell>
          <cell r="DA185">
            <v>1718</v>
          </cell>
          <cell r="DB185">
            <v>1644</v>
          </cell>
          <cell r="DD185">
            <v>1509</v>
          </cell>
          <cell r="DE185">
            <v>1836</v>
          </cell>
          <cell r="DF185">
            <v>2326</v>
          </cell>
        </row>
        <row r="186">
          <cell r="CZ186">
            <v>3772</v>
          </cell>
          <cell r="DA186">
            <v>4012</v>
          </cell>
          <cell r="DB186">
            <v>3689</v>
          </cell>
          <cell r="DD186">
            <v>4052</v>
          </cell>
          <cell r="DE186">
            <v>4590</v>
          </cell>
          <cell r="DF186">
            <v>4230</v>
          </cell>
        </row>
        <row r="187">
          <cell r="CZ187">
            <v>5309</v>
          </cell>
          <cell r="DA187">
            <v>5730</v>
          </cell>
          <cell r="DB187">
            <v>5333</v>
          </cell>
          <cell r="DD187">
            <v>5561</v>
          </cell>
          <cell r="DE187">
            <v>6426</v>
          </cell>
          <cell r="DF187">
            <v>6556</v>
          </cell>
        </row>
        <row r="188">
          <cell r="CZ188">
            <v>407</v>
          </cell>
          <cell r="DA188">
            <v>544</v>
          </cell>
          <cell r="DB188">
            <v>414</v>
          </cell>
          <cell r="DD188">
            <v>533</v>
          </cell>
          <cell r="DE188">
            <v>693</v>
          </cell>
          <cell r="DF188">
            <v>571</v>
          </cell>
        </row>
        <row r="189">
          <cell r="CZ189">
            <v>7.666227161423997</v>
          </cell>
          <cell r="DA189">
            <v>9.493891797556719</v>
          </cell>
          <cell r="DB189">
            <v>7.7629851865741601</v>
          </cell>
          <cell r="DD189">
            <v>9.5846070850566445</v>
          </cell>
          <cell r="DE189">
            <v>10.784313725490197</v>
          </cell>
          <cell r="DF189">
            <v>8.7095790115924352</v>
          </cell>
        </row>
        <row r="190">
          <cell r="CZ190">
            <v>8598</v>
          </cell>
          <cell r="DA190">
            <v>8598</v>
          </cell>
          <cell r="DB190">
            <v>8598</v>
          </cell>
          <cell r="DD190">
            <v>8901</v>
          </cell>
          <cell r="DE190">
            <v>10249</v>
          </cell>
          <cell r="DF190">
            <v>10341</v>
          </cell>
        </row>
        <row r="191">
          <cell r="CZ191">
            <v>4.7336589904628985</v>
          </cell>
          <cell r="DA191">
            <v>6.3270528029774367</v>
          </cell>
          <cell r="DB191">
            <v>4.8150732728541517</v>
          </cell>
          <cell r="DD191">
            <v>5.9880912257049772</v>
          </cell>
          <cell r="DE191">
            <v>6.7616352814908769</v>
          </cell>
          <cell r="DF191">
            <v>5.5217096992553918</v>
          </cell>
        </row>
        <row r="196">
          <cell r="CX196" t="str">
            <v>9mos04</v>
          </cell>
          <cell r="CY196" t="str">
            <v>FY04</v>
          </cell>
          <cell r="CZ196" t="str">
            <v>1Q05</v>
          </cell>
          <cell r="DA196" t="str">
            <v>1H05</v>
          </cell>
          <cell r="DB196" t="str">
            <v>9mos05</v>
          </cell>
          <cell r="DC196" t="str">
            <v>FY05</v>
          </cell>
          <cell r="DD196" t="str">
            <v>1Q06</v>
          </cell>
          <cell r="DE196" t="str">
            <v>1H06</v>
          </cell>
          <cell r="DF196" t="str">
            <v>9mos06</v>
          </cell>
          <cell r="DG196" t="str">
            <v>FY06</v>
          </cell>
          <cell r="DH196" t="str">
            <v>1Q07</v>
          </cell>
          <cell r="DI196" t="str">
            <v>1H07</v>
          </cell>
        </row>
        <row r="197">
          <cell r="CY197">
            <v>2035</v>
          </cell>
          <cell r="CZ197">
            <v>581</v>
          </cell>
          <cell r="DA197">
            <v>1341</v>
          </cell>
          <cell r="DB197">
            <v>2008</v>
          </cell>
          <cell r="DC197">
            <v>2854</v>
          </cell>
          <cell r="DD197">
            <v>840</v>
          </cell>
          <cell r="DE197">
            <v>1886</v>
          </cell>
          <cell r="DF197">
            <v>2655</v>
          </cell>
          <cell r="DG197">
            <v>3537</v>
          </cell>
          <cell r="DH197">
            <v>816</v>
          </cell>
          <cell r="DI197">
            <v>1639</v>
          </cell>
        </row>
        <row r="198">
          <cell r="CY198">
            <v>704</v>
          </cell>
          <cell r="CZ198">
            <v>213</v>
          </cell>
          <cell r="DA198">
            <v>426</v>
          </cell>
          <cell r="DB198">
            <v>633</v>
          </cell>
          <cell r="DC198">
            <v>728</v>
          </cell>
          <cell r="DD198">
            <v>235</v>
          </cell>
          <cell r="DE198">
            <v>470</v>
          </cell>
          <cell r="DF198">
            <v>721</v>
          </cell>
          <cell r="DG198">
            <v>804</v>
          </cell>
          <cell r="DH198">
            <v>248</v>
          </cell>
          <cell r="DI198">
            <v>512</v>
          </cell>
        </row>
        <row r="199">
          <cell r="CY199">
            <v>91</v>
          </cell>
          <cell r="DC199">
            <v>107</v>
          </cell>
          <cell r="DG199">
            <v>139</v>
          </cell>
        </row>
        <row r="200">
          <cell r="CY200">
            <v>-328</v>
          </cell>
          <cell r="CZ200">
            <v>-88</v>
          </cell>
          <cell r="DA200">
            <v>-189</v>
          </cell>
          <cell r="DB200">
            <v>-284</v>
          </cell>
          <cell r="DC200">
            <v>-373</v>
          </cell>
          <cell r="DD200">
            <v>-121</v>
          </cell>
          <cell r="DE200">
            <v>-248</v>
          </cell>
          <cell r="DF200">
            <v>-377</v>
          </cell>
          <cell r="DG200">
            <v>-128</v>
          </cell>
          <cell r="DH200">
            <v>-127</v>
          </cell>
          <cell r="DI200">
            <v>-261</v>
          </cell>
        </row>
        <row r="201">
          <cell r="CY201">
            <v>-111</v>
          </cell>
          <cell r="CZ201">
            <v>-69</v>
          </cell>
          <cell r="DA201">
            <v>-129</v>
          </cell>
          <cell r="DB201">
            <v>-150</v>
          </cell>
          <cell r="DC201">
            <v>7</v>
          </cell>
          <cell r="DD201">
            <v>7</v>
          </cell>
          <cell r="DE201">
            <v>90</v>
          </cell>
          <cell r="DF201">
            <v>113</v>
          </cell>
          <cell r="DG201">
            <v>140</v>
          </cell>
          <cell r="DH201">
            <v>-25</v>
          </cell>
          <cell r="DI201">
            <v>47</v>
          </cell>
        </row>
        <row r="202">
          <cell r="CY202">
            <v>2391</v>
          </cell>
          <cell r="CZ202">
            <v>637</v>
          </cell>
          <cell r="DA202">
            <v>1449</v>
          </cell>
          <cell r="DB202">
            <v>2207</v>
          </cell>
          <cell r="DC202">
            <v>3323</v>
          </cell>
          <cell r="DD202">
            <v>961</v>
          </cell>
          <cell r="DE202">
            <v>2198</v>
          </cell>
          <cell r="DF202">
            <v>3112</v>
          </cell>
          <cell r="DG202">
            <v>4492</v>
          </cell>
          <cell r="DH202">
            <v>912</v>
          </cell>
          <cell r="DI202">
            <v>1937</v>
          </cell>
        </row>
        <row r="204">
          <cell r="CY204">
            <v>-473</v>
          </cell>
          <cell r="CZ204">
            <v>-751</v>
          </cell>
          <cell r="DA204">
            <v>-596</v>
          </cell>
          <cell r="DB204">
            <v>-265</v>
          </cell>
          <cell r="DC204">
            <v>-513</v>
          </cell>
          <cell r="DD204">
            <v>-423</v>
          </cell>
          <cell r="DE204">
            <v>-228</v>
          </cell>
          <cell r="DF204">
            <v>-338</v>
          </cell>
          <cell r="DG204">
            <v>121</v>
          </cell>
          <cell r="DH204">
            <v>-688</v>
          </cell>
          <cell r="DI204">
            <v>-460</v>
          </cell>
        </row>
        <row r="205">
          <cell r="CY205">
            <v>-531</v>
          </cell>
          <cell r="CZ205">
            <v>-216</v>
          </cell>
          <cell r="DA205">
            <v>-256</v>
          </cell>
          <cell r="DB205">
            <v>248</v>
          </cell>
          <cell r="DC205">
            <v>-39</v>
          </cell>
          <cell r="DD205">
            <v>-175</v>
          </cell>
          <cell r="DE205">
            <v>-53</v>
          </cell>
          <cell r="DF205">
            <v>15</v>
          </cell>
          <cell r="DG205">
            <v>-292</v>
          </cell>
          <cell r="DH205">
            <v>-49</v>
          </cell>
          <cell r="DI205">
            <v>-57</v>
          </cell>
        </row>
        <row r="206">
          <cell r="CY206">
            <v>-1391</v>
          </cell>
          <cell r="CZ206">
            <v>-555</v>
          </cell>
          <cell r="DA206">
            <v>-674</v>
          </cell>
          <cell r="DB206">
            <v>-794</v>
          </cell>
          <cell r="DC206">
            <v>-568</v>
          </cell>
          <cell r="DD206">
            <v>-618</v>
          </cell>
          <cell r="DE206">
            <v>-755</v>
          </cell>
          <cell r="DF206">
            <v>-902</v>
          </cell>
          <cell r="DG206">
            <v>-827</v>
          </cell>
          <cell r="DH206">
            <v>-734</v>
          </cell>
          <cell r="DI206">
            <v>-691</v>
          </cell>
        </row>
        <row r="207">
          <cell r="CY207">
            <v>1325</v>
          </cell>
          <cell r="CZ207">
            <v>48</v>
          </cell>
          <cell r="DA207">
            <v>118</v>
          </cell>
          <cell r="DB207">
            <v>207</v>
          </cell>
          <cell r="DC207">
            <v>353</v>
          </cell>
          <cell r="DD207">
            <v>225</v>
          </cell>
          <cell r="DE207">
            <v>271</v>
          </cell>
          <cell r="DF207">
            <v>258</v>
          </cell>
          <cell r="DG207">
            <v>507</v>
          </cell>
          <cell r="DH207">
            <v>-168</v>
          </cell>
          <cell r="DI207">
            <v>-146</v>
          </cell>
        </row>
        <row r="208">
          <cell r="CY208">
            <v>124</v>
          </cell>
          <cell r="CZ208">
            <v>-28</v>
          </cell>
          <cell r="DA208">
            <v>216</v>
          </cell>
          <cell r="DB208">
            <v>74</v>
          </cell>
          <cell r="DC208">
            <v>-259</v>
          </cell>
          <cell r="DD208">
            <v>145</v>
          </cell>
          <cell r="DE208">
            <v>309</v>
          </cell>
          <cell r="DF208">
            <v>291</v>
          </cell>
          <cell r="DG208">
            <v>733</v>
          </cell>
          <cell r="DH208">
            <v>263</v>
          </cell>
          <cell r="DI208">
            <v>434</v>
          </cell>
        </row>
        <row r="209">
          <cell r="CY209">
            <v>1918</v>
          </cell>
          <cell r="CZ209">
            <v>-114</v>
          </cell>
          <cell r="DA209">
            <v>853</v>
          </cell>
          <cell r="DB209">
            <v>1942</v>
          </cell>
          <cell r="DC209">
            <v>2810</v>
          </cell>
          <cell r="DD209">
            <v>538</v>
          </cell>
          <cell r="DE209">
            <v>1970</v>
          </cell>
          <cell r="DF209">
            <v>2774</v>
          </cell>
          <cell r="DG209">
            <v>4613</v>
          </cell>
          <cell r="DH209">
            <v>224</v>
          </cell>
          <cell r="DI209">
            <v>1477</v>
          </cell>
        </row>
        <row r="211">
          <cell r="CY211">
            <v>-841</v>
          </cell>
          <cell r="CZ211">
            <v>-158</v>
          </cell>
          <cell r="DA211">
            <v>-385</v>
          </cell>
          <cell r="DB211">
            <v>-677</v>
          </cell>
          <cell r="DC211">
            <v>-1162</v>
          </cell>
          <cell r="DD211">
            <v>-226</v>
          </cell>
          <cell r="DE211">
            <v>-536</v>
          </cell>
          <cell r="DF211">
            <v>-900</v>
          </cell>
          <cell r="DG211">
            <v>-1580</v>
          </cell>
          <cell r="DH211">
            <v>-249</v>
          </cell>
          <cell r="DI211">
            <v>-575</v>
          </cell>
        </row>
        <row r="212">
          <cell r="CY212">
            <v>27</v>
          </cell>
          <cell r="CZ212">
            <v>0</v>
          </cell>
          <cell r="DA212">
            <v>0</v>
          </cell>
          <cell r="DB212">
            <v>0</v>
          </cell>
          <cell r="DC212">
            <v>45</v>
          </cell>
          <cell r="DD212">
            <v>0</v>
          </cell>
          <cell r="DE212">
            <v>0</v>
          </cell>
          <cell r="DF212">
            <v>0</v>
          </cell>
          <cell r="DG212">
            <v>0</v>
          </cell>
          <cell r="DH212">
            <v>0</v>
          </cell>
          <cell r="DI212">
            <v>0</v>
          </cell>
        </row>
        <row r="213">
          <cell r="CY213">
            <v>-2</v>
          </cell>
          <cell r="CZ213">
            <v>4</v>
          </cell>
          <cell r="DA213">
            <v>18</v>
          </cell>
          <cell r="DB213">
            <v>31</v>
          </cell>
          <cell r="DC213">
            <v>0</v>
          </cell>
          <cell r="DD213">
            <v>3</v>
          </cell>
          <cell r="DE213">
            <v>20</v>
          </cell>
          <cell r="DF213">
            <v>22</v>
          </cell>
          <cell r="DG213">
            <v>29</v>
          </cell>
          <cell r="DH213">
            <v>13</v>
          </cell>
          <cell r="DI213">
            <v>13</v>
          </cell>
        </row>
        <row r="214">
          <cell r="CY214">
            <v>159</v>
          </cell>
          <cell r="CZ214">
            <v>-109</v>
          </cell>
          <cell r="DA214">
            <v>-67</v>
          </cell>
          <cell r="DB214">
            <v>-315</v>
          </cell>
          <cell r="DC214">
            <v>111</v>
          </cell>
          <cell r="DD214">
            <v>102</v>
          </cell>
          <cell r="DE214">
            <v>36</v>
          </cell>
          <cell r="DF214">
            <v>36</v>
          </cell>
          <cell r="DG214">
            <v>123</v>
          </cell>
          <cell r="DH214">
            <v>33</v>
          </cell>
          <cell r="DI214">
            <v>35</v>
          </cell>
        </row>
        <row r="215">
          <cell r="CY215">
            <v>-295</v>
          </cell>
          <cell r="CZ215">
            <v>1</v>
          </cell>
          <cell r="DA215">
            <v>-8</v>
          </cell>
          <cell r="DB215">
            <v>-12</v>
          </cell>
          <cell r="DC215">
            <v>-13</v>
          </cell>
          <cell r="DD215">
            <v>-4</v>
          </cell>
          <cell r="DE215">
            <v>-419</v>
          </cell>
          <cell r="DF215">
            <v>-512</v>
          </cell>
          <cell r="DG215">
            <v>-513</v>
          </cell>
          <cell r="DH215">
            <v>-153</v>
          </cell>
          <cell r="DI215">
            <v>-181</v>
          </cell>
        </row>
        <row r="216">
          <cell r="CY216">
            <v>-94</v>
          </cell>
          <cell r="CZ216">
            <v>0</v>
          </cell>
          <cell r="DA216">
            <v>-1</v>
          </cell>
          <cell r="DB216">
            <v>-2</v>
          </cell>
          <cell r="DC216">
            <v>-5</v>
          </cell>
          <cell r="DD216">
            <v>-10</v>
          </cell>
          <cell r="DE216">
            <v>-17</v>
          </cell>
          <cell r="DF216">
            <v>-17</v>
          </cell>
          <cell r="DG216">
            <v>-9</v>
          </cell>
          <cell r="DH216">
            <v>-1</v>
          </cell>
          <cell r="DI216">
            <v>-1</v>
          </cell>
        </row>
        <row r="217">
          <cell r="CY217">
            <v>12</v>
          </cell>
          <cell r="CZ217">
            <v>-8</v>
          </cell>
          <cell r="DA217">
            <v>14</v>
          </cell>
          <cell r="DB217">
            <v>-5</v>
          </cell>
          <cell r="DC217">
            <v>540</v>
          </cell>
          <cell r="DD217">
            <v>14</v>
          </cell>
          <cell r="DE217">
            <v>13</v>
          </cell>
          <cell r="DF217">
            <v>5</v>
          </cell>
          <cell r="DG217">
            <v>33</v>
          </cell>
          <cell r="DH217">
            <v>50</v>
          </cell>
          <cell r="DI217">
            <v>81</v>
          </cell>
        </row>
        <row r="218">
          <cell r="CY218">
            <v>-1034</v>
          </cell>
          <cell r="CZ218">
            <v>-270</v>
          </cell>
          <cell r="DA218">
            <v>-429</v>
          </cell>
          <cell r="DB218">
            <v>-980</v>
          </cell>
          <cell r="DC218">
            <v>-484</v>
          </cell>
          <cell r="DD218">
            <v>-121</v>
          </cell>
          <cell r="DE218">
            <v>-903</v>
          </cell>
          <cell r="DF218">
            <v>-1366</v>
          </cell>
          <cell r="DG218">
            <v>-1917</v>
          </cell>
          <cell r="DH218">
            <v>-307</v>
          </cell>
          <cell r="DI218">
            <v>-628</v>
          </cell>
        </row>
        <row r="220">
          <cell r="CY220">
            <v>-534</v>
          </cell>
          <cell r="CZ220">
            <v>-141</v>
          </cell>
          <cell r="DA220">
            <v>-280</v>
          </cell>
          <cell r="DB220">
            <v>-449</v>
          </cell>
          <cell r="DC220">
            <v>-618</v>
          </cell>
          <cell r="DD220">
            <v>-168</v>
          </cell>
          <cell r="DE220">
            <v>-335</v>
          </cell>
          <cell r="DF220">
            <v>-531</v>
          </cell>
          <cell r="DG220">
            <v>-726</v>
          </cell>
          <cell r="DH220">
            <v>-193</v>
          </cell>
          <cell r="DI220">
            <v>-386</v>
          </cell>
        </row>
        <row r="221">
          <cell r="CY221">
            <v>-222</v>
          </cell>
          <cell r="CZ221">
            <v>-203</v>
          </cell>
          <cell r="DA221">
            <v>-561</v>
          </cell>
          <cell r="DB221">
            <v>-627</v>
          </cell>
          <cell r="DC221">
            <v>-1202</v>
          </cell>
          <cell r="DD221">
            <v>-404</v>
          </cell>
          <cell r="DE221">
            <v>-1942</v>
          </cell>
          <cell r="DF221">
            <v>-2316</v>
          </cell>
          <cell r="DG221">
            <v>-2625</v>
          </cell>
          <cell r="DH221">
            <v>-412</v>
          </cell>
          <cell r="DI221">
            <v>-697</v>
          </cell>
        </row>
        <row r="222">
          <cell r="CY222">
            <v>-5</v>
          </cell>
          <cell r="CZ222">
            <v>202</v>
          </cell>
          <cell r="DA222">
            <v>579</v>
          </cell>
          <cell r="DB222">
            <v>535</v>
          </cell>
          <cell r="DC222">
            <v>237</v>
          </cell>
          <cell r="DD222">
            <v>-152</v>
          </cell>
          <cell r="DE222">
            <v>322</v>
          </cell>
          <cell r="DF222">
            <v>602</v>
          </cell>
          <cell r="DG222">
            <v>13</v>
          </cell>
          <cell r="DH222">
            <v>480</v>
          </cell>
          <cell r="DI222">
            <v>261</v>
          </cell>
        </row>
        <row r="223">
          <cell r="CY223">
            <v>-209</v>
          </cell>
          <cell r="CZ223">
            <v>569</v>
          </cell>
          <cell r="DA223">
            <v>9</v>
          </cell>
          <cell r="DB223">
            <v>11</v>
          </cell>
          <cell r="DC223">
            <v>0</v>
          </cell>
          <cell r="DD223">
            <v>-3</v>
          </cell>
          <cell r="DE223">
            <v>383</v>
          </cell>
          <cell r="DF223">
            <v>235</v>
          </cell>
          <cell r="DG223">
            <v>2</v>
          </cell>
          <cell r="DH223">
            <v>222</v>
          </cell>
          <cell r="DI223">
            <v>29</v>
          </cell>
        </row>
        <row r="224">
          <cell r="CY224">
            <v>-970</v>
          </cell>
          <cell r="CZ224">
            <v>427</v>
          </cell>
          <cell r="DA224">
            <v>-253</v>
          </cell>
          <cell r="DB224">
            <v>-530</v>
          </cell>
          <cell r="DC224">
            <v>-1583</v>
          </cell>
          <cell r="DD224">
            <v>-727</v>
          </cell>
          <cell r="DE224">
            <v>-1572</v>
          </cell>
          <cell r="DF224">
            <v>-2010</v>
          </cell>
          <cell r="DG224">
            <v>-3336</v>
          </cell>
          <cell r="DH224">
            <v>97</v>
          </cell>
          <cell r="DI224">
            <v>-793</v>
          </cell>
        </row>
        <row r="226">
          <cell r="CY226">
            <v>136</v>
          </cell>
          <cell r="CZ226">
            <v>33</v>
          </cell>
          <cell r="DA226">
            <v>23</v>
          </cell>
          <cell r="DB226">
            <v>52</v>
          </cell>
          <cell r="DC226">
            <v>-62</v>
          </cell>
          <cell r="DD226">
            <v>7</v>
          </cell>
          <cell r="DE226">
            <v>9</v>
          </cell>
          <cell r="DF226">
            <v>12</v>
          </cell>
          <cell r="DG226">
            <v>8</v>
          </cell>
          <cell r="DH226">
            <v>4</v>
          </cell>
          <cell r="DI226">
            <v>4</v>
          </cell>
        </row>
        <row r="228">
          <cell r="CY228">
            <v>-1804</v>
          </cell>
          <cell r="CZ228">
            <v>76</v>
          </cell>
          <cell r="DA228">
            <v>194</v>
          </cell>
          <cell r="DB228">
            <v>484</v>
          </cell>
          <cell r="DC228">
            <v>681</v>
          </cell>
          <cell r="DD228">
            <v>-303</v>
          </cell>
          <cell r="DE228">
            <v>-496</v>
          </cell>
          <cell r="DF228">
            <v>-590</v>
          </cell>
          <cell r="DG228">
            <v>-632</v>
          </cell>
          <cell r="DH228">
            <v>18</v>
          </cell>
          <cell r="DI228">
            <v>60</v>
          </cell>
        </row>
        <row r="229">
          <cell r="CY229">
            <v>-1804</v>
          </cell>
          <cell r="CZ229">
            <v>346</v>
          </cell>
          <cell r="DA229">
            <v>464</v>
          </cell>
          <cell r="DB229">
            <v>754</v>
          </cell>
          <cell r="DC229">
            <v>951</v>
          </cell>
          <cell r="DD229">
            <v>648</v>
          </cell>
          <cell r="DE229">
            <v>455</v>
          </cell>
          <cell r="DF229">
            <v>361</v>
          </cell>
          <cell r="DG229">
            <v>319</v>
          </cell>
          <cell r="DH229">
            <v>337</v>
          </cell>
          <cell r="DI229">
            <v>379</v>
          </cell>
        </row>
        <row r="231">
          <cell r="CY231">
            <v>3796</v>
          </cell>
          <cell r="CZ231">
            <v>4552</v>
          </cell>
          <cell r="DA231">
            <v>4317</v>
          </cell>
          <cell r="DB231">
            <v>3796</v>
          </cell>
          <cell r="DC231">
            <v>3963</v>
          </cell>
          <cell r="DD231">
            <v>3829</v>
          </cell>
          <cell r="DE231">
            <v>4944</v>
          </cell>
          <cell r="DF231">
            <v>5090</v>
          </cell>
          <cell r="DG231">
            <v>3976</v>
          </cell>
          <cell r="DH231">
            <v>5021</v>
          </cell>
          <cell r="DI231">
            <v>4631</v>
          </cell>
        </row>
        <row r="232">
          <cell r="CY232">
            <v>7467</v>
          </cell>
          <cell r="CZ232">
            <v>7747</v>
          </cell>
          <cell r="DA232">
            <v>7705</v>
          </cell>
          <cell r="DB232">
            <v>7467</v>
          </cell>
          <cell r="DC232">
            <v>8432</v>
          </cell>
          <cell r="DD232">
            <v>8962</v>
          </cell>
          <cell r="DE232">
            <v>8633</v>
          </cell>
          <cell r="DF232">
            <v>9028</v>
          </cell>
          <cell r="DG232">
            <v>8618</v>
          </cell>
          <cell r="DH232">
            <v>7492</v>
          </cell>
          <cell r="DI232">
            <v>7831</v>
          </cell>
        </row>
        <row r="233">
          <cell r="CY233">
            <v>11263</v>
          </cell>
          <cell r="CZ233">
            <v>12299</v>
          </cell>
          <cell r="DA233">
            <v>12022</v>
          </cell>
          <cell r="DB233">
            <v>11263</v>
          </cell>
          <cell r="DC233">
            <v>12395</v>
          </cell>
          <cell r="DD233">
            <v>12791</v>
          </cell>
          <cell r="DE233">
            <v>13577</v>
          </cell>
          <cell r="DF233">
            <v>14118</v>
          </cell>
          <cell r="DG233">
            <v>12594</v>
          </cell>
          <cell r="DH233">
            <v>12513</v>
          </cell>
          <cell r="DI233">
            <v>12462</v>
          </cell>
        </row>
        <row r="234">
          <cell r="CY234">
            <v>0.33703276214152533</v>
          </cell>
          <cell r="CZ234">
            <v>0.37011139117001385</v>
          </cell>
          <cell r="DA234">
            <v>0.35909166528031944</v>
          </cell>
          <cell r="DB234">
            <v>0.33703276214152533</v>
          </cell>
          <cell r="DC234">
            <v>0.31972569584509886</v>
          </cell>
          <cell r="DD234">
            <v>0.29935110624657962</v>
          </cell>
          <cell r="DE234">
            <v>0.36414524563600204</v>
          </cell>
          <cell r="DF234">
            <v>0.36053265335033291</v>
          </cell>
          <cell r="DG234">
            <v>0.31570589169445767</v>
          </cell>
          <cell r="DH234">
            <v>0.40126268680572202</v>
          </cell>
          <cell r="DI234">
            <v>0.37160969346814315</v>
          </cell>
        </row>
        <row r="235">
          <cell r="CY235">
            <v>10.484414490311709</v>
          </cell>
          <cell r="CZ235">
            <v>10.862310712282669</v>
          </cell>
          <cell r="DA235">
            <v>10.927528010211317</v>
          </cell>
          <cell r="DB235">
            <v>10.506542845082313</v>
          </cell>
          <cell r="DC235">
            <v>11.953501559398923</v>
          </cell>
          <cell r="DD235">
            <v>12.819339150336146</v>
          </cell>
          <cell r="DE235">
            <v>12.538852578068264</v>
          </cell>
          <cell r="DF235">
            <v>13.331364441819256</v>
          </cell>
          <cell r="DG235">
            <v>12.603100321731501</v>
          </cell>
          <cell r="DH235">
            <v>11.26277811184606</v>
          </cell>
          <cell r="DI235">
            <v>11.81502715751358</v>
          </cell>
        </row>
        <row r="236">
          <cell r="CY236">
            <v>0.2951653944020356</v>
          </cell>
          <cell r="CZ236">
            <v>0.30550808465886681</v>
          </cell>
          <cell r="DA236">
            <v>0.39347657261195962</v>
          </cell>
          <cell r="DB236">
            <v>0.35170050092275246</v>
          </cell>
          <cell r="DC236">
            <v>0.42568715013522862</v>
          </cell>
          <cell r="DD236">
            <v>0.38634011728182133</v>
          </cell>
          <cell r="DE236">
            <v>0.47558965615231602</v>
          </cell>
          <cell r="DF236">
            <v>0.34833814619783704</v>
          </cell>
          <cell r="DG236">
            <v>0.41042005105592944</v>
          </cell>
          <cell r="DH236">
            <v>0.40521415270018624</v>
          </cell>
          <cell r="DI236">
            <v>0.42968087189192716</v>
          </cell>
        </row>
        <row r="237">
          <cell r="CY237">
            <v>1077</v>
          </cell>
          <cell r="CZ237">
            <v>-272</v>
          </cell>
          <cell r="DA237">
            <v>468</v>
          </cell>
          <cell r="DB237">
            <v>1265</v>
          </cell>
          <cell r="DC237">
            <v>1648</v>
          </cell>
          <cell r="DD237">
            <v>312</v>
          </cell>
          <cell r="DE237">
            <v>1434</v>
          </cell>
          <cell r="DF237">
            <v>1874</v>
          </cell>
          <cell r="DG237">
            <v>3033</v>
          </cell>
          <cell r="DH237">
            <v>-25</v>
          </cell>
          <cell r="DI237">
            <v>902</v>
          </cell>
        </row>
        <row r="243">
          <cell r="CX243">
            <v>38260</v>
          </cell>
          <cell r="CY243">
            <v>38352</v>
          </cell>
          <cell r="CZ243">
            <v>38442</v>
          </cell>
          <cell r="DA243">
            <v>38533</v>
          </cell>
          <cell r="DB243">
            <v>38625</v>
          </cell>
          <cell r="DC243">
            <v>38717</v>
          </cell>
          <cell r="DD243">
            <v>38807</v>
          </cell>
          <cell r="DE243">
            <v>38898</v>
          </cell>
          <cell r="DF243">
            <v>38990</v>
          </cell>
          <cell r="DG243">
            <v>39082</v>
          </cell>
          <cell r="DH243">
            <v>39172</v>
          </cell>
          <cell r="DI243">
            <v>39263</v>
          </cell>
        </row>
        <row r="245">
          <cell r="CY245">
            <v>270</v>
          </cell>
          <cell r="CZ245">
            <v>346</v>
          </cell>
          <cell r="DA245">
            <v>464</v>
          </cell>
          <cell r="DB245">
            <v>270</v>
          </cell>
          <cell r="DC245">
            <v>951</v>
          </cell>
          <cell r="DD245">
            <v>648</v>
          </cell>
          <cell r="DE245">
            <v>455</v>
          </cell>
          <cell r="DF245">
            <v>361</v>
          </cell>
          <cell r="DG245">
            <v>319</v>
          </cell>
          <cell r="DH245">
            <v>337</v>
          </cell>
          <cell r="DI245">
            <v>379</v>
          </cell>
        </row>
        <row r="246">
          <cell r="CY246">
            <v>3276</v>
          </cell>
          <cell r="CZ246">
            <v>3459</v>
          </cell>
          <cell r="DA246">
            <v>3308</v>
          </cell>
          <cell r="DB246">
            <v>3276</v>
          </cell>
          <cell r="DC246">
            <v>2833</v>
          </cell>
          <cell r="DD246">
            <v>2969</v>
          </cell>
          <cell r="DE246">
            <v>3178</v>
          </cell>
          <cell r="DF246">
            <v>3189</v>
          </cell>
          <cell r="DG246">
            <v>3485</v>
          </cell>
          <cell r="DH246">
            <v>3990</v>
          </cell>
          <cell r="DI246">
            <v>4022</v>
          </cell>
        </row>
        <row r="247">
          <cell r="CY247">
            <v>333</v>
          </cell>
          <cell r="CZ247">
            <v>374</v>
          </cell>
          <cell r="DA247">
            <v>487</v>
          </cell>
          <cell r="DB247">
            <v>333</v>
          </cell>
          <cell r="DC247">
            <v>187</v>
          </cell>
          <cell r="DD247">
            <v>277</v>
          </cell>
          <cell r="DE247">
            <v>289</v>
          </cell>
          <cell r="DF247">
            <v>327</v>
          </cell>
          <cell r="DG247">
            <v>656</v>
          </cell>
          <cell r="DH247">
            <v>774</v>
          </cell>
          <cell r="DI247">
            <v>979</v>
          </cell>
        </row>
        <row r="248">
          <cell r="CY248">
            <v>1367</v>
          </cell>
          <cell r="CZ248">
            <v>1324</v>
          </cell>
          <cell r="DA248">
            <v>1268</v>
          </cell>
          <cell r="DB248">
            <v>1367</v>
          </cell>
          <cell r="DC248">
            <v>2139</v>
          </cell>
          <cell r="DD248">
            <v>2138</v>
          </cell>
          <cell r="DE248">
            <v>2140</v>
          </cell>
          <cell r="DF248">
            <v>2077</v>
          </cell>
          <cell r="DG248">
            <v>485</v>
          </cell>
          <cell r="DH248">
            <v>641</v>
          </cell>
          <cell r="DI248">
            <v>724</v>
          </cell>
        </row>
        <row r="249">
          <cell r="CY249">
            <v>4675</v>
          </cell>
          <cell r="CZ249">
            <v>5230</v>
          </cell>
          <cell r="DA249">
            <v>5349</v>
          </cell>
          <cell r="DB249">
            <v>4675</v>
          </cell>
          <cell r="DC249">
            <v>5224</v>
          </cell>
          <cell r="DD249">
            <v>5858</v>
          </cell>
          <cell r="DE249">
            <v>6254</v>
          </cell>
          <cell r="DF249">
            <v>6411</v>
          </cell>
          <cell r="DG249">
            <v>6351</v>
          </cell>
          <cell r="DH249">
            <v>7131</v>
          </cell>
          <cell r="DI249">
            <v>7106</v>
          </cell>
        </row>
        <row r="250">
          <cell r="CY250">
            <v>9921</v>
          </cell>
          <cell r="CZ250">
            <v>10733</v>
          </cell>
          <cell r="DA250">
            <v>10876</v>
          </cell>
          <cell r="DB250">
            <v>9921</v>
          </cell>
          <cell r="DC250">
            <v>11334</v>
          </cell>
          <cell r="DD250">
            <v>11890</v>
          </cell>
          <cell r="DE250">
            <v>12316</v>
          </cell>
          <cell r="DF250">
            <v>12365</v>
          </cell>
          <cell r="DG250">
            <v>11296</v>
          </cell>
          <cell r="DH250">
            <v>12873</v>
          </cell>
          <cell r="DI250">
            <v>13210</v>
          </cell>
        </row>
        <row r="252">
          <cell r="CY252">
            <v>15164</v>
          </cell>
          <cell r="DC252">
            <v>15862</v>
          </cell>
          <cell r="DG252">
            <v>17278</v>
          </cell>
        </row>
        <row r="253">
          <cell r="CY253">
            <v>7482</v>
          </cell>
          <cell r="DC253">
            <v>7874</v>
          </cell>
          <cell r="DG253">
            <v>8427</v>
          </cell>
        </row>
        <row r="254">
          <cell r="CY254">
            <v>4820</v>
          </cell>
          <cell r="CZ254">
            <v>4757</v>
          </cell>
          <cell r="DA254">
            <v>4757</v>
          </cell>
          <cell r="DB254">
            <v>4820</v>
          </cell>
          <cell r="DC254">
            <v>5067</v>
          </cell>
          <cell r="DD254">
            <v>5098</v>
          </cell>
          <cell r="DE254">
            <v>5397</v>
          </cell>
          <cell r="DF254">
            <v>5602</v>
          </cell>
          <cell r="DG254">
            <v>6046</v>
          </cell>
          <cell r="DH254">
            <v>6091</v>
          </cell>
          <cell r="DI254">
            <v>6166</v>
          </cell>
        </row>
        <row r="255">
          <cell r="CY255">
            <v>255</v>
          </cell>
          <cell r="CZ255">
            <v>255</v>
          </cell>
          <cell r="DA255">
            <v>266</v>
          </cell>
          <cell r="DB255">
            <v>255</v>
          </cell>
          <cell r="DC255">
            <v>301</v>
          </cell>
          <cell r="DD255">
            <v>303</v>
          </cell>
          <cell r="DE255">
            <v>289</v>
          </cell>
          <cell r="DF255">
            <v>148</v>
          </cell>
          <cell r="DG255">
            <v>155</v>
          </cell>
          <cell r="DH255">
            <v>130</v>
          </cell>
          <cell r="DI255">
            <v>133</v>
          </cell>
        </row>
        <row r="256">
          <cell r="CY256">
            <v>479</v>
          </cell>
          <cell r="CZ256">
            <v>516</v>
          </cell>
          <cell r="DA256">
            <v>514</v>
          </cell>
          <cell r="DB256">
            <v>479</v>
          </cell>
          <cell r="DC256">
            <v>526</v>
          </cell>
          <cell r="DD256">
            <v>522</v>
          </cell>
          <cell r="DE256">
            <v>554</v>
          </cell>
          <cell r="DF256">
            <v>592</v>
          </cell>
          <cell r="DG256">
            <v>559</v>
          </cell>
          <cell r="DH256">
            <v>549</v>
          </cell>
          <cell r="DI256">
            <v>552</v>
          </cell>
        </row>
        <row r="257">
          <cell r="CY257">
            <v>3012</v>
          </cell>
          <cell r="CZ257">
            <v>3066</v>
          </cell>
          <cell r="DA257">
            <v>3088</v>
          </cell>
          <cell r="DB257">
            <v>3012</v>
          </cell>
          <cell r="DC257">
            <v>3253</v>
          </cell>
          <cell r="DD257">
            <v>3398</v>
          </cell>
          <cell r="DE257">
            <v>3590</v>
          </cell>
          <cell r="DF257">
            <v>3707</v>
          </cell>
          <cell r="DG257">
            <v>3513</v>
          </cell>
          <cell r="DH257">
            <v>3642</v>
          </cell>
          <cell r="DI257">
            <v>3853</v>
          </cell>
        </row>
        <row r="258">
          <cell r="CY258">
            <v>950</v>
          </cell>
          <cell r="CZ258">
            <v>1015</v>
          </cell>
          <cell r="DA258">
            <v>1002</v>
          </cell>
          <cell r="DB258">
            <v>950</v>
          </cell>
          <cell r="DC258">
            <v>1146</v>
          </cell>
          <cell r="DD258">
            <v>1058</v>
          </cell>
          <cell r="DE258">
            <v>1001</v>
          </cell>
          <cell r="DF258">
            <v>1239</v>
          </cell>
          <cell r="DG258">
            <v>2218</v>
          </cell>
          <cell r="DH258">
            <v>2371</v>
          </cell>
          <cell r="DI258">
            <v>2332</v>
          </cell>
        </row>
        <row r="259">
          <cell r="CY259">
            <v>1757</v>
          </cell>
          <cell r="CZ259">
            <v>1917</v>
          </cell>
          <cell r="DA259">
            <v>1912</v>
          </cell>
          <cell r="DB259">
            <v>1757</v>
          </cell>
          <cell r="DC259">
            <v>1869</v>
          </cell>
          <cell r="DD259">
            <v>1858</v>
          </cell>
          <cell r="DE259">
            <v>2483</v>
          </cell>
          <cell r="DF259">
            <v>2518</v>
          </cell>
          <cell r="DG259">
            <v>2286</v>
          </cell>
          <cell r="DH259">
            <v>1940</v>
          </cell>
          <cell r="DI259">
            <v>2399</v>
          </cell>
        </row>
        <row r="260">
          <cell r="CY260">
            <v>1075</v>
          </cell>
          <cell r="CZ260">
            <v>1070</v>
          </cell>
          <cell r="DA260">
            <v>1044</v>
          </cell>
          <cell r="DB260">
            <v>1075</v>
          </cell>
          <cell r="DC260">
            <v>491</v>
          </cell>
          <cell r="DD260">
            <v>495</v>
          </cell>
          <cell r="DE260">
            <v>515</v>
          </cell>
          <cell r="DF260">
            <v>593</v>
          </cell>
          <cell r="DG260">
            <v>352</v>
          </cell>
          <cell r="DH260">
            <v>816</v>
          </cell>
          <cell r="DI260">
            <v>290</v>
          </cell>
        </row>
        <row r="261">
          <cell r="CY261">
            <v>22269</v>
          </cell>
          <cell r="CZ261">
            <v>23329</v>
          </cell>
          <cell r="DA261">
            <v>23459</v>
          </cell>
          <cell r="DB261">
            <v>22269</v>
          </cell>
          <cell r="DC261">
            <v>23987</v>
          </cell>
          <cell r="DD261">
            <v>24622</v>
          </cell>
          <cell r="DE261">
            <v>26145</v>
          </cell>
          <cell r="DF261">
            <v>26764</v>
          </cell>
          <cell r="DG261">
            <v>26425</v>
          </cell>
          <cell r="DH261">
            <v>28412</v>
          </cell>
          <cell r="DI261">
            <v>28935</v>
          </cell>
        </row>
        <row r="264">
          <cell r="CY264">
            <v>93</v>
          </cell>
          <cell r="CZ264">
            <v>669</v>
          </cell>
          <cell r="DA264">
            <v>612</v>
          </cell>
          <cell r="DB264">
            <v>93</v>
          </cell>
          <cell r="DC264">
            <v>871</v>
          </cell>
          <cell r="DD264">
            <v>728</v>
          </cell>
          <cell r="DE264">
            <v>2044</v>
          </cell>
          <cell r="DF264">
            <v>949</v>
          </cell>
          <cell r="DG264">
            <v>165</v>
          </cell>
          <cell r="DH264">
            <v>870</v>
          </cell>
          <cell r="DI264">
            <v>462</v>
          </cell>
        </row>
        <row r="265">
          <cell r="CY265">
            <v>3459</v>
          </cell>
          <cell r="CZ265">
            <v>3863</v>
          </cell>
          <cell r="DA265">
            <v>3340</v>
          </cell>
          <cell r="DB265">
            <v>3459</v>
          </cell>
          <cell r="DC265">
            <v>3288</v>
          </cell>
          <cell r="DD265">
            <v>3562</v>
          </cell>
          <cell r="DE265">
            <v>3815</v>
          </cell>
          <cell r="DF265">
            <v>3756</v>
          </cell>
          <cell r="DG265">
            <v>3907</v>
          </cell>
          <cell r="DH265">
            <v>3870</v>
          </cell>
          <cell r="DI265">
            <v>3948</v>
          </cell>
        </row>
        <row r="266">
          <cell r="CY266">
            <v>1426</v>
          </cell>
          <cell r="CZ266">
            <v>909</v>
          </cell>
          <cell r="DA266">
            <v>1443</v>
          </cell>
          <cell r="DB266">
            <v>1426</v>
          </cell>
          <cell r="DC266">
            <v>1605</v>
          </cell>
          <cell r="DD266">
            <v>1648</v>
          </cell>
          <cell r="DE266">
            <v>1673</v>
          </cell>
          <cell r="DF266">
            <v>1711</v>
          </cell>
          <cell r="DG266">
            <v>1848</v>
          </cell>
          <cell r="DH266">
            <v>1768</v>
          </cell>
          <cell r="DI266">
            <v>1759</v>
          </cell>
        </row>
        <row r="267">
          <cell r="CY267">
            <v>1716</v>
          </cell>
          <cell r="CZ267">
            <v>1432</v>
          </cell>
          <cell r="DA267">
            <v>1540</v>
          </cell>
          <cell r="DB267">
            <v>1716</v>
          </cell>
          <cell r="DC267">
            <v>1582</v>
          </cell>
          <cell r="DD267">
            <v>1605</v>
          </cell>
          <cell r="DE267">
            <v>1530</v>
          </cell>
          <cell r="DF267">
            <v>1372</v>
          </cell>
          <cell r="DG267">
            <v>922</v>
          </cell>
          <cell r="DH267">
            <v>695</v>
          </cell>
          <cell r="DI267">
            <v>802</v>
          </cell>
        </row>
        <row r="268">
          <cell r="CY268">
            <v>447</v>
          </cell>
          <cell r="CZ268">
            <v>631</v>
          </cell>
          <cell r="DA268">
            <v>536</v>
          </cell>
          <cell r="DB268">
            <v>447</v>
          </cell>
          <cell r="DC268">
            <v>454</v>
          </cell>
          <cell r="DD268">
            <v>520</v>
          </cell>
          <cell r="DE268">
            <v>677</v>
          </cell>
          <cell r="DF268">
            <v>742</v>
          </cell>
          <cell r="DG268">
            <v>921</v>
          </cell>
          <cell r="DH268">
            <v>1081</v>
          </cell>
          <cell r="DI268">
            <v>1275</v>
          </cell>
        </row>
        <row r="269">
          <cell r="CY269">
            <v>141</v>
          </cell>
          <cell r="CZ269">
            <v>0</v>
          </cell>
          <cell r="DA269">
            <v>169</v>
          </cell>
          <cell r="DB269">
            <v>141</v>
          </cell>
          <cell r="DC269">
            <v>168</v>
          </cell>
          <cell r="DD269">
            <v>0</v>
          </cell>
          <cell r="DE269">
            <v>197</v>
          </cell>
          <cell r="DF269">
            <v>0</v>
          </cell>
          <cell r="DG269">
            <v>194</v>
          </cell>
          <cell r="DH269">
            <v>0</v>
          </cell>
          <cell r="DI269">
            <v>230</v>
          </cell>
        </row>
        <row r="270">
          <cell r="CY270">
            <v>212</v>
          </cell>
          <cell r="CZ270">
            <v>347</v>
          </cell>
          <cell r="DA270">
            <v>400</v>
          </cell>
          <cell r="DB270">
            <v>212</v>
          </cell>
          <cell r="DC270">
            <v>448</v>
          </cell>
          <cell r="DD270">
            <v>638</v>
          </cell>
          <cell r="DE270">
            <v>541</v>
          </cell>
          <cell r="DF270">
            <v>516</v>
          </cell>
          <cell r="DG270">
            <v>456</v>
          </cell>
          <cell r="DH270">
            <v>800</v>
          </cell>
          <cell r="DI270">
            <v>691</v>
          </cell>
        </row>
        <row r="271">
          <cell r="CY271">
            <v>6</v>
          </cell>
          <cell r="CZ271">
            <v>29</v>
          </cell>
          <cell r="DA271">
            <v>232</v>
          </cell>
          <cell r="DB271">
            <v>6</v>
          </cell>
          <cell r="DC271">
            <v>340</v>
          </cell>
          <cell r="DD271">
            <v>387</v>
          </cell>
          <cell r="DE271">
            <v>129</v>
          </cell>
          <cell r="DF271">
            <v>99</v>
          </cell>
          <cell r="DG271">
            <v>418</v>
          </cell>
          <cell r="DH271">
            <v>442</v>
          </cell>
          <cell r="DI271">
            <v>469</v>
          </cell>
        </row>
        <row r="272">
          <cell r="CY272">
            <v>7500</v>
          </cell>
          <cell r="CZ272">
            <v>7880</v>
          </cell>
          <cell r="DA272">
            <v>8272</v>
          </cell>
          <cell r="DB272">
            <v>7500</v>
          </cell>
          <cell r="DC272">
            <v>8756</v>
          </cell>
          <cell r="DD272">
            <v>9088</v>
          </cell>
          <cell r="DE272">
            <v>10606</v>
          </cell>
          <cell r="DF272">
            <v>9145</v>
          </cell>
          <cell r="DG272">
            <v>8831</v>
          </cell>
          <cell r="DH272">
            <v>9526</v>
          </cell>
          <cell r="DI272">
            <v>9636</v>
          </cell>
        </row>
        <row r="274">
          <cell r="CY274">
            <v>3697</v>
          </cell>
          <cell r="CZ274">
            <v>3854</v>
          </cell>
          <cell r="DA274">
            <v>3473</v>
          </cell>
          <cell r="DB274">
            <v>3697</v>
          </cell>
          <cell r="DC274">
            <v>2752</v>
          </cell>
          <cell r="DD274">
            <v>2714</v>
          </cell>
          <cell r="DE274">
            <v>2771</v>
          </cell>
          <cell r="DF274">
            <v>4042</v>
          </cell>
          <cell r="DG274">
            <v>3724</v>
          </cell>
          <cell r="DH274">
            <v>3709</v>
          </cell>
          <cell r="DI274">
            <v>3700</v>
          </cell>
        </row>
        <row r="275">
          <cell r="CY275">
            <v>2986</v>
          </cell>
          <cell r="CZ275">
            <v>3217</v>
          </cell>
          <cell r="DA275">
            <v>3271</v>
          </cell>
          <cell r="DB275">
            <v>2986</v>
          </cell>
          <cell r="DC275">
            <v>3161</v>
          </cell>
          <cell r="DD275">
            <v>3011</v>
          </cell>
          <cell r="DE275">
            <v>3247</v>
          </cell>
          <cell r="DF275">
            <v>3510</v>
          </cell>
          <cell r="DG275">
            <v>5879</v>
          </cell>
          <cell r="DH275">
            <v>5873</v>
          </cell>
          <cell r="DI275">
            <v>5906</v>
          </cell>
        </row>
        <row r="276">
          <cell r="CY276">
            <v>619</v>
          </cell>
          <cell r="CZ276">
            <v>631</v>
          </cell>
          <cell r="DA276">
            <v>738</v>
          </cell>
          <cell r="DB276">
            <v>619</v>
          </cell>
          <cell r="DC276">
            <v>886</v>
          </cell>
          <cell r="DD276">
            <v>847</v>
          </cell>
          <cell r="DE276">
            <v>888</v>
          </cell>
          <cell r="DF276">
            <v>1039</v>
          </cell>
          <cell r="DG276">
            <v>1132</v>
          </cell>
          <cell r="DH276">
            <v>1812</v>
          </cell>
          <cell r="DI276">
            <v>1862</v>
          </cell>
        </row>
        <row r="277">
          <cell r="CY277">
            <v>14802</v>
          </cell>
          <cell r="CZ277">
            <v>15582</v>
          </cell>
          <cell r="DA277">
            <v>15754</v>
          </cell>
          <cell r="DB277">
            <v>14802</v>
          </cell>
          <cell r="DC277">
            <v>15555</v>
          </cell>
          <cell r="DD277">
            <v>15660</v>
          </cell>
          <cell r="DE277">
            <v>17512</v>
          </cell>
          <cell r="DF277">
            <v>17736</v>
          </cell>
          <cell r="DG277">
            <v>19566</v>
          </cell>
          <cell r="DH277">
            <v>20920</v>
          </cell>
          <cell r="DI277">
            <v>21104</v>
          </cell>
        </row>
        <row r="279">
          <cell r="CY279">
            <v>1231</v>
          </cell>
          <cell r="CZ279">
            <v>1308</v>
          </cell>
          <cell r="DA279">
            <v>1704</v>
          </cell>
          <cell r="DB279">
            <v>1231</v>
          </cell>
          <cell r="DC279">
            <v>1859</v>
          </cell>
          <cell r="DD279">
            <v>2063</v>
          </cell>
          <cell r="DE279">
            <v>2393</v>
          </cell>
          <cell r="DF279">
            <v>2441</v>
          </cell>
          <cell r="DG279">
            <v>2465</v>
          </cell>
          <cell r="DH279">
            <v>2518</v>
          </cell>
          <cell r="DI279">
            <v>2655</v>
          </cell>
        </row>
        <row r="280">
          <cell r="CY280">
            <v>-3277</v>
          </cell>
          <cell r="CZ280">
            <v>-3554</v>
          </cell>
          <cell r="DA280">
            <v>-3965</v>
          </cell>
          <cell r="DB280">
            <v>-3277</v>
          </cell>
          <cell r="DC280">
            <v>-4637</v>
          </cell>
          <cell r="DD280">
            <v>-5193</v>
          </cell>
          <cell r="DE280">
            <v>-6613</v>
          </cell>
          <cell r="DF280">
            <v>-7031</v>
          </cell>
          <cell r="DG280">
            <v>-7352</v>
          </cell>
          <cell r="DH280">
            <v>-7789</v>
          </cell>
          <cell r="DI280">
            <v>-8154</v>
          </cell>
        </row>
        <row r="281">
          <cell r="CY281">
            <v>9937</v>
          </cell>
          <cell r="CZ281">
            <v>10518</v>
          </cell>
          <cell r="DA281">
            <v>10632</v>
          </cell>
          <cell r="DB281">
            <v>9937</v>
          </cell>
          <cell r="DC281">
            <v>11808</v>
          </cell>
          <cell r="DD281">
            <v>12648</v>
          </cell>
          <cell r="DE281">
            <v>13330</v>
          </cell>
          <cell r="DF281">
            <v>14100</v>
          </cell>
          <cell r="DG281">
            <v>14593</v>
          </cell>
          <cell r="DH281">
            <v>15550</v>
          </cell>
          <cell r="DI281">
            <v>15951</v>
          </cell>
        </row>
        <row r="282">
          <cell r="CY282">
            <v>-424</v>
          </cell>
          <cell r="CZ282">
            <v>-525</v>
          </cell>
          <cell r="DA282">
            <v>-666</v>
          </cell>
          <cell r="DB282">
            <v>-424</v>
          </cell>
          <cell r="DC282">
            <v>-598</v>
          </cell>
          <cell r="DD282">
            <v>-556</v>
          </cell>
          <cell r="DE282">
            <v>-477</v>
          </cell>
          <cell r="DF282">
            <v>-482</v>
          </cell>
          <cell r="DG282">
            <v>-2847</v>
          </cell>
          <cell r="DH282">
            <v>-2787</v>
          </cell>
          <cell r="DI282">
            <v>-2621</v>
          </cell>
        </row>
        <row r="283">
          <cell r="CY283">
            <v>7467</v>
          </cell>
          <cell r="CZ283">
            <v>7747</v>
          </cell>
          <cell r="DA283">
            <v>7705</v>
          </cell>
          <cell r="DB283">
            <v>7467</v>
          </cell>
          <cell r="DC283">
            <v>8432</v>
          </cell>
          <cell r="DD283">
            <v>8962</v>
          </cell>
          <cell r="DE283">
            <v>8633</v>
          </cell>
          <cell r="DF283">
            <v>9028</v>
          </cell>
          <cell r="DG283">
            <v>6859</v>
          </cell>
          <cell r="DH283">
            <v>7492</v>
          </cell>
          <cell r="DI283">
            <v>7831</v>
          </cell>
        </row>
        <row r="285">
          <cell r="CY285">
            <v>22269</v>
          </cell>
          <cell r="CZ285">
            <v>23329</v>
          </cell>
          <cell r="DA285">
            <v>23459</v>
          </cell>
          <cell r="DB285">
            <v>22269</v>
          </cell>
          <cell r="DC285">
            <v>23987</v>
          </cell>
          <cell r="DD285">
            <v>24622</v>
          </cell>
          <cell r="DE285">
            <v>26145</v>
          </cell>
          <cell r="DF285">
            <v>26764</v>
          </cell>
          <cell r="DG285">
            <v>26425</v>
          </cell>
          <cell r="DH285">
            <v>28412</v>
          </cell>
          <cell r="DI285">
            <v>28935</v>
          </cell>
        </row>
        <row r="286">
          <cell r="CZ286">
            <v>0</v>
          </cell>
          <cell r="DA286">
            <v>0</v>
          </cell>
          <cell r="DB286">
            <v>0</v>
          </cell>
          <cell r="DC286">
            <v>0</v>
          </cell>
          <cell r="DD286">
            <v>0</v>
          </cell>
          <cell r="DE286">
            <v>0</v>
          </cell>
          <cell r="DF286">
            <v>0</v>
          </cell>
          <cell r="DG286">
            <v>0</v>
          </cell>
          <cell r="DH286">
            <v>0</v>
          </cell>
          <cell r="DI286">
            <v>0</v>
          </cell>
        </row>
        <row r="287">
          <cell r="CY287">
            <v>99</v>
          </cell>
          <cell r="CZ287">
            <v>698</v>
          </cell>
          <cell r="DA287">
            <v>844</v>
          </cell>
          <cell r="DB287">
            <v>99</v>
          </cell>
          <cell r="DC287">
            <v>1211</v>
          </cell>
          <cell r="DD287">
            <v>1115</v>
          </cell>
          <cell r="DE287">
            <v>2173</v>
          </cell>
          <cell r="DF287">
            <v>1048</v>
          </cell>
          <cell r="DG287">
            <v>583</v>
          </cell>
          <cell r="DH287">
            <v>1312</v>
          </cell>
          <cell r="DI287">
            <v>931</v>
          </cell>
        </row>
        <row r="288">
          <cell r="CY288">
            <v>3697</v>
          </cell>
          <cell r="CZ288">
            <v>3854</v>
          </cell>
          <cell r="DA288">
            <v>3473</v>
          </cell>
          <cell r="DB288">
            <v>3697</v>
          </cell>
          <cell r="DC288">
            <v>2752</v>
          </cell>
          <cell r="DD288">
            <v>2714</v>
          </cell>
          <cell r="DE288">
            <v>2771</v>
          </cell>
          <cell r="DF288">
            <v>4042</v>
          </cell>
          <cell r="DG288">
            <v>3724</v>
          </cell>
          <cell r="DH288">
            <v>3709</v>
          </cell>
          <cell r="DI288">
            <v>3700</v>
          </cell>
        </row>
        <row r="289">
          <cell r="CY289">
            <v>3796</v>
          </cell>
          <cell r="CZ289">
            <v>4552</v>
          </cell>
          <cell r="DA289">
            <v>4317</v>
          </cell>
          <cell r="DB289">
            <v>3796</v>
          </cell>
          <cell r="DC289">
            <v>3963</v>
          </cell>
          <cell r="DD289">
            <v>3829</v>
          </cell>
          <cell r="DE289">
            <v>4944</v>
          </cell>
          <cell r="DF289">
            <v>5090</v>
          </cell>
          <cell r="DG289">
            <v>4307</v>
          </cell>
          <cell r="DH289">
            <v>5021</v>
          </cell>
          <cell r="DI289">
            <v>4631</v>
          </cell>
        </row>
        <row r="290">
          <cell r="CY290">
            <v>3526</v>
          </cell>
          <cell r="CZ290">
            <v>4206</v>
          </cell>
          <cell r="DA290">
            <v>3853</v>
          </cell>
          <cell r="DB290">
            <v>3526</v>
          </cell>
          <cell r="DC290">
            <v>3012</v>
          </cell>
          <cell r="DD290">
            <v>3181</v>
          </cell>
          <cell r="DE290">
            <v>4489</v>
          </cell>
          <cell r="DF290">
            <v>4729</v>
          </cell>
          <cell r="DG290">
            <v>3988</v>
          </cell>
          <cell r="DH290">
            <v>4684</v>
          </cell>
          <cell r="DI290">
            <v>4252</v>
          </cell>
        </row>
        <row r="291">
          <cell r="CY291">
            <v>0.32074956790684983</v>
          </cell>
          <cell r="CZ291">
            <v>0.35187818957583872</v>
          </cell>
          <cell r="DA291">
            <v>0.33336217338639901</v>
          </cell>
          <cell r="DB291">
            <v>0.32074956790684983</v>
          </cell>
          <cell r="DC291">
            <v>0.26319468717231737</v>
          </cell>
          <cell r="DD291">
            <v>0.26196162398089434</v>
          </cell>
          <cell r="DE291">
            <v>0.342097241274196</v>
          </cell>
          <cell r="DF291">
            <v>0.34375227157083665</v>
          </cell>
          <cell r="DG291">
            <v>0.3676592606250576</v>
          </cell>
          <cell r="DH291">
            <v>0.38469119579500655</v>
          </cell>
          <cell r="DI291">
            <v>0.35189936274104111</v>
          </cell>
        </row>
        <row r="292">
          <cell r="CY292">
            <v>6512</v>
          </cell>
          <cell r="CZ292">
            <v>7423</v>
          </cell>
          <cell r="DA292">
            <v>7124</v>
          </cell>
          <cell r="DB292">
            <v>6512</v>
          </cell>
          <cell r="DC292">
            <v>6173</v>
          </cell>
          <cell r="DD292">
            <v>6192</v>
          </cell>
          <cell r="DE292">
            <v>7736</v>
          </cell>
          <cell r="DF292">
            <v>8239</v>
          </cell>
          <cell r="DG292">
            <v>9867</v>
          </cell>
          <cell r="DH292">
            <v>10557</v>
          </cell>
          <cell r="DI292">
            <v>10158</v>
          </cell>
        </row>
        <row r="293">
          <cell r="CY293">
            <v>0.59237696716092059</v>
          </cell>
          <cell r="CZ293">
            <v>0.62101564460804815</v>
          </cell>
          <cell r="DA293">
            <v>0.61636961412008995</v>
          </cell>
          <cell r="DB293">
            <v>0.59237696716092059</v>
          </cell>
          <cell r="DC293">
            <v>0.53940929744844457</v>
          </cell>
          <cell r="DD293">
            <v>0.50992341266573338</v>
          </cell>
          <cell r="DE293">
            <v>0.58954427678707511</v>
          </cell>
          <cell r="DF293">
            <v>0.59889510794504619</v>
          </cell>
          <cell r="DG293">
            <v>0.90965243846224764</v>
          </cell>
          <cell r="DH293">
            <v>0.86703350854139294</v>
          </cell>
          <cell r="DI293">
            <v>0.84068526028304225</v>
          </cell>
        </row>
        <row r="295">
          <cell r="CY295">
            <v>36.58518426603797</v>
          </cell>
          <cell r="CZ295">
            <v>39.967903453588391</v>
          </cell>
          <cell r="DA295">
            <v>33.893442622950822</v>
          </cell>
          <cell r="DB295">
            <v>35.13346043851287</v>
          </cell>
          <cell r="DC295">
            <v>28.201526379825243</v>
          </cell>
          <cell r="DD295">
            <v>30.562735903008122</v>
          </cell>
          <cell r="DE295">
            <v>28.728404981920452</v>
          </cell>
          <cell r="DF295">
            <v>29.161755740703111</v>
          </cell>
          <cell r="DG295">
            <v>30.368900077459333</v>
          </cell>
          <cell r="DH295">
            <v>38.525909237206307</v>
          </cell>
          <cell r="DI295">
            <v>34.107226985772165</v>
          </cell>
        </row>
        <row r="296">
          <cell r="CY296">
            <v>5.7728342245989301</v>
          </cell>
          <cell r="CZ296">
            <v>4.9422562141491397</v>
          </cell>
          <cell r="DA296">
            <v>5.3497850065432795</v>
          </cell>
          <cell r="DB296">
            <v>5.848983957219251</v>
          </cell>
          <cell r="DC296">
            <v>5.5635528330781012</v>
          </cell>
          <cell r="DD296">
            <v>4.7033117104813931</v>
          </cell>
          <cell r="DE296">
            <v>4.9619443556124079</v>
          </cell>
          <cell r="DF296">
            <v>4.9546092653252218</v>
          </cell>
          <cell r="DG296">
            <v>5.2470477090222012</v>
          </cell>
          <cell r="DH296">
            <v>4.191277520684336</v>
          </cell>
          <cell r="DI296">
            <v>4.8634956374894456</v>
          </cell>
        </row>
        <row r="297">
          <cell r="CY297">
            <v>0.24664970840054598</v>
          </cell>
          <cell r="CZ297">
            <v>0.27888689177044551</v>
          </cell>
          <cell r="DA297">
            <v>0.24638547358834245</v>
          </cell>
          <cell r="DB297">
            <v>0.23686248808388941</v>
          </cell>
          <cell r="DC297">
            <v>0.22279062050658113</v>
          </cell>
          <cell r="DD297">
            <v>0.25240192153722979</v>
          </cell>
          <cell r="DE297">
            <v>0.23684210526315788</v>
          </cell>
          <cell r="DF297">
            <v>0.2438528754318228</v>
          </cell>
          <cell r="DG297">
            <v>0.23809062742060419</v>
          </cell>
          <cell r="DH297">
            <v>0.2982780817508851</v>
          </cell>
          <cell r="DI297">
            <v>0.26213134834636764</v>
          </cell>
        </row>
        <row r="298">
          <cell r="CY298">
            <v>46.140506891951979</v>
          </cell>
          <cell r="CZ298">
            <v>53.80222841225627</v>
          </cell>
          <cell r="DA298">
            <v>42.018451216102875</v>
          </cell>
          <cell r="DB298">
            <v>45.539789350497372</v>
          </cell>
          <cell r="DC298">
            <v>40.726672171758878</v>
          </cell>
          <cell r="DD298">
            <v>46.541811846689896</v>
          </cell>
          <cell r="DE298">
            <v>44.257540603248259</v>
          </cell>
          <cell r="DF298">
            <v>42.568945976577254</v>
          </cell>
          <cell r="DG298">
            <v>42.207418077061575</v>
          </cell>
          <cell r="DH298">
            <v>46.614025695931474</v>
          </cell>
          <cell r="DI298">
            <v>41.125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cro1"/>
      <sheetName val="Macro2"/>
      <sheetName val="Macro3"/>
      <sheetName val="earnings-model"/>
      <sheetName val="Graphs"/>
      <sheetName val="AvsE"/>
      <sheetName val="qtrly-fax"/>
      <sheetName val="Peak EPS"/>
      <sheetName val="Steel Price Increases"/>
      <sheetName val="torr standalone"/>
      <sheetName val="EV data"/>
      <sheetName val="restatements"/>
      <sheetName val="Torrington"/>
      <sheetName val="Pension"/>
      <sheetName val="14.90"/>
      <sheetName val="Sheet1"/>
      <sheetName val="Comps"/>
      <sheetName val="gsr - The Timken Company"/>
      <sheetName val="Module2"/>
      <sheetName val="Sheet2"/>
      <sheetName val="preview 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tails Margins"/>
      <sheetName val="Sales PBT Causal vs Plan"/>
      <sheetName val="Sales PBT Causal vs Fcst"/>
      <sheetName val="OEM-Warranty"/>
      <sheetName val="Inter-Warranty"/>
      <sheetName val="FCST 7"/>
      <sheetName val="PLAN"/>
      <sheetName val="WHQ-Ship"/>
      <sheetName val="WHQ-Production"/>
      <sheetName val="SHIPSUM"/>
      <sheetName val="SUM2"/>
      <sheetName val="FCST 9"/>
      <sheetName val="PLAN b(w) #9"/>
      <sheetName val="Ship &amp; Prod B(W) Fcst"/>
      <sheetName val="Sales PBT Causal vs YTD 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6">
          <cell r="F6" t="str">
            <v>NOV</v>
          </cell>
          <cell r="G6" t="str">
            <v>DEC</v>
          </cell>
          <cell r="H6" t="str">
            <v>JAN</v>
          </cell>
          <cell r="I6" t="str">
            <v>FEB</v>
          </cell>
          <cell r="J6" t="str">
            <v>MAR</v>
          </cell>
          <cell r="K6" t="str">
            <v>APR</v>
          </cell>
          <cell r="L6" t="str">
            <v>MAY</v>
          </cell>
          <cell r="M6" t="str">
            <v>JUN</v>
          </cell>
          <cell r="N6" t="str">
            <v>JUL</v>
          </cell>
          <cell r="O6" t="str">
            <v>AUG</v>
          </cell>
          <cell r="P6" t="str">
            <v>SEP</v>
          </cell>
          <cell r="Q6" t="str">
            <v>OCT</v>
          </cell>
        </row>
        <row r="10">
          <cell r="F10">
            <v>0</v>
          </cell>
          <cell r="G10">
            <v>0</v>
          </cell>
          <cell r="H10">
            <v>0</v>
          </cell>
          <cell r="I10">
            <v>0</v>
          </cell>
          <cell r="J10">
            <v>0</v>
          </cell>
          <cell r="K10">
            <v>0</v>
          </cell>
          <cell r="L10">
            <v>0</v>
          </cell>
          <cell r="M10">
            <v>0</v>
          </cell>
          <cell r="N10">
            <v>0</v>
          </cell>
          <cell r="O10">
            <v>0</v>
          </cell>
          <cell r="P10">
            <v>0</v>
          </cell>
          <cell r="Q10">
            <v>0</v>
          </cell>
        </row>
        <row r="11">
          <cell r="F11">
            <v>0</v>
          </cell>
          <cell r="G11">
            <v>0</v>
          </cell>
          <cell r="H11">
            <v>0</v>
          </cell>
          <cell r="I11">
            <v>0</v>
          </cell>
          <cell r="J11">
            <v>0</v>
          </cell>
          <cell r="K11">
            <v>0</v>
          </cell>
          <cell r="L11">
            <v>0</v>
          </cell>
          <cell r="M11">
            <v>0</v>
          </cell>
          <cell r="N11">
            <v>0</v>
          </cell>
          <cell r="O11">
            <v>0</v>
          </cell>
          <cell r="P11">
            <v>0</v>
          </cell>
          <cell r="Q11">
            <v>0</v>
          </cell>
        </row>
        <row r="12">
          <cell r="F12">
            <v>0</v>
          </cell>
          <cell r="G12">
            <v>0</v>
          </cell>
          <cell r="H12">
            <v>0</v>
          </cell>
          <cell r="I12">
            <v>0</v>
          </cell>
          <cell r="J12">
            <v>0</v>
          </cell>
          <cell r="K12">
            <v>0</v>
          </cell>
          <cell r="L12">
            <v>0</v>
          </cell>
          <cell r="M12">
            <v>0</v>
          </cell>
          <cell r="N12">
            <v>0</v>
          </cell>
          <cell r="O12">
            <v>0</v>
          </cell>
          <cell r="P12">
            <v>0</v>
          </cell>
          <cell r="Q12">
            <v>0</v>
          </cell>
        </row>
        <row r="13">
          <cell r="F13">
            <v>0</v>
          </cell>
          <cell r="G13">
            <v>0</v>
          </cell>
          <cell r="H13">
            <v>0</v>
          </cell>
          <cell r="I13">
            <v>0</v>
          </cell>
          <cell r="J13">
            <v>0</v>
          </cell>
          <cell r="K13">
            <v>0</v>
          </cell>
          <cell r="L13">
            <v>0</v>
          </cell>
          <cell r="M13">
            <v>0</v>
          </cell>
          <cell r="N13">
            <v>0</v>
          </cell>
          <cell r="O13">
            <v>0</v>
          </cell>
          <cell r="P13">
            <v>0</v>
          </cell>
          <cell r="Q13">
            <v>0</v>
          </cell>
        </row>
        <row r="16">
          <cell r="F16">
            <v>24490</v>
          </cell>
          <cell r="G16">
            <v>21772</v>
          </cell>
          <cell r="H16">
            <v>24092</v>
          </cell>
          <cell r="I16">
            <v>26929</v>
          </cell>
          <cell r="J16">
            <v>29701</v>
          </cell>
          <cell r="K16">
            <v>24640</v>
          </cell>
          <cell r="L16">
            <v>26606</v>
          </cell>
          <cell r="M16">
            <v>26465</v>
          </cell>
          <cell r="N16">
            <v>14262</v>
          </cell>
          <cell r="O16">
            <v>30161</v>
          </cell>
          <cell r="P16">
            <v>25961</v>
          </cell>
          <cell r="Q16">
            <v>28404</v>
          </cell>
        </row>
        <row r="17">
          <cell r="F17">
            <v>0</v>
          </cell>
          <cell r="G17">
            <v>0</v>
          </cell>
          <cell r="H17">
            <v>54</v>
          </cell>
          <cell r="I17">
            <v>0</v>
          </cell>
          <cell r="J17">
            <v>0</v>
          </cell>
          <cell r="K17">
            <v>56</v>
          </cell>
          <cell r="L17">
            <v>27</v>
          </cell>
          <cell r="M17">
            <v>28</v>
          </cell>
          <cell r="N17">
            <v>0</v>
          </cell>
          <cell r="O17">
            <v>28</v>
          </cell>
          <cell r="P17">
            <v>28</v>
          </cell>
          <cell r="Q17">
            <v>28</v>
          </cell>
        </row>
        <row r="18">
          <cell r="F18">
            <v>282</v>
          </cell>
          <cell r="G18">
            <v>277</v>
          </cell>
          <cell r="H18">
            <v>256</v>
          </cell>
          <cell r="I18">
            <v>374</v>
          </cell>
          <cell r="J18">
            <v>74</v>
          </cell>
          <cell r="K18">
            <v>128</v>
          </cell>
          <cell r="L18">
            <v>160</v>
          </cell>
          <cell r="M18">
            <v>320</v>
          </cell>
          <cell r="N18">
            <v>185</v>
          </cell>
          <cell r="O18">
            <v>467</v>
          </cell>
          <cell r="P18">
            <v>412</v>
          </cell>
          <cell r="Q18">
            <v>597</v>
          </cell>
        </row>
        <row r="19">
          <cell r="F19">
            <v>0</v>
          </cell>
          <cell r="G19">
            <v>0</v>
          </cell>
          <cell r="H19">
            <v>0</v>
          </cell>
          <cell r="I19">
            <v>0</v>
          </cell>
          <cell r="J19">
            <v>0</v>
          </cell>
          <cell r="K19">
            <v>0</v>
          </cell>
          <cell r="L19">
            <v>0</v>
          </cell>
          <cell r="M19">
            <v>0</v>
          </cell>
          <cell r="N19">
            <v>0</v>
          </cell>
          <cell r="O19">
            <v>0</v>
          </cell>
          <cell r="P19">
            <v>0</v>
          </cell>
          <cell r="Q19">
            <v>0</v>
          </cell>
        </row>
        <row r="20">
          <cell r="F20">
            <v>0</v>
          </cell>
          <cell r="G20">
            <v>0</v>
          </cell>
          <cell r="H20">
            <v>0</v>
          </cell>
          <cell r="I20">
            <v>0</v>
          </cell>
          <cell r="J20">
            <v>6</v>
          </cell>
          <cell r="K20">
            <v>22</v>
          </cell>
          <cell r="L20">
            <v>0</v>
          </cell>
          <cell r="M20">
            <v>40</v>
          </cell>
          <cell r="N20">
            <v>0</v>
          </cell>
          <cell r="O20">
            <v>0</v>
          </cell>
          <cell r="P20">
            <v>0</v>
          </cell>
          <cell r="Q20">
            <v>0</v>
          </cell>
        </row>
        <row r="21">
          <cell r="F21">
            <v>2630</v>
          </cell>
          <cell r="G21">
            <v>1789</v>
          </cell>
          <cell r="H21">
            <v>2224</v>
          </cell>
          <cell r="I21">
            <v>2438</v>
          </cell>
          <cell r="J21">
            <v>2728</v>
          </cell>
          <cell r="K21">
            <v>1980</v>
          </cell>
          <cell r="L21">
            <v>2753</v>
          </cell>
          <cell r="M21">
            <v>1414</v>
          </cell>
          <cell r="N21">
            <v>953</v>
          </cell>
          <cell r="O21">
            <v>1769</v>
          </cell>
          <cell r="P21">
            <v>1799</v>
          </cell>
          <cell r="Q21">
            <v>1991</v>
          </cell>
        </row>
        <row r="22">
          <cell r="F22">
            <v>27402</v>
          </cell>
          <cell r="G22">
            <v>23838</v>
          </cell>
          <cell r="H22">
            <v>26626</v>
          </cell>
          <cell r="I22">
            <v>29741</v>
          </cell>
          <cell r="J22">
            <v>32509</v>
          </cell>
          <cell r="K22">
            <v>26826</v>
          </cell>
          <cell r="L22">
            <v>29546</v>
          </cell>
          <cell r="M22">
            <v>28267</v>
          </cell>
          <cell r="N22">
            <v>15400</v>
          </cell>
          <cell r="O22">
            <v>32425</v>
          </cell>
          <cell r="P22">
            <v>28200</v>
          </cell>
          <cell r="Q22">
            <v>31020</v>
          </cell>
        </row>
        <row r="24">
          <cell r="F24">
            <v>27402</v>
          </cell>
          <cell r="G24">
            <v>23838</v>
          </cell>
          <cell r="H24">
            <v>26626</v>
          </cell>
          <cell r="I24">
            <v>29741</v>
          </cell>
          <cell r="J24">
            <v>32509</v>
          </cell>
          <cell r="K24">
            <v>26826</v>
          </cell>
          <cell r="L24">
            <v>29546</v>
          </cell>
          <cell r="M24">
            <v>28267</v>
          </cell>
          <cell r="N24">
            <v>15400</v>
          </cell>
          <cell r="O24">
            <v>32425</v>
          </cell>
          <cell r="P24">
            <v>28200</v>
          </cell>
          <cell r="Q24">
            <v>31020</v>
          </cell>
        </row>
        <row r="26">
          <cell r="F26">
            <v>0</v>
          </cell>
          <cell r="G26">
            <v>300</v>
          </cell>
          <cell r="H26">
            <v>350</v>
          </cell>
          <cell r="I26">
            <v>700</v>
          </cell>
          <cell r="J26">
            <v>2550</v>
          </cell>
          <cell r="K26">
            <v>2200</v>
          </cell>
          <cell r="L26">
            <v>2250</v>
          </cell>
          <cell r="M26">
            <v>2450</v>
          </cell>
          <cell r="N26">
            <v>2490</v>
          </cell>
          <cell r="O26">
            <v>2600</v>
          </cell>
          <cell r="P26">
            <v>2400</v>
          </cell>
          <cell r="Q26">
            <v>1400</v>
          </cell>
        </row>
        <row r="30">
          <cell r="F30">
            <v>1873</v>
          </cell>
          <cell r="G30">
            <v>2295</v>
          </cell>
          <cell r="H30">
            <v>2572</v>
          </cell>
          <cell r="I30">
            <v>2384</v>
          </cell>
          <cell r="J30">
            <v>2665</v>
          </cell>
          <cell r="K30">
            <v>2207</v>
          </cell>
          <cell r="L30">
            <v>2725</v>
          </cell>
          <cell r="M30">
            <v>2820</v>
          </cell>
          <cell r="N30">
            <v>1157</v>
          </cell>
          <cell r="O30">
            <v>2246</v>
          </cell>
          <cell r="P30">
            <v>2311</v>
          </cell>
          <cell r="Q30">
            <v>2614</v>
          </cell>
        </row>
        <row r="31">
          <cell r="F31">
            <v>4</v>
          </cell>
          <cell r="G31">
            <v>5</v>
          </cell>
          <cell r="H31">
            <v>0</v>
          </cell>
          <cell r="I31">
            <v>12</v>
          </cell>
          <cell r="J31">
            <v>3</v>
          </cell>
          <cell r="K31">
            <v>5</v>
          </cell>
          <cell r="L31">
            <v>1</v>
          </cell>
          <cell r="M31">
            <v>7</v>
          </cell>
          <cell r="N31">
            <v>5</v>
          </cell>
          <cell r="O31">
            <v>5</v>
          </cell>
          <cell r="P31">
            <v>5</v>
          </cell>
          <cell r="Q31">
            <v>5</v>
          </cell>
        </row>
        <row r="32">
          <cell r="F32">
            <v>0</v>
          </cell>
          <cell r="G32">
            <v>0</v>
          </cell>
          <cell r="H32">
            <v>0</v>
          </cell>
          <cell r="I32">
            <v>0</v>
          </cell>
          <cell r="J32">
            <v>0</v>
          </cell>
          <cell r="K32">
            <v>0</v>
          </cell>
          <cell r="L32">
            <v>0</v>
          </cell>
          <cell r="M32">
            <v>0</v>
          </cell>
          <cell r="N32">
            <v>0</v>
          </cell>
          <cell r="O32">
            <v>0</v>
          </cell>
          <cell r="P32">
            <v>0</v>
          </cell>
          <cell r="Q32">
            <v>0</v>
          </cell>
        </row>
        <row r="33">
          <cell r="F33">
            <v>75</v>
          </cell>
          <cell r="G33">
            <v>40</v>
          </cell>
          <cell r="H33">
            <v>50</v>
          </cell>
          <cell r="I33">
            <v>41</v>
          </cell>
          <cell r="J33">
            <v>62</v>
          </cell>
          <cell r="K33">
            <v>121</v>
          </cell>
          <cell r="L33">
            <v>125</v>
          </cell>
          <cell r="M33">
            <v>263</v>
          </cell>
          <cell r="N33">
            <v>149</v>
          </cell>
          <cell r="O33">
            <v>324</v>
          </cell>
          <cell r="P33">
            <v>206</v>
          </cell>
          <cell r="Q33">
            <v>254</v>
          </cell>
        </row>
        <row r="34">
          <cell r="F34">
            <v>6</v>
          </cell>
          <cell r="G34">
            <v>0</v>
          </cell>
          <cell r="H34">
            <v>0</v>
          </cell>
          <cell r="I34">
            <v>0</v>
          </cell>
          <cell r="J34">
            <v>0</v>
          </cell>
          <cell r="K34">
            <v>0</v>
          </cell>
          <cell r="L34">
            <v>0</v>
          </cell>
          <cell r="M34">
            <v>0</v>
          </cell>
          <cell r="N34">
            <v>0</v>
          </cell>
          <cell r="O34">
            <v>0</v>
          </cell>
          <cell r="P34">
            <v>0</v>
          </cell>
          <cell r="Q34">
            <v>0</v>
          </cell>
        </row>
        <row r="35">
          <cell r="F35">
            <v>0</v>
          </cell>
          <cell r="G35">
            <v>0</v>
          </cell>
          <cell r="H35">
            <v>0</v>
          </cell>
          <cell r="I35">
            <v>0</v>
          </cell>
          <cell r="J35">
            <v>0</v>
          </cell>
          <cell r="K35">
            <v>0</v>
          </cell>
          <cell r="L35">
            <v>0</v>
          </cell>
          <cell r="M35">
            <v>0</v>
          </cell>
          <cell r="N35">
            <v>0</v>
          </cell>
          <cell r="O35">
            <v>0</v>
          </cell>
          <cell r="P35">
            <v>0</v>
          </cell>
          <cell r="Q35">
            <v>0</v>
          </cell>
        </row>
        <row r="36">
          <cell r="F36">
            <v>23</v>
          </cell>
          <cell r="G36">
            <v>26</v>
          </cell>
          <cell r="H36">
            <v>28</v>
          </cell>
          <cell r="I36">
            <v>19</v>
          </cell>
          <cell r="J36">
            <v>5</v>
          </cell>
          <cell r="K36">
            <v>31</v>
          </cell>
          <cell r="L36">
            <v>44</v>
          </cell>
          <cell r="M36">
            <v>74</v>
          </cell>
          <cell r="N36">
            <v>50</v>
          </cell>
          <cell r="O36">
            <v>60</v>
          </cell>
          <cell r="P36">
            <v>60</v>
          </cell>
          <cell r="Q36">
            <v>60</v>
          </cell>
        </row>
        <row r="37">
          <cell r="F37">
            <v>0</v>
          </cell>
          <cell r="G37">
            <v>0</v>
          </cell>
          <cell r="H37">
            <v>0</v>
          </cell>
          <cell r="I37">
            <v>0</v>
          </cell>
          <cell r="J37">
            <v>0</v>
          </cell>
          <cell r="K37">
            <v>0</v>
          </cell>
          <cell r="L37">
            <v>0</v>
          </cell>
          <cell r="M37">
            <v>0</v>
          </cell>
          <cell r="N37">
            <v>0</v>
          </cell>
          <cell r="O37">
            <v>0</v>
          </cell>
          <cell r="P37">
            <v>0</v>
          </cell>
          <cell r="Q37">
            <v>0</v>
          </cell>
        </row>
        <row r="38">
          <cell r="F38">
            <v>333</v>
          </cell>
          <cell r="G38">
            <v>272</v>
          </cell>
          <cell r="H38">
            <v>357</v>
          </cell>
          <cell r="I38">
            <v>412</v>
          </cell>
          <cell r="J38">
            <v>405</v>
          </cell>
          <cell r="K38">
            <v>318</v>
          </cell>
          <cell r="L38">
            <v>389</v>
          </cell>
          <cell r="M38">
            <v>616</v>
          </cell>
          <cell r="N38">
            <v>435</v>
          </cell>
          <cell r="O38">
            <v>447</v>
          </cell>
          <cell r="P38">
            <v>403</v>
          </cell>
          <cell r="Q38">
            <v>422</v>
          </cell>
        </row>
        <row r="39">
          <cell r="F39">
            <v>0</v>
          </cell>
          <cell r="G39">
            <v>24</v>
          </cell>
          <cell r="H39">
            <v>0</v>
          </cell>
          <cell r="I39">
            <v>0</v>
          </cell>
          <cell r="J39">
            <v>0</v>
          </cell>
          <cell r="K39">
            <v>0</v>
          </cell>
          <cell r="L39">
            <v>48</v>
          </cell>
          <cell r="M39">
            <v>72</v>
          </cell>
          <cell r="N39">
            <v>56</v>
          </cell>
          <cell r="O39">
            <v>52</v>
          </cell>
          <cell r="P39">
            <v>0</v>
          </cell>
          <cell r="Q39">
            <v>0</v>
          </cell>
        </row>
        <row r="40">
          <cell r="F40">
            <v>0</v>
          </cell>
          <cell r="G40">
            <v>0</v>
          </cell>
          <cell r="H40">
            <v>0</v>
          </cell>
          <cell r="I40">
            <v>0</v>
          </cell>
          <cell r="J40">
            <v>0</v>
          </cell>
          <cell r="K40">
            <v>0</v>
          </cell>
          <cell r="L40">
            <v>0</v>
          </cell>
          <cell r="M40">
            <v>0</v>
          </cell>
          <cell r="N40">
            <v>0</v>
          </cell>
          <cell r="O40">
            <v>0</v>
          </cell>
          <cell r="P40">
            <v>0</v>
          </cell>
          <cell r="Q40">
            <v>0</v>
          </cell>
        </row>
        <row r="41">
          <cell r="F41">
            <v>2314</v>
          </cell>
          <cell r="G41">
            <v>2662</v>
          </cell>
          <cell r="H41">
            <v>3007</v>
          </cell>
          <cell r="I41">
            <v>2868</v>
          </cell>
          <cell r="J41">
            <v>3140</v>
          </cell>
          <cell r="K41">
            <v>2682</v>
          </cell>
          <cell r="L41">
            <v>3332</v>
          </cell>
          <cell r="M41">
            <v>3852</v>
          </cell>
          <cell r="N41">
            <v>1852</v>
          </cell>
          <cell r="O41">
            <v>3134</v>
          </cell>
          <cell r="P41">
            <v>2985</v>
          </cell>
          <cell r="Q41">
            <v>3355</v>
          </cell>
        </row>
        <row r="43">
          <cell r="F43">
            <v>1840</v>
          </cell>
          <cell r="G43">
            <v>1192</v>
          </cell>
          <cell r="H43">
            <v>1232</v>
          </cell>
          <cell r="I43">
            <v>2065</v>
          </cell>
          <cell r="J43">
            <v>2226</v>
          </cell>
          <cell r="K43">
            <v>1350</v>
          </cell>
          <cell r="L43">
            <v>1750</v>
          </cell>
          <cell r="M43">
            <v>993</v>
          </cell>
          <cell r="N43">
            <v>983</v>
          </cell>
          <cell r="O43">
            <v>1795</v>
          </cell>
          <cell r="P43">
            <v>1870</v>
          </cell>
          <cell r="Q43">
            <v>2134</v>
          </cell>
        </row>
        <row r="44">
          <cell r="F44">
            <v>7</v>
          </cell>
          <cell r="G44">
            <v>7</v>
          </cell>
          <cell r="H44">
            <v>3</v>
          </cell>
          <cell r="I44">
            <v>9</v>
          </cell>
          <cell r="J44">
            <v>6</v>
          </cell>
          <cell r="K44">
            <v>1</v>
          </cell>
          <cell r="L44">
            <v>2</v>
          </cell>
          <cell r="M44">
            <v>15</v>
          </cell>
          <cell r="N44">
            <v>2</v>
          </cell>
          <cell r="O44">
            <v>2</v>
          </cell>
          <cell r="P44">
            <v>2</v>
          </cell>
          <cell r="Q44">
            <v>2</v>
          </cell>
        </row>
        <row r="45">
          <cell r="F45">
            <v>0</v>
          </cell>
          <cell r="G45">
            <v>0</v>
          </cell>
          <cell r="H45">
            <v>0</v>
          </cell>
          <cell r="I45">
            <v>0</v>
          </cell>
          <cell r="J45">
            <v>0</v>
          </cell>
          <cell r="K45">
            <v>0</v>
          </cell>
          <cell r="L45">
            <v>0</v>
          </cell>
          <cell r="M45">
            <v>0</v>
          </cell>
          <cell r="N45">
            <v>0</v>
          </cell>
          <cell r="O45">
            <v>0</v>
          </cell>
          <cell r="P45">
            <v>0</v>
          </cell>
          <cell r="Q45">
            <v>0</v>
          </cell>
        </row>
        <row r="46">
          <cell r="F46">
            <v>20</v>
          </cell>
          <cell r="G46">
            <v>104</v>
          </cell>
          <cell r="H46">
            <v>10</v>
          </cell>
          <cell r="I46">
            <v>5</v>
          </cell>
          <cell r="J46">
            <v>98</v>
          </cell>
          <cell r="K46">
            <v>82</v>
          </cell>
          <cell r="L46">
            <v>98</v>
          </cell>
          <cell r="M46">
            <v>109</v>
          </cell>
          <cell r="N46">
            <v>52</v>
          </cell>
          <cell r="O46">
            <v>43</v>
          </cell>
          <cell r="P46">
            <v>30</v>
          </cell>
          <cell r="Q46">
            <v>41</v>
          </cell>
        </row>
        <row r="47">
          <cell r="F47">
            <v>0</v>
          </cell>
          <cell r="G47">
            <v>0</v>
          </cell>
          <cell r="H47">
            <v>0</v>
          </cell>
          <cell r="I47">
            <v>0</v>
          </cell>
          <cell r="J47">
            <v>0</v>
          </cell>
          <cell r="K47">
            <v>0</v>
          </cell>
          <cell r="L47">
            <v>0</v>
          </cell>
          <cell r="M47">
            <v>0</v>
          </cell>
          <cell r="N47">
            <v>0</v>
          </cell>
          <cell r="O47">
            <v>0</v>
          </cell>
          <cell r="P47">
            <v>0</v>
          </cell>
          <cell r="Q47">
            <v>0</v>
          </cell>
        </row>
        <row r="48">
          <cell r="F48">
            <v>0</v>
          </cell>
          <cell r="G48">
            <v>0</v>
          </cell>
          <cell r="H48">
            <v>0</v>
          </cell>
          <cell r="I48">
            <v>0</v>
          </cell>
          <cell r="J48">
            <v>0</v>
          </cell>
          <cell r="K48">
            <v>0</v>
          </cell>
          <cell r="L48">
            <v>0</v>
          </cell>
          <cell r="M48">
            <v>0</v>
          </cell>
          <cell r="N48">
            <v>0</v>
          </cell>
          <cell r="O48">
            <v>0</v>
          </cell>
          <cell r="P48">
            <v>0</v>
          </cell>
          <cell r="Q48">
            <v>0</v>
          </cell>
        </row>
        <row r="49">
          <cell r="F49">
            <v>13</v>
          </cell>
          <cell r="G49">
            <v>13</v>
          </cell>
          <cell r="H49">
            <v>4</v>
          </cell>
          <cell r="I49">
            <v>2</v>
          </cell>
          <cell r="J49">
            <v>9</v>
          </cell>
          <cell r="K49">
            <v>2</v>
          </cell>
          <cell r="L49">
            <v>1</v>
          </cell>
          <cell r="M49">
            <v>-12</v>
          </cell>
          <cell r="N49">
            <v>0</v>
          </cell>
          <cell r="O49">
            <v>0</v>
          </cell>
          <cell r="P49">
            <v>0</v>
          </cell>
          <cell r="Q49">
            <v>0</v>
          </cell>
        </row>
        <row r="50">
          <cell r="F50">
            <v>0</v>
          </cell>
          <cell r="G50">
            <v>0</v>
          </cell>
          <cell r="H50">
            <v>0</v>
          </cell>
          <cell r="I50">
            <v>0</v>
          </cell>
          <cell r="J50">
            <v>0</v>
          </cell>
          <cell r="K50">
            <v>0</v>
          </cell>
          <cell r="L50">
            <v>0</v>
          </cell>
          <cell r="M50">
            <v>0</v>
          </cell>
          <cell r="N50">
            <v>0</v>
          </cell>
          <cell r="O50">
            <v>0</v>
          </cell>
          <cell r="P50">
            <v>0</v>
          </cell>
          <cell r="Q50">
            <v>0</v>
          </cell>
        </row>
        <row r="51">
          <cell r="F51">
            <v>89</v>
          </cell>
          <cell r="G51">
            <v>67</v>
          </cell>
          <cell r="H51">
            <v>119</v>
          </cell>
          <cell r="I51">
            <v>82</v>
          </cell>
          <cell r="J51">
            <v>110</v>
          </cell>
          <cell r="K51">
            <v>80</v>
          </cell>
          <cell r="L51">
            <v>114</v>
          </cell>
          <cell r="M51">
            <v>143</v>
          </cell>
          <cell r="N51">
            <v>105</v>
          </cell>
          <cell r="O51">
            <v>103</v>
          </cell>
          <cell r="P51">
            <v>92</v>
          </cell>
          <cell r="Q51">
            <v>97</v>
          </cell>
        </row>
        <row r="52">
          <cell r="F52">
            <v>0</v>
          </cell>
          <cell r="G52">
            <v>0</v>
          </cell>
          <cell r="H52">
            <v>0</v>
          </cell>
          <cell r="I52">
            <v>0</v>
          </cell>
          <cell r="J52">
            <v>0</v>
          </cell>
          <cell r="K52">
            <v>0</v>
          </cell>
          <cell r="L52">
            <v>0</v>
          </cell>
          <cell r="M52">
            <v>0</v>
          </cell>
          <cell r="N52">
            <v>19</v>
          </cell>
          <cell r="O52">
            <v>18</v>
          </cell>
          <cell r="P52">
            <v>0</v>
          </cell>
          <cell r="Q52">
            <v>0</v>
          </cell>
        </row>
        <row r="53">
          <cell r="F53">
            <v>0</v>
          </cell>
          <cell r="G53">
            <v>0</v>
          </cell>
          <cell r="H53">
            <v>0</v>
          </cell>
          <cell r="I53">
            <v>0</v>
          </cell>
          <cell r="J53">
            <v>0</v>
          </cell>
          <cell r="K53">
            <v>0</v>
          </cell>
          <cell r="L53">
            <v>0</v>
          </cell>
          <cell r="M53">
            <v>0</v>
          </cell>
          <cell r="N53">
            <v>0</v>
          </cell>
          <cell r="O53">
            <v>0</v>
          </cell>
          <cell r="P53">
            <v>0</v>
          </cell>
          <cell r="Q53">
            <v>0</v>
          </cell>
        </row>
        <row r="54">
          <cell r="F54">
            <v>1969</v>
          </cell>
          <cell r="G54">
            <v>1383</v>
          </cell>
          <cell r="H54">
            <v>1368</v>
          </cell>
          <cell r="I54">
            <v>2163</v>
          </cell>
          <cell r="J54">
            <v>2449</v>
          </cell>
          <cell r="K54">
            <v>1515</v>
          </cell>
          <cell r="L54">
            <v>1965</v>
          </cell>
          <cell r="M54">
            <v>1248</v>
          </cell>
          <cell r="N54">
            <v>1161</v>
          </cell>
          <cell r="O54">
            <v>1961</v>
          </cell>
          <cell r="P54">
            <v>1994</v>
          </cell>
          <cell r="Q54">
            <v>2274</v>
          </cell>
        </row>
        <row r="56">
          <cell r="F56">
            <v>607</v>
          </cell>
          <cell r="G56">
            <v>250</v>
          </cell>
          <cell r="H56">
            <v>615</v>
          </cell>
          <cell r="I56">
            <v>576</v>
          </cell>
          <cell r="J56">
            <v>516</v>
          </cell>
          <cell r="K56">
            <v>517</v>
          </cell>
          <cell r="L56">
            <v>440</v>
          </cell>
          <cell r="M56">
            <v>497</v>
          </cell>
          <cell r="N56">
            <v>192</v>
          </cell>
          <cell r="O56">
            <v>110</v>
          </cell>
          <cell r="P56">
            <v>192</v>
          </cell>
          <cell r="Q56">
            <v>202</v>
          </cell>
        </row>
        <row r="57">
          <cell r="F57">
            <v>13</v>
          </cell>
          <cell r="G57">
            <v>6</v>
          </cell>
          <cell r="H57">
            <v>6</v>
          </cell>
          <cell r="I57">
            <v>8</v>
          </cell>
          <cell r="J57">
            <v>8</v>
          </cell>
          <cell r="K57">
            <v>-1</v>
          </cell>
          <cell r="L57">
            <v>15</v>
          </cell>
          <cell r="M57">
            <v>14</v>
          </cell>
          <cell r="N57">
            <v>7</v>
          </cell>
          <cell r="O57">
            <v>7</v>
          </cell>
          <cell r="P57">
            <v>7</v>
          </cell>
          <cell r="Q57">
            <v>7</v>
          </cell>
        </row>
        <row r="58">
          <cell r="F58">
            <v>0</v>
          </cell>
          <cell r="G58">
            <v>0</v>
          </cell>
          <cell r="H58">
            <v>0</v>
          </cell>
          <cell r="I58">
            <v>0</v>
          </cell>
          <cell r="J58">
            <v>0</v>
          </cell>
          <cell r="K58">
            <v>0</v>
          </cell>
          <cell r="L58">
            <v>0</v>
          </cell>
          <cell r="M58">
            <v>0</v>
          </cell>
          <cell r="N58">
            <v>0</v>
          </cell>
          <cell r="O58">
            <v>0</v>
          </cell>
          <cell r="P58">
            <v>0</v>
          </cell>
          <cell r="Q58">
            <v>0</v>
          </cell>
        </row>
        <row r="59">
          <cell r="F59">
            <v>430</v>
          </cell>
          <cell r="G59">
            <v>336</v>
          </cell>
          <cell r="H59">
            <v>178</v>
          </cell>
          <cell r="I59">
            <v>278</v>
          </cell>
          <cell r="J59">
            <v>353</v>
          </cell>
          <cell r="K59">
            <v>324</v>
          </cell>
          <cell r="L59">
            <v>268</v>
          </cell>
          <cell r="M59">
            <v>89</v>
          </cell>
          <cell r="N59">
            <v>150</v>
          </cell>
          <cell r="O59">
            <v>225</v>
          </cell>
          <cell r="P59">
            <v>225</v>
          </cell>
          <cell r="Q59">
            <v>225</v>
          </cell>
        </row>
        <row r="60">
          <cell r="F60">
            <v>0</v>
          </cell>
          <cell r="G60">
            <v>0</v>
          </cell>
          <cell r="H60">
            <v>0</v>
          </cell>
          <cell r="I60">
            <v>0</v>
          </cell>
          <cell r="J60">
            <v>0</v>
          </cell>
          <cell r="K60">
            <v>0</v>
          </cell>
          <cell r="L60">
            <v>0</v>
          </cell>
          <cell r="M60">
            <v>0</v>
          </cell>
          <cell r="N60">
            <v>0</v>
          </cell>
          <cell r="O60">
            <v>0</v>
          </cell>
          <cell r="P60">
            <v>0</v>
          </cell>
          <cell r="Q60">
            <v>0</v>
          </cell>
        </row>
        <row r="61">
          <cell r="F61">
            <v>105</v>
          </cell>
          <cell r="G61">
            <v>164</v>
          </cell>
          <cell r="H61">
            <v>107</v>
          </cell>
          <cell r="I61">
            <v>123</v>
          </cell>
          <cell r="J61">
            <v>100</v>
          </cell>
          <cell r="K61">
            <v>61</v>
          </cell>
          <cell r="L61">
            <v>150</v>
          </cell>
          <cell r="M61">
            <v>187</v>
          </cell>
          <cell r="N61">
            <v>50</v>
          </cell>
          <cell r="O61">
            <v>60</v>
          </cell>
          <cell r="P61">
            <v>60</v>
          </cell>
          <cell r="Q61">
            <v>68</v>
          </cell>
        </row>
        <row r="62">
          <cell r="F62">
            <v>0</v>
          </cell>
          <cell r="G62">
            <v>0</v>
          </cell>
          <cell r="H62">
            <v>0</v>
          </cell>
          <cell r="I62">
            <v>0</v>
          </cell>
          <cell r="J62">
            <v>0</v>
          </cell>
          <cell r="K62">
            <v>0</v>
          </cell>
          <cell r="L62">
            <v>0</v>
          </cell>
          <cell r="M62">
            <v>0</v>
          </cell>
          <cell r="N62">
            <v>0</v>
          </cell>
          <cell r="O62">
            <v>0</v>
          </cell>
          <cell r="P62">
            <v>0</v>
          </cell>
          <cell r="Q62">
            <v>0</v>
          </cell>
        </row>
        <row r="63">
          <cell r="F63">
            <v>10</v>
          </cell>
          <cell r="G63">
            <v>4</v>
          </cell>
          <cell r="H63">
            <v>18</v>
          </cell>
          <cell r="I63">
            <v>4</v>
          </cell>
          <cell r="J63">
            <v>8</v>
          </cell>
          <cell r="K63">
            <v>38</v>
          </cell>
          <cell r="L63">
            <v>42</v>
          </cell>
          <cell r="M63">
            <v>14</v>
          </cell>
          <cell r="N63">
            <v>11</v>
          </cell>
          <cell r="O63">
            <v>18</v>
          </cell>
          <cell r="P63">
            <v>22</v>
          </cell>
          <cell r="Q63">
            <v>34</v>
          </cell>
        </row>
        <row r="64">
          <cell r="F64">
            <v>35</v>
          </cell>
          <cell r="G64">
            <v>22</v>
          </cell>
          <cell r="H64">
            <v>52</v>
          </cell>
          <cell r="I64">
            <v>34</v>
          </cell>
          <cell r="J64">
            <v>39</v>
          </cell>
          <cell r="K64">
            <v>34</v>
          </cell>
          <cell r="L64">
            <v>49</v>
          </cell>
          <cell r="M64">
            <v>82</v>
          </cell>
          <cell r="N64">
            <v>50</v>
          </cell>
          <cell r="O64">
            <v>52</v>
          </cell>
          <cell r="P64">
            <v>47</v>
          </cell>
          <cell r="Q64">
            <v>49</v>
          </cell>
        </row>
        <row r="65">
          <cell r="F65">
            <v>9</v>
          </cell>
          <cell r="G65">
            <v>13</v>
          </cell>
          <cell r="H65">
            <v>8</v>
          </cell>
          <cell r="I65">
            <v>6</v>
          </cell>
          <cell r="J65">
            <v>11</v>
          </cell>
          <cell r="K65">
            <v>7</v>
          </cell>
          <cell r="L65">
            <v>5</v>
          </cell>
          <cell r="M65">
            <v>0</v>
          </cell>
          <cell r="N65">
            <v>11</v>
          </cell>
          <cell r="O65">
            <v>23</v>
          </cell>
          <cell r="P65">
            <v>20</v>
          </cell>
          <cell r="Q65">
            <v>22</v>
          </cell>
        </row>
        <row r="66">
          <cell r="F66">
            <v>0</v>
          </cell>
          <cell r="G66">
            <v>0</v>
          </cell>
          <cell r="H66">
            <v>0</v>
          </cell>
          <cell r="I66">
            <v>0</v>
          </cell>
          <cell r="J66">
            <v>0</v>
          </cell>
          <cell r="K66">
            <v>0</v>
          </cell>
          <cell r="L66">
            <v>0</v>
          </cell>
          <cell r="M66">
            <v>0</v>
          </cell>
          <cell r="N66">
            <v>0</v>
          </cell>
          <cell r="O66">
            <v>0</v>
          </cell>
          <cell r="P66">
            <v>0</v>
          </cell>
          <cell r="Q66">
            <v>0</v>
          </cell>
        </row>
        <row r="67">
          <cell r="F67">
            <v>0</v>
          </cell>
          <cell r="G67">
            <v>0</v>
          </cell>
          <cell r="H67">
            <v>0</v>
          </cell>
          <cell r="I67">
            <v>0</v>
          </cell>
          <cell r="J67">
            <v>0</v>
          </cell>
          <cell r="K67">
            <v>0</v>
          </cell>
          <cell r="L67">
            <v>0</v>
          </cell>
          <cell r="M67">
            <v>0</v>
          </cell>
          <cell r="N67">
            <v>0</v>
          </cell>
          <cell r="O67">
            <v>0</v>
          </cell>
          <cell r="P67">
            <v>0</v>
          </cell>
          <cell r="Q67">
            <v>0</v>
          </cell>
        </row>
        <row r="68">
          <cell r="F68">
            <v>1209</v>
          </cell>
          <cell r="G68">
            <v>795</v>
          </cell>
          <cell r="H68">
            <v>984</v>
          </cell>
          <cell r="I68">
            <v>1029</v>
          </cell>
          <cell r="J68">
            <v>1035</v>
          </cell>
          <cell r="K68">
            <v>980</v>
          </cell>
          <cell r="L68">
            <v>969</v>
          </cell>
          <cell r="M68">
            <v>883</v>
          </cell>
          <cell r="N68">
            <v>471</v>
          </cell>
          <cell r="O68">
            <v>495</v>
          </cell>
          <cell r="P68">
            <v>573</v>
          </cell>
          <cell r="Q68">
            <v>607</v>
          </cell>
        </row>
        <row r="69">
          <cell r="F69">
            <v>5492</v>
          </cell>
          <cell r="G69">
            <v>4840</v>
          </cell>
          <cell r="H69">
            <v>5359</v>
          </cell>
          <cell r="I69">
            <v>6060</v>
          </cell>
          <cell r="J69">
            <v>6624</v>
          </cell>
          <cell r="K69">
            <v>5177</v>
          </cell>
          <cell r="L69">
            <v>6266</v>
          </cell>
          <cell r="M69">
            <v>5983</v>
          </cell>
          <cell r="N69">
            <v>3484</v>
          </cell>
          <cell r="O69">
            <v>5590</v>
          </cell>
          <cell r="P69">
            <v>5552</v>
          </cell>
          <cell r="Q69">
            <v>6236</v>
          </cell>
        </row>
        <row r="71">
          <cell r="F71">
            <v>32894</v>
          </cell>
          <cell r="G71">
            <v>28978</v>
          </cell>
          <cell r="H71">
            <v>32335</v>
          </cell>
          <cell r="I71">
            <v>36501</v>
          </cell>
          <cell r="J71">
            <v>41683</v>
          </cell>
          <cell r="K71">
            <v>34203</v>
          </cell>
          <cell r="L71">
            <v>38062</v>
          </cell>
          <cell r="M71">
            <v>36700</v>
          </cell>
          <cell r="N71">
            <v>21374</v>
          </cell>
          <cell r="O71">
            <v>40615</v>
          </cell>
          <cell r="P71">
            <v>36152</v>
          </cell>
          <cell r="Q71">
            <v>38656</v>
          </cell>
        </row>
        <row r="73">
          <cell r="F73" t="str">
            <v>NOV</v>
          </cell>
          <cell r="G73" t="str">
            <v>DEC</v>
          </cell>
          <cell r="H73" t="str">
            <v>JAN</v>
          </cell>
          <cell r="I73" t="str">
            <v>FEB</v>
          </cell>
          <cell r="J73" t="str">
            <v>MAR</v>
          </cell>
          <cell r="K73" t="str">
            <v>APR</v>
          </cell>
          <cell r="L73" t="str">
            <v>MAY</v>
          </cell>
          <cell r="M73" t="str">
            <v>JUN</v>
          </cell>
          <cell r="N73" t="str">
            <v>JUL</v>
          </cell>
          <cell r="O73" t="str">
            <v>AUG</v>
          </cell>
          <cell r="P73" t="str">
            <v>SEP</v>
          </cell>
          <cell r="Q73" t="str">
            <v>OCT</v>
          </cell>
        </row>
        <row r="74">
          <cell r="F74">
            <v>24490</v>
          </cell>
          <cell r="G74">
            <v>22072</v>
          </cell>
          <cell r="H74">
            <v>24442</v>
          </cell>
          <cell r="I74">
            <v>27629</v>
          </cell>
          <cell r="J74">
            <v>32251</v>
          </cell>
          <cell r="K74">
            <v>26840</v>
          </cell>
          <cell r="L74">
            <v>28856</v>
          </cell>
          <cell r="M74">
            <v>28915</v>
          </cell>
          <cell r="N74">
            <v>16752</v>
          </cell>
          <cell r="O74">
            <v>32761</v>
          </cell>
          <cell r="P74">
            <v>28361</v>
          </cell>
          <cell r="Q74">
            <v>29804</v>
          </cell>
        </row>
        <row r="75">
          <cell r="F75">
            <v>0</v>
          </cell>
          <cell r="G75">
            <v>0</v>
          </cell>
          <cell r="H75">
            <v>0</v>
          </cell>
          <cell r="I75">
            <v>0</v>
          </cell>
          <cell r="J75">
            <v>0</v>
          </cell>
          <cell r="K75">
            <v>0</v>
          </cell>
          <cell r="L75">
            <v>0</v>
          </cell>
          <cell r="M75">
            <v>0</v>
          </cell>
          <cell r="N75">
            <v>0</v>
          </cell>
          <cell r="O75">
            <v>0</v>
          </cell>
          <cell r="P75">
            <v>0</v>
          </cell>
          <cell r="Q75">
            <v>0</v>
          </cell>
        </row>
        <row r="76">
          <cell r="F76">
            <v>0</v>
          </cell>
          <cell r="G76">
            <v>0</v>
          </cell>
          <cell r="H76">
            <v>54</v>
          </cell>
          <cell r="I76">
            <v>0</v>
          </cell>
          <cell r="J76">
            <v>0</v>
          </cell>
          <cell r="K76">
            <v>56</v>
          </cell>
          <cell r="L76">
            <v>27</v>
          </cell>
          <cell r="M76">
            <v>28</v>
          </cell>
          <cell r="N76">
            <v>0</v>
          </cell>
          <cell r="O76">
            <v>28</v>
          </cell>
          <cell r="P76">
            <v>28</v>
          </cell>
          <cell r="Q76">
            <v>28</v>
          </cell>
        </row>
        <row r="77">
          <cell r="F77" t="e">
            <v>#REF!</v>
          </cell>
          <cell r="G77" t="e">
            <v>#REF!</v>
          </cell>
          <cell r="H77" t="e">
            <v>#REF!</v>
          </cell>
          <cell r="I77" t="e">
            <v>#REF!</v>
          </cell>
          <cell r="J77" t="e">
            <v>#REF!</v>
          </cell>
          <cell r="K77" t="e">
            <v>#REF!</v>
          </cell>
          <cell r="L77" t="e">
            <v>#REF!</v>
          </cell>
          <cell r="M77" t="e">
            <v>#REF!</v>
          </cell>
          <cell r="N77" t="e">
            <v>#REF!</v>
          </cell>
          <cell r="O77" t="e">
            <v>#REF!</v>
          </cell>
          <cell r="P77" t="e">
            <v>#REF!</v>
          </cell>
          <cell r="Q77" t="e">
            <v>#REF!</v>
          </cell>
        </row>
        <row r="78">
          <cell r="F78">
            <v>0</v>
          </cell>
          <cell r="G78">
            <v>0</v>
          </cell>
          <cell r="H78">
            <v>0</v>
          </cell>
          <cell r="I78">
            <v>0</v>
          </cell>
          <cell r="J78">
            <v>0</v>
          </cell>
          <cell r="K78">
            <v>0</v>
          </cell>
          <cell r="L78">
            <v>0</v>
          </cell>
          <cell r="M78">
            <v>0</v>
          </cell>
          <cell r="N78">
            <v>0</v>
          </cell>
          <cell r="O78">
            <v>0</v>
          </cell>
          <cell r="P78">
            <v>0</v>
          </cell>
          <cell r="Q78">
            <v>0</v>
          </cell>
        </row>
        <row r="79">
          <cell r="F79">
            <v>0</v>
          </cell>
          <cell r="G79">
            <v>0</v>
          </cell>
          <cell r="H79">
            <v>0</v>
          </cell>
          <cell r="I79">
            <v>0</v>
          </cell>
          <cell r="J79">
            <v>6</v>
          </cell>
          <cell r="K79">
            <v>22</v>
          </cell>
          <cell r="L79">
            <v>0</v>
          </cell>
          <cell r="M79">
            <v>40</v>
          </cell>
          <cell r="N79">
            <v>0</v>
          </cell>
          <cell r="O79">
            <v>0</v>
          </cell>
          <cell r="P79">
            <v>0</v>
          </cell>
          <cell r="Q79">
            <v>0</v>
          </cell>
        </row>
        <row r="80">
          <cell r="F80">
            <v>436</v>
          </cell>
          <cell r="G80">
            <v>336</v>
          </cell>
          <cell r="H80">
            <v>178</v>
          </cell>
          <cell r="I80">
            <v>278</v>
          </cell>
          <cell r="J80">
            <v>353</v>
          </cell>
          <cell r="K80">
            <v>324</v>
          </cell>
          <cell r="L80">
            <v>268</v>
          </cell>
          <cell r="M80">
            <v>89</v>
          </cell>
          <cell r="N80">
            <v>150</v>
          </cell>
          <cell r="O80">
            <v>225</v>
          </cell>
          <cell r="P80">
            <v>225</v>
          </cell>
          <cell r="Q80">
            <v>225</v>
          </cell>
        </row>
        <row r="81">
          <cell r="F81">
            <v>0</v>
          </cell>
          <cell r="G81">
            <v>0</v>
          </cell>
          <cell r="H81">
            <v>0</v>
          </cell>
          <cell r="I81">
            <v>0</v>
          </cell>
          <cell r="J81">
            <v>0</v>
          </cell>
          <cell r="K81">
            <v>0</v>
          </cell>
          <cell r="L81">
            <v>0</v>
          </cell>
          <cell r="M81">
            <v>0</v>
          </cell>
          <cell r="N81">
            <v>0</v>
          </cell>
          <cell r="O81">
            <v>0</v>
          </cell>
          <cell r="P81">
            <v>0</v>
          </cell>
          <cell r="Q81">
            <v>0</v>
          </cell>
        </row>
        <row r="82">
          <cell r="F82">
            <v>141</v>
          </cell>
          <cell r="G82">
            <v>203</v>
          </cell>
          <cell r="H82">
            <v>139</v>
          </cell>
          <cell r="I82">
            <v>144</v>
          </cell>
          <cell r="J82">
            <v>114</v>
          </cell>
          <cell r="K82">
            <v>94</v>
          </cell>
          <cell r="L82">
            <v>195</v>
          </cell>
          <cell r="M82">
            <v>249</v>
          </cell>
          <cell r="N82">
            <v>100</v>
          </cell>
          <cell r="O82">
            <v>120</v>
          </cell>
          <cell r="P82">
            <v>120</v>
          </cell>
          <cell r="Q82">
            <v>128</v>
          </cell>
        </row>
        <row r="83">
          <cell r="F83">
            <v>0</v>
          </cell>
          <cell r="G83">
            <v>0</v>
          </cell>
          <cell r="H83">
            <v>0</v>
          </cell>
          <cell r="I83">
            <v>0</v>
          </cell>
          <cell r="J83">
            <v>0</v>
          </cell>
          <cell r="K83">
            <v>0</v>
          </cell>
          <cell r="L83">
            <v>0</v>
          </cell>
          <cell r="M83">
            <v>0</v>
          </cell>
          <cell r="N83">
            <v>0</v>
          </cell>
          <cell r="O83">
            <v>0</v>
          </cell>
          <cell r="P83">
            <v>0</v>
          </cell>
          <cell r="Q83">
            <v>0</v>
          </cell>
        </row>
        <row r="84">
          <cell r="F84" t="e">
            <v>#REF!</v>
          </cell>
          <cell r="G84" t="e">
            <v>#REF!</v>
          </cell>
          <cell r="H84" t="e">
            <v>#REF!</v>
          </cell>
          <cell r="I84" t="e">
            <v>#REF!</v>
          </cell>
          <cell r="J84" t="e">
            <v>#REF!</v>
          </cell>
          <cell r="K84" t="e">
            <v>#REF!</v>
          </cell>
          <cell r="L84" t="e">
            <v>#REF!</v>
          </cell>
          <cell r="M84" t="e">
            <v>#REF!</v>
          </cell>
          <cell r="N84" t="e">
            <v>#REF!</v>
          </cell>
          <cell r="O84" t="e">
            <v>#REF!</v>
          </cell>
          <cell r="P84" t="e">
            <v>#REF!</v>
          </cell>
          <cell r="Q84" t="e">
            <v>#REF!</v>
          </cell>
        </row>
        <row r="86">
          <cell r="F86">
            <v>2630</v>
          </cell>
          <cell r="G86">
            <v>1789</v>
          </cell>
          <cell r="H86">
            <v>2224</v>
          </cell>
          <cell r="I86">
            <v>2438</v>
          </cell>
          <cell r="J86">
            <v>2728</v>
          </cell>
          <cell r="K86">
            <v>1980</v>
          </cell>
          <cell r="L86">
            <v>2753</v>
          </cell>
          <cell r="M86">
            <v>1414</v>
          </cell>
          <cell r="N86">
            <v>953</v>
          </cell>
          <cell r="O86">
            <v>1769</v>
          </cell>
          <cell r="P86">
            <v>1799</v>
          </cell>
          <cell r="Q86">
            <v>1991</v>
          </cell>
        </row>
        <row r="87">
          <cell r="F87">
            <v>4320</v>
          </cell>
          <cell r="G87">
            <v>3737</v>
          </cell>
          <cell r="H87">
            <v>4419</v>
          </cell>
          <cell r="I87">
            <v>5025</v>
          </cell>
          <cell r="J87">
            <v>5407</v>
          </cell>
          <cell r="K87">
            <v>4074</v>
          </cell>
          <cell r="L87">
            <v>4915</v>
          </cell>
          <cell r="M87">
            <v>4310</v>
          </cell>
          <cell r="N87">
            <v>2332</v>
          </cell>
          <cell r="O87">
            <v>4151</v>
          </cell>
          <cell r="P87">
            <v>4373</v>
          </cell>
          <cell r="Q87">
            <v>4950</v>
          </cell>
        </row>
        <row r="88">
          <cell r="F88">
            <v>24</v>
          </cell>
          <cell r="G88">
            <v>18</v>
          </cell>
          <cell r="H88">
            <v>9</v>
          </cell>
          <cell r="I88">
            <v>29</v>
          </cell>
          <cell r="J88">
            <v>17</v>
          </cell>
          <cell r="K88">
            <v>5</v>
          </cell>
          <cell r="L88">
            <v>18</v>
          </cell>
          <cell r="M88">
            <v>36</v>
          </cell>
          <cell r="N88">
            <v>14</v>
          </cell>
          <cell r="O88">
            <v>14</v>
          </cell>
          <cell r="P88">
            <v>14</v>
          </cell>
          <cell r="Q88">
            <v>14</v>
          </cell>
        </row>
        <row r="89">
          <cell r="F89">
            <v>387</v>
          </cell>
          <cell r="G89">
            <v>425</v>
          </cell>
          <cell r="H89">
            <v>334</v>
          </cell>
          <cell r="I89">
            <v>424</v>
          </cell>
          <cell r="J89">
            <v>242</v>
          </cell>
          <cell r="K89">
            <v>369</v>
          </cell>
          <cell r="L89">
            <v>425</v>
          </cell>
          <cell r="M89">
            <v>706</v>
          </cell>
          <cell r="N89">
            <v>397</v>
          </cell>
          <cell r="O89">
            <v>852</v>
          </cell>
          <cell r="P89">
            <v>670</v>
          </cell>
          <cell r="Q89">
            <v>926</v>
          </cell>
        </row>
        <row r="90">
          <cell r="F90">
            <v>457</v>
          </cell>
          <cell r="G90">
            <v>361</v>
          </cell>
          <cell r="H90">
            <v>528</v>
          </cell>
          <cell r="I90">
            <v>528</v>
          </cell>
          <cell r="J90">
            <v>554</v>
          </cell>
          <cell r="K90">
            <v>432</v>
          </cell>
          <cell r="L90">
            <v>552</v>
          </cell>
          <cell r="M90">
            <v>841</v>
          </cell>
          <cell r="N90">
            <v>590</v>
          </cell>
          <cell r="O90">
            <v>602</v>
          </cell>
          <cell r="P90">
            <v>542</v>
          </cell>
          <cell r="Q90">
            <v>568</v>
          </cell>
        </row>
        <row r="91">
          <cell r="F91">
            <v>0</v>
          </cell>
          <cell r="G91">
            <v>24</v>
          </cell>
          <cell r="H91">
            <v>0</v>
          </cell>
          <cell r="I91">
            <v>0</v>
          </cell>
          <cell r="J91">
            <v>0</v>
          </cell>
          <cell r="K91">
            <v>0</v>
          </cell>
          <cell r="L91">
            <v>48</v>
          </cell>
          <cell r="M91">
            <v>72</v>
          </cell>
          <cell r="N91">
            <v>75</v>
          </cell>
          <cell r="O91">
            <v>70</v>
          </cell>
          <cell r="P91">
            <v>0</v>
          </cell>
          <cell r="Q91">
            <v>0</v>
          </cell>
        </row>
        <row r="92">
          <cell r="F92">
            <v>9</v>
          </cell>
          <cell r="G92">
            <v>13</v>
          </cell>
          <cell r="H92">
            <v>8</v>
          </cell>
          <cell r="I92">
            <v>6</v>
          </cell>
          <cell r="J92">
            <v>11</v>
          </cell>
          <cell r="K92">
            <v>7</v>
          </cell>
          <cell r="L92">
            <v>5</v>
          </cell>
          <cell r="M92">
            <v>0</v>
          </cell>
          <cell r="N92">
            <v>11</v>
          </cell>
          <cell r="O92">
            <v>23</v>
          </cell>
          <cell r="P92">
            <v>20</v>
          </cell>
          <cell r="Q92">
            <v>22</v>
          </cell>
        </row>
        <row r="93">
          <cell r="F93">
            <v>0</v>
          </cell>
          <cell r="G93">
            <v>0</v>
          </cell>
          <cell r="H93">
            <v>0</v>
          </cell>
          <cell r="I93">
            <v>0</v>
          </cell>
          <cell r="J93">
            <v>0</v>
          </cell>
          <cell r="K93">
            <v>0</v>
          </cell>
          <cell r="L93">
            <v>0</v>
          </cell>
          <cell r="M93">
            <v>0</v>
          </cell>
          <cell r="N93">
            <v>0</v>
          </cell>
          <cell r="O93">
            <v>0</v>
          </cell>
          <cell r="P93">
            <v>0</v>
          </cell>
          <cell r="Q93">
            <v>0</v>
          </cell>
        </row>
        <row r="94">
          <cell r="F94">
            <v>7827</v>
          </cell>
          <cell r="G94">
            <v>6367</v>
          </cell>
          <cell r="H94">
            <v>7522</v>
          </cell>
          <cell r="I94">
            <v>8450</v>
          </cell>
          <cell r="J94">
            <v>8959</v>
          </cell>
          <cell r="K94">
            <v>6867</v>
          </cell>
          <cell r="L94">
            <v>8716</v>
          </cell>
          <cell r="M94">
            <v>7379</v>
          </cell>
          <cell r="N94">
            <v>4372</v>
          </cell>
          <cell r="O94">
            <v>7481</v>
          </cell>
          <cell r="P94">
            <v>7418</v>
          </cell>
          <cell r="Q94">
            <v>8471</v>
          </cell>
        </row>
        <row r="96">
          <cell r="F96" t="e">
            <v>#REF!</v>
          </cell>
          <cell r="G96" t="e">
            <v>#REF!</v>
          </cell>
          <cell r="H96" t="e">
            <v>#REF!</v>
          </cell>
          <cell r="I96" t="e">
            <v>#REF!</v>
          </cell>
          <cell r="J96" t="e">
            <v>#REF!</v>
          </cell>
          <cell r="K96" t="e">
            <v>#REF!</v>
          </cell>
          <cell r="L96" t="e">
            <v>#REF!</v>
          </cell>
          <cell r="M96" t="e">
            <v>#REF!</v>
          </cell>
          <cell r="N96" t="e">
            <v>#REF!</v>
          </cell>
          <cell r="O96" t="e">
            <v>#REF!</v>
          </cell>
          <cell r="P96" t="e">
            <v>#REF!</v>
          </cell>
          <cell r="Q96" t="e">
            <v>#REF!</v>
          </cell>
        </row>
        <row r="99">
          <cell r="F99" t="str">
            <v>NOV</v>
          </cell>
          <cell r="G99" t="str">
            <v>DEC</v>
          </cell>
          <cell r="H99" t="str">
            <v>JAN</v>
          </cell>
          <cell r="I99" t="str">
            <v>FEB</v>
          </cell>
          <cell r="J99" t="str">
            <v>MAR</v>
          </cell>
          <cell r="K99" t="str">
            <v>APR</v>
          </cell>
          <cell r="L99" t="str">
            <v>MAY</v>
          </cell>
          <cell r="M99" t="str">
            <v>JUN</v>
          </cell>
          <cell r="N99" t="str">
            <v>JUL</v>
          </cell>
          <cell r="O99" t="str">
            <v>AUG</v>
          </cell>
          <cell r="P99" t="str">
            <v>SEP</v>
          </cell>
          <cell r="Q99" t="str">
            <v>OCT</v>
          </cell>
        </row>
        <row r="102">
          <cell r="F102">
            <v>16</v>
          </cell>
          <cell r="G102">
            <v>13</v>
          </cell>
          <cell r="H102">
            <v>13</v>
          </cell>
          <cell r="I102">
            <v>12</v>
          </cell>
          <cell r="J102">
            <v>14</v>
          </cell>
          <cell r="K102">
            <v>17</v>
          </cell>
          <cell r="L102">
            <v>9</v>
          </cell>
          <cell r="M102">
            <v>9</v>
          </cell>
          <cell r="N102">
            <v>0</v>
          </cell>
          <cell r="O102">
            <v>0</v>
          </cell>
          <cell r="P102">
            <v>0</v>
          </cell>
          <cell r="Q102">
            <v>0</v>
          </cell>
        </row>
        <row r="103">
          <cell r="F103">
            <v>0</v>
          </cell>
          <cell r="G103">
            <v>0</v>
          </cell>
          <cell r="H103">
            <v>0</v>
          </cell>
          <cell r="I103">
            <v>7</v>
          </cell>
          <cell r="J103">
            <v>6</v>
          </cell>
          <cell r="K103">
            <v>0</v>
          </cell>
          <cell r="L103">
            <v>5</v>
          </cell>
          <cell r="M103">
            <v>5</v>
          </cell>
          <cell r="N103">
            <v>0</v>
          </cell>
          <cell r="O103">
            <v>0</v>
          </cell>
          <cell r="P103">
            <v>0</v>
          </cell>
          <cell r="Q103">
            <v>0</v>
          </cell>
        </row>
        <row r="104">
          <cell r="F104">
            <v>0</v>
          </cell>
          <cell r="G104">
            <v>0</v>
          </cell>
          <cell r="H104">
            <v>0</v>
          </cell>
          <cell r="I104">
            <v>0</v>
          </cell>
          <cell r="J104">
            <v>0</v>
          </cell>
          <cell r="K104">
            <v>0</v>
          </cell>
          <cell r="L104">
            <v>0</v>
          </cell>
          <cell r="M104">
            <v>0</v>
          </cell>
          <cell r="N104">
            <v>0</v>
          </cell>
          <cell r="O104">
            <v>0</v>
          </cell>
          <cell r="P104">
            <v>0</v>
          </cell>
          <cell r="Q104">
            <v>0</v>
          </cell>
        </row>
        <row r="105">
          <cell r="F105">
            <v>16</v>
          </cell>
          <cell r="G105">
            <v>13</v>
          </cell>
          <cell r="H105">
            <v>13</v>
          </cell>
          <cell r="I105">
            <v>19</v>
          </cell>
          <cell r="J105">
            <v>20</v>
          </cell>
          <cell r="K105">
            <v>17</v>
          </cell>
          <cell r="L105">
            <v>14</v>
          </cell>
          <cell r="M105">
            <v>14</v>
          </cell>
          <cell r="N105">
            <v>0</v>
          </cell>
          <cell r="O105">
            <v>0</v>
          </cell>
          <cell r="P105">
            <v>0</v>
          </cell>
          <cell r="Q105">
            <v>0</v>
          </cell>
        </row>
        <row r="107">
          <cell r="F107">
            <v>23267</v>
          </cell>
          <cell r="G107">
            <v>22636</v>
          </cell>
          <cell r="H107">
            <v>24157</v>
          </cell>
          <cell r="I107">
            <v>26898</v>
          </cell>
          <cell r="J107">
            <v>29195</v>
          </cell>
          <cell r="K107">
            <v>24703</v>
          </cell>
          <cell r="L107">
            <v>25735</v>
          </cell>
          <cell r="M107">
            <v>27403</v>
          </cell>
          <cell r="N107">
            <v>14426</v>
          </cell>
          <cell r="O107">
            <v>30421</v>
          </cell>
          <cell r="P107">
            <v>26103</v>
          </cell>
          <cell r="Q107">
            <v>28647</v>
          </cell>
        </row>
        <row r="108">
          <cell r="F108">
            <v>0</v>
          </cell>
          <cell r="G108">
            <v>54</v>
          </cell>
          <cell r="H108">
            <v>0</v>
          </cell>
          <cell r="I108">
            <v>56</v>
          </cell>
          <cell r="J108">
            <v>1</v>
          </cell>
          <cell r="K108">
            <v>0</v>
          </cell>
          <cell r="L108">
            <v>27</v>
          </cell>
          <cell r="M108">
            <v>29</v>
          </cell>
          <cell r="N108">
            <v>0</v>
          </cell>
          <cell r="O108">
            <v>28</v>
          </cell>
          <cell r="P108">
            <v>28</v>
          </cell>
          <cell r="Q108">
            <v>28</v>
          </cell>
        </row>
        <row r="109">
          <cell r="F109">
            <v>282</v>
          </cell>
          <cell r="G109">
            <v>246</v>
          </cell>
          <cell r="H109">
            <v>256</v>
          </cell>
          <cell r="I109">
            <v>256</v>
          </cell>
          <cell r="J109">
            <v>192</v>
          </cell>
          <cell r="K109">
            <v>128</v>
          </cell>
          <cell r="L109">
            <v>160</v>
          </cell>
          <cell r="M109">
            <v>320</v>
          </cell>
          <cell r="N109">
            <v>185</v>
          </cell>
          <cell r="O109">
            <v>467</v>
          </cell>
          <cell r="P109">
            <v>412</v>
          </cell>
          <cell r="Q109">
            <v>597</v>
          </cell>
        </row>
        <row r="110">
          <cell r="F110">
            <v>0</v>
          </cell>
          <cell r="G110">
            <v>0</v>
          </cell>
          <cell r="H110">
            <v>0</v>
          </cell>
          <cell r="I110">
            <v>0</v>
          </cell>
          <cell r="J110">
            <v>23</v>
          </cell>
          <cell r="K110">
            <v>69</v>
          </cell>
          <cell r="L110">
            <v>48</v>
          </cell>
          <cell r="M110">
            <v>54</v>
          </cell>
          <cell r="N110">
            <v>36</v>
          </cell>
          <cell r="O110">
            <v>23</v>
          </cell>
          <cell r="P110">
            <v>21</v>
          </cell>
          <cell r="Q110">
            <v>22</v>
          </cell>
        </row>
        <row r="111">
          <cell r="F111">
            <v>0</v>
          </cell>
          <cell r="G111">
            <v>0</v>
          </cell>
          <cell r="H111">
            <v>0</v>
          </cell>
          <cell r="I111">
            <v>0</v>
          </cell>
          <cell r="J111">
            <v>0</v>
          </cell>
          <cell r="K111">
            <v>0</v>
          </cell>
          <cell r="L111">
            <v>0</v>
          </cell>
          <cell r="M111">
            <v>0</v>
          </cell>
          <cell r="N111">
            <v>0</v>
          </cell>
          <cell r="O111">
            <v>0</v>
          </cell>
          <cell r="P111">
            <v>0</v>
          </cell>
          <cell r="Q111">
            <v>0</v>
          </cell>
        </row>
        <row r="112">
          <cell r="F112">
            <v>0</v>
          </cell>
          <cell r="G112">
            <v>20</v>
          </cell>
          <cell r="H112">
            <v>0</v>
          </cell>
          <cell r="I112">
            <v>26</v>
          </cell>
          <cell r="J112">
            <v>0</v>
          </cell>
          <cell r="K112">
            <v>2</v>
          </cell>
          <cell r="L112">
            <v>20</v>
          </cell>
          <cell r="M112">
            <v>20</v>
          </cell>
          <cell r="N112">
            <v>0</v>
          </cell>
          <cell r="O112">
            <v>0</v>
          </cell>
          <cell r="P112">
            <v>0</v>
          </cell>
          <cell r="Q112">
            <v>0</v>
          </cell>
        </row>
        <row r="113">
          <cell r="F113">
            <v>2550</v>
          </cell>
          <cell r="G113">
            <v>1820</v>
          </cell>
          <cell r="H113">
            <v>2303</v>
          </cell>
          <cell r="I113">
            <v>2468</v>
          </cell>
          <cell r="J113">
            <v>2681</v>
          </cell>
          <cell r="K113">
            <v>1832</v>
          </cell>
          <cell r="L113">
            <v>2660</v>
          </cell>
          <cell r="M113">
            <v>1365</v>
          </cell>
          <cell r="N113">
            <v>917</v>
          </cell>
          <cell r="O113">
            <v>1746</v>
          </cell>
          <cell r="P113">
            <v>1778</v>
          </cell>
          <cell r="Q113">
            <v>1969</v>
          </cell>
        </row>
        <row r="114">
          <cell r="F114">
            <v>26099</v>
          </cell>
          <cell r="G114">
            <v>24776</v>
          </cell>
          <cell r="H114">
            <v>26716</v>
          </cell>
          <cell r="I114">
            <v>29704</v>
          </cell>
          <cell r="J114">
            <v>32092</v>
          </cell>
          <cell r="K114">
            <v>26734</v>
          </cell>
          <cell r="L114">
            <v>28650</v>
          </cell>
          <cell r="M114">
            <v>29191</v>
          </cell>
          <cell r="N114">
            <v>15564</v>
          </cell>
          <cell r="O114">
            <v>32685</v>
          </cell>
          <cell r="P114">
            <v>28342</v>
          </cell>
          <cell r="Q114">
            <v>31263</v>
          </cell>
        </row>
        <row r="116">
          <cell r="F116">
            <v>26115</v>
          </cell>
          <cell r="G116">
            <v>24789</v>
          </cell>
          <cell r="H116">
            <v>26729</v>
          </cell>
          <cell r="I116">
            <v>29723</v>
          </cell>
          <cell r="J116">
            <v>32112</v>
          </cell>
          <cell r="K116">
            <v>26751</v>
          </cell>
          <cell r="L116">
            <v>28664</v>
          </cell>
          <cell r="M116">
            <v>29205</v>
          </cell>
          <cell r="N116">
            <v>15564</v>
          </cell>
          <cell r="O116">
            <v>32685</v>
          </cell>
          <cell r="P116">
            <v>28342</v>
          </cell>
          <cell r="Q116">
            <v>31263</v>
          </cell>
        </row>
        <row r="118">
          <cell r="F118">
            <v>0</v>
          </cell>
          <cell r="G118">
            <v>0</v>
          </cell>
          <cell r="H118">
            <v>0</v>
          </cell>
          <cell r="I118">
            <v>0</v>
          </cell>
          <cell r="J118">
            <v>108</v>
          </cell>
          <cell r="K118">
            <v>828</v>
          </cell>
          <cell r="L118">
            <v>1216</v>
          </cell>
          <cell r="M118">
            <v>940</v>
          </cell>
          <cell r="N118">
            <v>2490</v>
          </cell>
          <cell r="O118">
            <v>2600</v>
          </cell>
          <cell r="P118">
            <v>2400</v>
          </cell>
          <cell r="Q118">
            <v>2400</v>
          </cell>
        </row>
        <row r="120">
          <cell r="F120">
            <v>1873</v>
          </cell>
          <cell r="G120">
            <v>2295</v>
          </cell>
          <cell r="H120">
            <v>2572</v>
          </cell>
          <cell r="I120">
            <v>2384</v>
          </cell>
          <cell r="J120">
            <v>2665</v>
          </cell>
          <cell r="K120">
            <v>2207</v>
          </cell>
          <cell r="L120">
            <v>2725</v>
          </cell>
          <cell r="M120">
            <v>2820</v>
          </cell>
          <cell r="N120">
            <v>1205</v>
          </cell>
          <cell r="O120">
            <v>2248</v>
          </cell>
          <cell r="P120">
            <v>2300</v>
          </cell>
          <cell r="Q120">
            <v>2582</v>
          </cell>
        </row>
        <row r="121">
          <cell r="F121">
            <v>4</v>
          </cell>
          <cell r="G121">
            <v>5</v>
          </cell>
          <cell r="H121">
            <v>0</v>
          </cell>
          <cell r="I121">
            <v>12</v>
          </cell>
          <cell r="J121">
            <v>3</v>
          </cell>
          <cell r="K121">
            <v>5</v>
          </cell>
          <cell r="L121">
            <v>1</v>
          </cell>
          <cell r="M121">
            <v>7</v>
          </cell>
          <cell r="N121">
            <v>5</v>
          </cell>
          <cell r="O121">
            <v>5</v>
          </cell>
          <cell r="P121">
            <v>5</v>
          </cell>
          <cell r="Q121">
            <v>5</v>
          </cell>
        </row>
        <row r="122">
          <cell r="F122">
            <v>0</v>
          </cell>
          <cell r="G122">
            <v>0</v>
          </cell>
          <cell r="H122">
            <v>0</v>
          </cell>
          <cell r="I122">
            <v>0</v>
          </cell>
          <cell r="J122">
            <v>0</v>
          </cell>
          <cell r="K122">
            <v>0</v>
          </cell>
          <cell r="L122">
            <v>0</v>
          </cell>
          <cell r="M122">
            <v>0</v>
          </cell>
          <cell r="N122">
            <v>0</v>
          </cell>
          <cell r="O122">
            <v>0</v>
          </cell>
          <cell r="P122">
            <v>0</v>
          </cell>
          <cell r="Q122">
            <v>0</v>
          </cell>
        </row>
        <row r="123">
          <cell r="F123">
            <v>75</v>
          </cell>
          <cell r="G123">
            <v>40</v>
          </cell>
          <cell r="H123">
            <v>50</v>
          </cell>
          <cell r="I123">
            <v>41</v>
          </cell>
          <cell r="J123">
            <v>62</v>
          </cell>
          <cell r="K123">
            <v>121</v>
          </cell>
          <cell r="L123">
            <v>125</v>
          </cell>
          <cell r="M123">
            <v>263</v>
          </cell>
          <cell r="N123">
            <v>149</v>
          </cell>
          <cell r="O123">
            <v>324</v>
          </cell>
          <cell r="P123">
            <v>206</v>
          </cell>
          <cell r="Q123">
            <v>254</v>
          </cell>
        </row>
        <row r="124">
          <cell r="F124">
            <v>6</v>
          </cell>
          <cell r="G124">
            <v>0</v>
          </cell>
          <cell r="H124">
            <v>0</v>
          </cell>
          <cell r="I124">
            <v>0</v>
          </cell>
          <cell r="J124">
            <v>0</v>
          </cell>
          <cell r="K124">
            <v>0</v>
          </cell>
          <cell r="L124">
            <v>0</v>
          </cell>
          <cell r="M124">
            <v>0</v>
          </cell>
          <cell r="N124">
            <v>0</v>
          </cell>
          <cell r="O124">
            <v>0</v>
          </cell>
          <cell r="P124">
            <v>0</v>
          </cell>
          <cell r="Q124">
            <v>0</v>
          </cell>
        </row>
        <row r="125">
          <cell r="F125">
            <v>0</v>
          </cell>
          <cell r="G125">
            <v>0</v>
          </cell>
          <cell r="H125">
            <v>0</v>
          </cell>
          <cell r="I125">
            <v>0</v>
          </cell>
          <cell r="J125">
            <v>0</v>
          </cell>
          <cell r="K125">
            <v>0</v>
          </cell>
          <cell r="L125">
            <v>0</v>
          </cell>
          <cell r="M125">
            <v>0</v>
          </cell>
          <cell r="N125">
            <v>0</v>
          </cell>
          <cell r="O125">
            <v>0</v>
          </cell>
          <cell r="P125">
            <v>0</v>
          </cell>
          <cell r="Q125">
            <v>0</v>
          </cell>
        </row>
        <row r="126">
          <cell r="F126">
            <v>23</v>
          </cell>
          <cell r="G126">
            <v>26</v>
          </cell>
          <cell r="H126">
            <v>28</v>
          </cell>
          <cell r="I126">
            <v>19</v>
          </cell>
          <cell r="J126">
            <v>5</v>
          </cell>
          <cell r="K126">
            <v>31</v>
          </cell>
          <cell r="L126">
            <v>44</v>
          </cell>
          <cell r="M126">
            <v>74</v>
          </cell>
          <cell r="N126">
            <v>50</v>
          </cell>
          <cell r="O126">
            <v>60</v>
          </cell>
          <cell r="P126">
            <v>60</v>
          </cell>
          <cell r="Q126">
            <v>60</v>
          </cell>
        </row>
        <row r="127">
          <cell r="F127">
            <v>0</v>
          </cell>
          <cell r="G127">
            <v>0</v>
          </cell>
          <cell r="H127">
            <v>16</v>
          </cell>
          <cell r="I127">
            <v>0</v>
          </cell>
          <cell r="J127">
            <v>0</v>
          </cell>
          <cell r="K127">
            <v>0</v>
          </cell>
          <cell r="L127">
            <v>0</v>
          </cell>
          <cell r="M127">
            <v>0</v>
          </cell>
          <cell r="N127">
            <v>0</v>
          </cell>
          <cell r="O127">
            <v>0</v>
          </cell>
          <cell r="P127">
            <v>0</v>
          </cell>
          <cell r="Q127">
            <v>0</v>
          </cell>
        </row>
        <row r="128">
          <cell r="F128">
            <v>333</v>
          </cell>
          <cell r="G128">
            <v>272</v>
          </cell>
          <cell r="H128">
            <v>357</v>
          </cell>
          <cell r="I128">
            <v>412</v>
          </cell>
          <cell r="J128">
            <v>405</v>
          </cell>
          <cell r="K128">
            <v>318</v>
          </cell>
          <cell r="L128">
            <v>389</v>
          </cell>
          <cell r="M128">
            <v>616</v>
          </cell>
          <cell r="N128">
            <v>435</v>
          </cell>
          <cell r="O128">
            <v>447</v>
          </cell>
          <cell r="P128">
            <v>403</v>
          </cell>
          <cell r="Q128">
            <v>422</v>
          </cell>
        </row>
        <row r="129">
          <cell r="F129">
            <v>0</v>
          </cell>
          <cell r="G129">
            <v>24</v>
          </cell>
          <cell r="H129">
            <v>0</v>
          </cell>
          <cell r="I129">
            <v>0</v>
          </cell>
          <cell r="J129">
            <v>0</v>
          </cell>
          <cell r="K129">
            <v>0</v>
          </cell>
          <cell r="L129">
            <v>48</v>
          </cell>
          <cell r="M129">
            <v>72</v>
          </cell>
          <cell r="N129">
            <v>56</v>
          </cell>
          <cell r="O129">
            <v>52</v>
          </cell>
          <cell r="P129">
            <v>0</v>
          </cell>
          <cell r="Q129">
            <v>0</v>
          </cell>
        </row>
        <row r="130">
          <cell r="F130">
            <v>0</v>
          </cell>
          <cell r="G130">
            <v>0</v>
          </cell>
          <cell r="H130">
            <v>0</v>
          </cell>
          <cell r="I130">
            <v>0</v>
          </cell>
          <cell r="J130">
            <v>0</v>
          </cell>
          <cell r="K130">
            <v>0</v>
          </cell>
          <cell r="L130">
            <v>0</v>
          </cell>
          <cell r="M130">
            <v>0</v>
          </cell>
          <cell r="N130">
            <v>0</v>
          </cell>
          <cell r="O130">
            <v>0</v>
          </cell>
          <cell r="P130">
            <v>0</v>
          </cell>
          <cell r="Q130">
            <v>0</v>
          </cell>
        </row>
        <row r="131">
          <cell r="F131">
            <v>2314</v>
          </cell>
          <cell r="G131">
            <v>2662</v>
          </cell>
          <cell r="H131">
            <v>3023</v>
          </cell>
          <cell r="I131">
            <v>2868</v>
          </cell>
          <cell r="J131">
            <v>3140</v>
          </cell>
          <cell r="K131">
            <v>2682</v>
          </cell>
          <cell r="L131">
            <v>3332</v>
          </cell>
          <cell r="M131">
            <v>3852</v>
          </cell>
          <cell r="N131">
            <v>1900</v>
          </cell>
          <cell r="O131">
            <v>3136</v>
          </cell>
          <cell r="P131">
            <v>2974</v>
          </cell>
          <cell r="Q131">
            <v>3323</v>
          </cell>
        </row>
        <row r="133">
          <cell r="F133">
            <v>1530</v>
          </cell>
          <cell r="G133">
            <v>1563</v>
          </cell>
          <cell r="H133">
            <v>1490</v>
          </cell>
          <cell r="I133">
            <v>1863</v>
          </cell>
          <cell r="J133">
            <v>2210</v>
          </cell>
          <cell r="K133">
            <v>2074</v>
          </cell>
          <cell r="L133">
            <v>1800</v>
          </cell>
          <cell r="M133">
            <v>980</v>
          </cell>
          <cell r="N133">
            <v>1023</v>
          </cell>
          <cell r="O133">
            <v>1797</v>
          </cell>
          <cell r="P133">
            <v>1860</v>
          </cell>
          <cell r="Q133">
            <v>2109</v>
          </cell>
        </row>
        <row r="134">
          <cell r="F134">
            <v>7</v>
          </cell>
          <cell r="G134">
            <v>7</v>
          </cell>
          <cell r="H134">
            <v>3</v>
          </cell>
          <cell r="I134">
            <v>9</v>
          </cell>
          <cell r="J134">
            <v>6</v>
          </cell>
          <cell r="K134">
            <v>1</v>
          </cell>
          <cell r="L134">
            <v>2</v>
          </cell>
          <cell r="M134">
            <v>15</v>
          </cell>
          <cell r="N134">
            <v>2</v>
          </cell>
          <cell r="O134">
            <v>2</v>
          </cell>
          <cell r="P134">
            <v>2</v>
          </cell>
          <cell r="Q134">
            <v>2</v>
          </cell>
        </row>
        <row r="135">
          <cell r="F135">
            <v>0</v>
          </cell>
          <cell r="G135">
            <v>0</v>
          </cell>
          <cell r="H135">
            <v>0</v>
          </cell>
          <cell r="I135">
            <v>0</v>
          </cell>
          <cell r="J135">
            <v>0</v>
          </cell>
          <cell r="K135">
            <v>0</v>
          </cell>
          <cell r="L135">
            <v>0</v>
          </cell>
          <cell r="M135">
            <v>0</v>
          </cell>
          <cell r="N135">
            <v>0</v>
          </cell>
          <cell r="O135">
            <v>0</v>
          </cell>
          <cell r="P135">
            <v>0</v>
          </cell>
          <cell r="Q135">
            <v>0</v>
          </cell>
        </row>
        <row r="136">
          <cell r="F136">
            <v>20</v>
          </cell>
          <cell r="G136">
            <v>104</v>
          </cell>
          <cell r="H136">
            <v>10</v>
          </cell>
          <cell r="I136">
            <v>5</v>
          </cell>
          <cell r="J136">
            <v>98</v>
          </cell>
          <cell r="K136">
            <v>82</v>
          </cell>
          <cell r="L136">
            <v>98</v>
          </cell>
          <cell r="M136">
            <v>109</v>
          </cell>
          <cell r="N136">
            <v>52</v>
          </cell>
          <cell r="O136">
            <v>43</v>
          </cell>
          <cell r="P136">
            <v>30</v>
          </cell>
          <cell r="Q136">
            <v>41</v>
          </cell>
        </row>
        <row r="137">
          <cell r="F137">
            <v>0</v>
          </cell>
          <cell r="G137">
            <v>0</v>
          </cell>
          <cell r="H137">
            <v>0</v>
          </cell>
          <cell r="I137">
            <v>0</v>
          </cell>
          <cell r="J137">
            <v>0</v>
          </cell>
          <cell r="K137">
            <v>0</v>
          </cell>
          <cell r="L137">
            <v>0</v>
          </cell>
          <cell r="M137">
            <v>0</v>
          </cell>
          <cell r="N137">
            <v>0</v>
          </cell>
          <cell r="O137">
            <v>0</v>
          </cell>
          <cell r="P137">
            <v>0</v>
          </cell>
          <cell r="Q137">
            <v>0</v>
          </cell>
        </row>
        <row r="138">
          <cell r="F138">
            <v>0</v>
          </cell>
          <cell r="G138">
            <v>0</v>
          </cell>
          <cell r="H138">
            <v>0</v>
          </cell>
          <cell r="I138">
            <v>0</v>
          </cell>
          <cell r="J138">
            <v>0</v>
          </cell>
          <cell r="K138">
            <v>0</v>
          </cell>
          <cell r="L138">
            <v>0</v>
          </cell>
          <cell r="M138">
            <v>0</v>
          </cell>
          <cell r="N138">
            <v>0</v>
          </cell>
          <cell r="O138">
            <v>0</v>
          </cell>
          <cell r="P138">
            <v>0</v>
          </cell>
          <cell r="Q138">
            <v>0</v>
          </cell>
        </row>
        <row r="139">
          <cell r="F139">
            <v>13</v>
          </cell>
          <cell r="G139">
            <v>13</v>
          </cell>
          <cell r="H139">
            <v>4</v>
          </cell>
          <cell r="I139">
            <v>2</v>
          </cell>
          <cell r="J139">
            <v>9</v>
          </cell>
          <cell r="K139">
            <v>2</v>
          </cell>
          <cell r="L139">
            <v>1</v>
          </cell>
          <cell r="M139">
            <v>-12</v>
          </cell>
          <cell r="N139">
            <v>0</v>
          </cell>
          <cell r="O139">
            <v>0</v>
          </cell>
          <cell r="P139">
            <v>0</v>
          </cell>
          <cell r="Q139">
            <v>0</v>
          </cell>
        </row>
        <row r="140">
          <cell r="F140">
            <v>0</v>
          </cell>
          <cell r="G140">
            <v>0</v>
          </cell>
          <cell r="H140">
            <v>0</v>
          </cell>
          <cell r="I140">
            <v>0</v>
          </cell>
          <cell r="J140">
            <v>0</v>
          </cell>
          <cell r="K140">
            <v>0</v>
          </cell>
          <cell r="L140">
            <v>0</v>
          </cell>
          <cell r="M140">
            <v>0</v>
          </cell>
          <cell r="N140">
            <v>0</v>
          </cell>
          <cell r="O140">
            <v>0</v>
          </cell>
          <cell r="P140">
            <v>0</v>
          </cell>
          <cell r="Q140">
            <v>0</v>
          </cell>
        </row>
        <row r="141">
          <cell r="F141">
            <v>89</v>
          </cell>
          <cell r="G141">
            <v>67</v>
          </cell>
          <cell r="H141">
            <v>119</v>
          </cell>
          <cell r="I141">
            <v>82</v>
          </cell>
          <cell r="J141">
            <v>110</v>
          </cell>
          <cell r="K141">
            <v>80</v>
          </cell>
          <cell r="L141">
            <v>114</v>
          </cell>
          <cell r="M141">
            <v>143</v>
          </cell>
          <cell r="N141">
            <v>105</v>
          </cell>
          <cell r="O141">
            <v>103</v>
          </cell>
          <cell r="P141">
            <v>92</v>
          </cell>
          <cell r="Q141">
            <v>97</v>
          </cell>
        </row>
        <row r="142">
          <cell r="F142">
            <v>0</v>
          </cell>
          <cell r="G142">
            <v>0</v>
          </cell>
          <cell r="H142">
            <v>0</v>
          </cell>
          <cell r="I142">
            <v>0</v>
          </cell>
          <cell r="J142">
            <v>0</v>
          </cell>
          <cell r="K142">
            <v>0</v>
          </cell>
          <cell r="L142">
            <v>0</v>
          </cell>
          <cell r="M142">
            <v>0</v>
          </cell>
          <cell r="N142">
            <v>19</v>
          </cell>
          <cell r="O142">
            <v>18</v>
          </cell>
          <cell r="P142">
            <v>0</v>
          </cell>
          <cell r="Q142">
            <v>0</v>
          </cell>
        </row>
        <row r="143">
          <cell r="F143">
            <v>0</v>
          </cell>
          <cell r="G143">
            <v>0</v>
          </cell>
          <cell r="H143">
            <v>0</v>
          </cell>
          <cell r="I143">
            <v>0</v>
          </cell>
          <cell r="J143">
            <v>0</v>
          </cell>
          <cell r="K143">
            <v>0</v>
          </cell>
          <cell r="L143">
            <v>0</v>
          </cell>
          <cell r="M143">
            <v>0</v>
          </cell>
          <cell r="N143">
            <v>0</v>
          </cell>
          <cell r="O143">
            <v>0</v>
          </cell>
          <cell r="P143">
            <v>0</v>
          </cell>
          <cell r="Q143">
            <v>0</v>
          </cell>
        </row>
        <row r="144">
          <cell r="F144">
            <v>1659</v>
          </cell>
          <cell r="G144">
            <v>1754</v>
          </cell>
          <cell r="H144">
            <v>1626</v>
          </cell>
          <cell r="I144">
            <v>1961</v>
          </cell>
          <cell r="J144">
            <v>2433</v>
          </cell>
          <cell r="K144">
            <v>2239</v>
          </cell>
          <cell r="L144">
            <v>2015</v>
          </cell>
          <cell r="M144">
            <v>1235</v>
          </cell>
          <cell r="N144">
            <v>1201</v>
          </cell>
          <cell r="O144">
            <v>1963</v>
          </cell>
          <cell r="P144">
            <v>1984</v>
          </cell>
          <cell r="Q144">
            <v>2249</v>
          </cell>
        </row>
        <row r="146">
          <cell r="F146">
            <v>514</v>
          </cell>
          <cell r="G146">
            <v>465</v>
          </cell>
          <cell r="H146">
            <v>577</v>
          </cell>
          <cell r="I146">
            <v>654</v>
          </cell>
          <cell r="J146">
            <v>554</v>
          </cell>
          <cell r="K146">
            <v>569</v>
          </cell>
          <cell r="L146">
            <v>530</v>
          </cell>
          <cell r="M146">
            <v>501</v>
          </cell>
          <cell r="N146">
            <v>200</v>
          </cell>
          <cell r="O146">
            <v>110</v>
          </cell>
          <cell r="P146">
            <v>190</v>
          </cell>
          <cell r="Q146">
            <v>200</v>
          </cell>
        </row>
        <row r="147">
          <cell r="F147">
            <v>13</v>
          </cell>
          <cell r="G147">
            <v>6</v>
          </cell>
          <cell r="H147">
            <v>6</v>
          </cell>
          <cell r="I147">
            <v>8</v>
          </cell>
          <cell r="J147">
            <v>8</v>
          </cell>
          <cell r="K147">
            <v>-1</v>
          </cell>
          <cell r="L147">
            <v>15</v>
          </cell>
          <cell r="M147">
            <v>14</v>
          </cell>
          <cell r="N147">
            <v>7</v>
          </cell>
          <cell r="O147">
            <v>7</v>
          </cell>
          <cell r="P147">
            <v>7</v>
          </cell>
          <cell r="Q147">
            <v>7</v>
          </cell>
        </row>
        <row r="148">
          <cell r="F148">
            <v>0</v>
          </cell>
          <cell r="G148">
            <v>0</v>
          </cell>
          <cell r="H148">
            <v>0</v>
          </cell>
          <cell r="I148">
            <v>0</v>
          </cell>
          <cell r="J148">
            <v>0</v>
          </cell>
          <cell r="K148">
            <v>0</v>
          </cell>
          <cell r="L148">
            <v>0</v>
          </cell>
          <cell r="M148">
            <v>0</v>
          </cell>
          <cell r="N148">
            <v>0</v>
          </cell>
          <cell r="O148">
            <v>0</v>
          </cell>
          <cell r="P148">
            <v>0</v>
          </cell>
          <cell r="Q148">
            <v>0</v>
          </cell>
        </row>
        <row r="149">
          <cell r="F149">
            <v>430</v>
          </cell>
          <cell r="G149">
            <v>336</v>
          </cell>
          <cell r="H149">
            <v>178</v>
          </cell>
          <cell r="I149">
            <v>278</v>
          </cell>
          <cell r="J149">
            <v>353</v>
          </cell>
          <cell r="K149">
            <v>324</v>
          </cell>
          <cell r="L149">
            <v>268</v>
          </cell>
          <cell r="M149">
            <v>89</v>
          </cell>
          <cell r="N149">
            <v>150</v>
          </cell>
          <cell r="O149">
            <v>225</v>
          </cell>
          <cell r="P149">
            <v>225</v>
          </cell>
          <cell r="Q149">
            <v>225</v>
          </cell>
        </row>
        <row r="150">
          <cell r="F150">
            <v>0</v>
          </cell>
          <cell r="G150">
            <v>0</v>
          </cell>
          <cell r="H150">
            <v>0</v>
          </cell>
          <cell r="I150">
            <v>0</v>
          </cell>
          <cell r="J150">
            <v>0</v>
          </cell>
          <cell r="K150">
            <v>0</v>
          </cell>
          <cell r="L150">
            <v>0</v>
          </cell>
          <cell r="M150">
            <v>0</v>
          </cell>
          <cell r="N150">
            <v>0</v>
          </cell>
          <cell r="O150">
            <v>0</v>
          </cell>
          <cell r="P150">
            <v>0</v>
          </cell>
          <cell r="Q150">
            <v>0</v>
          </cell>
        </row>
        <row r="151">
          <cell r="F151">
            <v>105</v>
          </cell>
          <cell r="G151">
            <v>164</v>
          </cell>
          <cell r="H151">
            <v>107</v>
          </cell>
          <cell r="I151">
            <v>123</v>
          </cell>
          <cell r="J151">
            <v>100</v>
          </cell>
          <cell r="K151">
            <v>61</v>
          </cell>
          <cell r="L151">
            <v>150</v>
          </cell>
          <cell r="M151">
            <v>187</v>
          </cell>
          <cell r="N151">
            <v>50</v>
          </cell>
          <cell r="O151">
            <v>60</v>
          </cell>
          <cell r="P151">
            <v>60</v>
          </cell>
          <cell r="Q151">
            <v>60</v>
          </cell>
        </row>
        <row r="152">
          <cell r="F152">
            <v>0</v>
          </cell>
          <cell r="G152">
            <v>0</v>
          </cell>
          <cell r="H152">
            <v>0</v>
          </cell>
          <cell r="I152">
            <v>0</v>
          </cell>
          <cell r="J152">
            <v>0</v>
          </cell>
          <cell r="K152">
            <v>0</v>
          </cell>
          <cell r="L152">
            <v>0</v>
          </cell>
          <cell r="M152">
            <v>0</v>
          </cell>
          <cell r="N152">
            <v>0</v>
          </cell>
          <cell r="O152">
            <v>0</v>
          </cell>
          <cell r="P152">
            <v>0</v>
          </cell>
          <cell r="Q152">
            <v>0</v>
          </cell>
        </row>
        <row r="153">
          <cell r="F153">
            <v>10</v>
          </cell>
          <cell r="G153">
            <v>4</v>
          </cell>
          <cell r="H153">
            <v>18</v>
          </cell>
          <cell r="I153">
            <v>4</v>
          </cell>
          <cell r="J153">
            <v>8</v>
          </cell>
          <cell r="K153">
            <v>38</v>
          </cell>
          <cell r="L153">
            <v>42</v>
          </cell>
          <cell r="M153">
            <v>14</v>
          </cell>
          <cell r="N153">
            <v>11</v>
          </cell>
          <cell r="O153">
            <v>18</v>
          </cell>
          <cell r="P153">
            <v>22</v>
          </cell>
          <cell r="Q153">
            <v>34</v>
          </cell>
        </row>
        <row r="154">
          <cell r="F154">
            <v>35</v>
          </cell>
          <cell r="G154">
            <v>22</v>
          </cell>
          <cell r="H154">
            <v>52</v>
          </cell>
          <cell r="I154">
            <v>34</v>
          </cell>
          <cell r="J154">
            <v>39</v>
          </cell>
          <cell r="K154">
            <v>34</v>
          </cell>
          <cell r="L154">
            <v>49</v>
          </cell>
          <cell r="M154">
            <v>82</v>
          </cell>
          <cell r="N154">
            <v>50</v>
          </cell>
          <cell r="O154">
            <v>52</v>
          </cell>
          <cell r="P154">
            <v>47</v>
          </cell>
          <cell r="Q154">
            <v>49</v>
          </cell>
        </row>
        <row r="155">
          <cell r="F155">
            <v>9</v>
          </cell>
          <cell r="G155">
            <v>13</v>
          </cell>
          <cell r="H155">
            <v>8</v>
          </cell>
          <cell r="I155">
            <v>6</v>
          </cell>
          <cell r="J155">
            <v>11</v>
          </cell>
          <cell r="K155">
            <v>7</v>
          </cell>
          <cell r="L155">
            <v>5</v>
          </cell>
          <cell r="M155">
            <v>0</v>
          </cell>
          <cell r="N155">
            <v>11</v>
          </cell>
          <cell r="O155">
            <v>23</v>
          </cell>
          <cell r="P155">
            <v>20</v>
          </cell>
          <cell r="Q155">
            <v>22</v>
          </cell>
        </row>
        <row r="156">
          <cell r="F156">
            <v>0</v>
          </cell>
          <cell r="G156">
            <v>0</v>
          </cell>
          <cell r="H156">
            <v>0</v>
          </cell>
          <cell r="I156">
            <v>0</v>
          </cell>
          <cell r="J156">
            <v>0</v>
          </cell>
          <cell r="K156">
            <v>0</v>
          </cell>
          <cell r="L156">
            <v>0</v>
          </cell>
          <cell r="M156">
            <v>0</v>
          </cell>
          <cell r="N156">
            <v>0</v>
          </cell>
          <cell r="O156">
            <v>0</v>
          </cell>
          <cell r="P156">
            <v>0</v>
          </cell>
          <cell r="Q156">
            <v>0</v>
          </cell>
        </row>
        <row r="157">
          <cell r="F157">
            <v>0</v>
          </cell>
          <cell r="G157">
            <v>0</v>
          </cell>
          <cell r="H157">
            <v>0</v>
          </cell>
          <cell r="I157">
            <v>0</v>
          </cell>
          <cell r="J157">
            <v>0</v>
          </cell>
          <cell r="K157">
            <v>0</v>
          </cell>
          <cell r="L157">
            <v>0</v>
          </cell>
          <cell r="M157">
            <v>0</v>
          </cell>
          <cell r="N157">
            <v>0</v>
          </cell>
          <cell r="O157">
            <v>0</v>
          </cell>
          <cell r="P157">
            <v>0</v>
          </cell>
          <cell r="Q157">
            <v>0</v>
          </cell>
        </row>
        <row r="158">
          <cell r="F158">
            <v>1116</v>
          </cell>
          <cell r="G158">
            <v>1010</v>
          </cell>
          <cell r="H158">
            <v>946</v>
          </cell>
          <cell r="I158">
            <v>1107</v>
          </cell>
          <cell r="J158">
            <v>1073</v>
          </cell>
          <cell r="K158">
            <v>1032</v>
          </cell>
          <cell r="L158">
            <v>1059</v>
          </cell>
          <cell r="M158">
            <v>887</v>
          </cell>
          <cell r="N158">
            <v>479</v>
          </cell>
          <cell r="O158">
            <v>495</v>
          </cell>
          <cell r="P158">
            <v>571</v>
          </cell>
          <cell r="Q158">
            <v>597</v>
          </cell>
        </row>
        <row r="159">
          <cell r="F159">
            <v>5089</v>
          </cell>
          <cell r="G159">
            <v>5426</v>
          </cell>
          <cell r="H159">
            <v>5595</v>
          </cell>
          <cell r="I159">
            <v>5936</v>
          </cell>
          <cell r="J159">
            <v>6646</v>
          </cell>
          <cell r="K159">
            <v>5953</v>
          </cell>
          <cell r="L159">
            <v>6406</v>
          </cell>
          <cell r="M159">
            <v>5974</v>
          </cell>
          <cell r="N159">
            <v>3580</v>
          </cell>
          <cell r="O159">
            <v>5594</v>
          </cell>
          <cell r="P159">
            <v>5529</v>
          </cell>
          <cell r="Q159">
            <v>6169</v>
          </cell>
        </row>
        <row r="161">
          <cell r="F161">
            <v>31204</v>
          </cell>
          <cell r="G161">
            <v>30215</v>
          </cell>
          <cell r="H161">
            <v>32324</v>
          </cell>
          <cell r="I161">
            <v>35659</v>
          </cell>
          <cell r="J161">
            <v>38866</v>
          </cell>
          <cell r="K161">
            <v>33532</v>
          </cell>
          <cell r="L161">
            <v>36286</v>
          </cell>
          <cell r="M161">
            <v>36119</v>
          </cell>
          <cell r="N161">
            <v>21634</v>
          </cell>
          <cell r="O161">
            <v>40879</v>
          </cell>
          <cell r="P161">
            <v>36271</v>
          </cell>
          <cell r="Q161">
            <v>39832</v>
          </cell>
        </row>
        <row r="163">
          <cell r="F163" t="str">
            <v>NOV</v>
          </cell>
          <cell r="G163" t="str">
            <v>DEC</v>
          </cell>
          <cell r="H163" t="str">
            <v>JAN</v>
          </cell>
          <cell r="I163" t="str">
            <v>FEB</v>
          </cell>
          <cell r="J163" t="str">
            <v>MAR</v>
          </cell>
          <cell r="K163" t="str">
            <v>APR</v>
          </cell>
          <cell r="L163" t="str">
            <v>MAY</v>
          </cell>
          <cell r="M163" t="str">
            <v>JUN</v>
          </cell>
          <cell r="N163" t="str">
            <v>JUL</v>
          </cell>
          <cell r="O163" t="str">
            <v>AUG</v>
          </cell>
          <cell r="P163" t="str">
            <v>SEP</v>
          </cell>
          <cell r="Q163" t="str">
            <v>OCT</v>
          </cell>
        </row>
        <row r="164">
          <cell r="F164">
            <v>23267</v>
          </cell>
          <cell r="G164">
            <v>22636</v>
          </cell>
          <cell r="H164">
            <v>24157</v>
          </cell>
          <cell r="I164">
            <v>26898</v>
          </cell>
          <cell r="J164">
            <v>29303</v>
          </cell>
          <cell r="K164">
            <v>25531</v>
          </cell>
          <cell r="L164">
            <v>26951</v>
          </cell>
          <cell r="M164">
            <v>28343</v>
          </cell>
          <cell r="N164">
            <v>16916</v>
          </cell>
          <cell r="O164">
            <v>33021</v>
          </cell>
          <cell r="P164">
            <v>28503</v>
          </cell>
          <cell r="Q164">
            <v>31047</v>
          </cell>
        </row>
        <row r="165">
          <cell r="F165">
            <v>16</v>
          </cell>
          <cell r="G165">
            <v>13</v>
          </cell>
          <cell r="H165">
            <v>13</v>
          </cell>
          <cell r="I165">
            <v>12</v>
          </cell>
          <cell r="J165">
            <v>14</v>
          </cell>
          <cell r="K165">
            <v>17</v>
          </cell>
          <cell r="L165">
            <v>9</v>
          </cell>
          <cell r="M165">
            <v>9</v>
          </cell>
          <cell r="N165">
            <v>0</v>
          </cell>
          <cell r="O165">
            <v>0</v>
          </cell>
          <cell r="P165">
            <v>0</v>
          </cell>
          <cell r="Q165">
            <v>0</v>
          </cell>
        </row>
        <row r="166">
          <cell r="F166">
            <v>0</v>
          </cell>
          <cell r="G166">
            <v>54</v>
          </cell>
          <cell r="H166">
            <v>0</v>
          </cell>
          <cell r="I166">
            <v>56</v>
          </cell>
          <cell r="J166">
            <v>1</v>
          </cell>
          <cell r="K166">
            <v>0</v>
          </cell>
          <cell r="L166">
            <v>27</v>
          </cell>
          <cell r="M166">
            <v>29</v>
          </cell>
          <cell r="N166">
            <v>0</v>
          </cell>
          <cell r="O166">
            <v>28</v>
          </cell>
          <cell r="P166">
            <v>28</v>
          </cell>
          <cell r="Q166">
            <v>28</v>
          </cell>
        </row>
        <row r="167">
          <cell r="F167">
            <v>0</v>
          </cell>
          <cell r="G167">
            <v>0</v>
          </cell>
          <cell r="H167">
            <v>0</v>
          </cell>
          <cell r="I167">
            <v>0</v>
          </cell>
          <cell r="J167">
            <v>23</v>
          </cell>
          <cell r="K167">
            <v>69</v>
          </cell>
          <cell r="L167">
            <v>48</v>
          </cell>
          <cell r="M167">
            <v>54</v>
          </cell>
          <cell r="N167">
            <v>36</v>
          </cell>
          <cell r="O167">
            <v>23</v>
          </cell>
          <cell r="P167">
            <v>21</v>
          </cell>
          <cell r="Q167">
            <v>22</v>
          </cell>
        </row>
        <row r="168">
          <cell r="F168">
            <v>0</v>
          </cell>
          <cell r="G168">
            <v>0</v>
          </cell>
          <cell r="H168">
            <v>0</v>
          </cell>
          <cell r="I168">
            <v>0</v>
          </cell>
          <cell r="J168">
            <v>0</v>
          </cell>
          <cell r="K168">
            <v>0</v>
          </cell>
          <cell r="L168">
            <v>0</v>
          </cell>
          <cell r="M168">
            <v>0</v>
          </cell>
          <cell r="N168">
            <v>0</v>
          </cell>
          <cell r="O168">
            <v>0</v>
          </cell>
          <cell r="P168">
            <v>0</v>
          </cell>
          <cell r="Q168">
            <v>0</v>
          </cell>
        </row>
        <row r="169">
          <cell r="F169">
            <v>0</v>
          </cell>
          <cell r="G169">
            <v>20</v>
          </cell>
          <cell r="H169">
            <v>0</v>
          </cell>
          <cell r="I169">
            <v>26</v>
          </cell>
          <cell r="J169">
            <v>0</v>
          </cell>
          <cell r="K169">
            <v>2</v>
          </cell>
          <cell r="L169">
            <v>20</v>
          </cell>
          <cell r="M169">
            <v>20</v>
          </cell>
          <cell r="N169">
            <v>0</v>
          </cell>
          <cell r="O169">
            <v>0</v>
          </cell>
          <cell r="P169">
            <v>0</v>
          </cell>
          <cell r="Q169">
            <v>0</v>
          </cell>
        </row>
        <row r="170">
          <cell r="F170">
            <v>436</v>
          </cell>
          <cell r="G170">
            <v>336</v>
          </cell>
          <cell r="H170">
            <v>178</v>
          </cell>
          <cell r="I170">
            <v>278</v>
          </cell>
          <cell r="J170">
            <v>353</v>
          </cell>
          <cell r="K170">
            <v>324</v>
          </cell>
          <cell r="L170">
            <v>268</v>
          </cell>
          <cell r="M170">
            <v>89</v>
          </cell>
          <cell r="N170">
            <v>150</v>
          </cell>
          <cell r="O170">
            <v>225</v>
          </cell>
          <cell r="P170">
            <v>225</v>
          </cell>
          <cell r="Q170">
            <v>225</v>
          </cell>
        </row>
        <row r="171">
          <cell r="F171">
            <v>0</v>
          </cell>
          <cell r="G171">
            <v>0</v>
          </cell>
          <cell r="H171">
            <v>0</v>
          </cell>
          <cell r="I171">
            <v>0</v>
          </cell>
          <cell r="J171">
            <v>0</v>
          </cell>
          <cell r="K171">
            <v>0</v>
          </cell>
          <cell r="L171">
            <v>0</v>
          </cell>
          <cell r="M171">
            <v>0</v>
          </cell>
          <cell r="N171">
            <v>0</v>
          </cell>
          <cell r="O171">
            <v>0</v>
          </cell>
          <cell r="P171">
            <v>0</v>
          </cell>
          <cell r="Q171">
            <v>0</v>
          </cell>
        </row>
        <row r="172">
          <cell r="F172">
            <v>141</v>
          </cell>
          <cell r="G172">
            <v>203</v>
          </cell>
          <cell r="H172">
            <v>139</v>
          </cell>
          <cell r="I172">
            <v>144</v>
          </cell>
          <cell r="J172">
            <v>114</v>
          </cell>
          <cell r="K172">
            <v>94</v>
          </cell>
          <cell r="L172">
            <v>195</v>
          </cell>
          <cell r="M172">
            <v>249</v>
          </cell>
          <cell r="N172">
            <v>100</v>
          </cell>
          <cell r="O172">
            <v>120</v>
          </cell>
          <cell r="P172">
            <v>120</v>
          </cell>
          <cell r="Q172">
            <v>120</v>
          </cell>
        </row>
        <row r="173">
          <cell r="F173">
            <v>0</v>
          </cell>
          <cell r="G173">
            <v>0</v>
          </cell>
          <cell r="H173">
            <v>16</v>
          </cell>
          <cell r="I173">
            <v>0</v>
          </cell>
          <cell r="J173">
            <v>0</v>
          </cell>
          <cell r="K173">
            <v>0</v>
          </cell>
          <cell r="L173">
            <v>0</v>
          </cell>
          <cell r="M173">
            <v>0</v>
          </cell>
          <cell r="N173">
            <v>0</v>
          </cell>
          <cell r="O173">
            <v>0</v>
          </cell>
          <cell r="P173">
            <v>0</v>
          </cell>
          <cell r="Q173">
            <v>0</v>
          </cell>
        </row>
        <row r="174">
          <cell r="F174">
            <v>23860</v>
          </cell>
          <cell r="G174">
            <v>23262</v>
          </cell>
          <cell r="H174">
            <v>24503</v>
          </cell>
          <cell r="I174">
            <v>27414</v>
          </cell>
          <cell r="J174">
            <v>29808</v>
          </cell>
          <cell r="K174">
            <v>26037</v>
          </cell>
          <cell r="L174">
            <v>27518</v>
          </cell>
          <cell r="M174">
            <v>28793</v>
          </cell>
          <cell r="N174">
            <v>17202</v>
          </cell>
          <cell r="O174">
            <v>33417</v>
          </cell>
          <cell r="P174">
            <v>28897</v>
          </cell>
          <cell r="Q174">
            <v>31442</v>
          </cell>
        </row>
        <row r="176">
          <cell r="F176">
            <v>2550</v>
          </cell>
          <cell r="G176">
            <v>1820</v>
          </cell>
          <cell r="H176">
            <v>2303</v>
          </cell>
          <cell r="I176">
            <v>2468</v>
          </cell>
          <cell r="J176">
            <v>2681</v>
          </cell>
          <cell r="K176">
            <v>1832</v>
          </cell>
          <cell r="L176">
            <v>2660</v>
          </cell>
          <cell r="M176">
            <v>1365</v>
          </cell>
          <cell r="N176">
            <v>917</v>
          </cell>
          <cell r="O176">
            <v>1746</v>
          </cell>
          <cell r="P176">
            <v>1778</v>
          </cell>
          <cell r="Q176">
            <v>1969</v>
          </cell>
        </row>
        <row r="177">
          <cell r="F177">
            <v>3917</v>
          </cell>
          <cell r="G177">
            <v>4323</v>
          </cell>
          <cell r="H177">
            <v>4639</v>
          </cell>
          <cell r="I177">
            <v>4901</v>
          </cell>
          <cell r="J177">
            <v>5429</v>
          </cell>
          <cell r="K177">
            <v>4850</v>
          </cell>
          <cell r="L177">
            <v>5055</v>
          </cell>
          <cell r="M177">
            <v>4301</v>
          </cell>
          <cell r="N177">
            <v>2428</v>
          </cell>
          <cell r="O177">
            <v>4155</v>
          </cell>
          <cell r="P177">
            <v>4350</v>
          </cell>
          <cell r="Q177">
            <v>4891</v>
          </cell>
        </row>
        <row r="178">
          <cell r="F178">
            <v>24</v>
          </cell>
          <cell r="G178">
            <v>18</v>
          </cell>
          <cell r="H178">
            <v>9</v>
          </cell>
          <cell r="I178">
            <v>36</v>
          </cell>
          <cell r="J178">
            <v>23</v>
          </cell>
          <cell r="K178">
            <v>5</v>
          </cell>
          <cell r="L178">
            <v>23</v>
          </cell>
          <cell r="M178">
            <v>41</v>
          </cell>
          <cell r="N178">
            <v>14</v>
          </cell>
          <cell r="O178">
            <v>14</v>
          </cell>
          <cell r="P178">
            <v>14</v>
          </cell>
          <cell r="Q178">
            <v>14</v>
          </cell>
        </row>
        <row r="179">
          <cell r="F179">
            <v>387</v>
          </cell>
          <cell r="G179">
            <v>394</v>
          </cell>
          <cell r="H179">
            <v>334</v>
          </cell>
          <cell r="I179">
            <v>306</v>
          </cell>
          <cell r="J179">
            <v>360</v>
          </cell>
          <cell r="K179">
            <v>369</v>
          </cell>
          <cell r="L179">
            <v>425</v>
          </cell>
          <cell r="M179">
            <v>706</v>
          </cell>
          <cell r="N179">
            <v>397</v>
          </cell>
          <cell r="O179">
            <v>852</v>
          </cell>
          <cell r="P179">
            <v>670</v>
          </cell>
          <cell r="Q179">
            <v>926</v>
          </cell>
        </row>
        <row r="180">
          <cell r="F180">
            <v>457</v>
          </cell>
          <cell r="G180">
            <v>361</v>
          </cell>
          <cell r="H180">
            <v>528</v>
          </cell>
          <cell r="I180">
            <v>528</v>
          </cell>
          <cell r="J180">
            <v>554</v>
          </cell>
          <cell r="K180">
            <v>432</v>
          </cell>
          <cell r="L180">
            <v>552</v>
          </cell>
          <cell r="M180">
            <v>841</v>
          </cell>
          <cell r="N180">
            <v>590</v>
          </cell>
          <cell r="O180">
            <v>602</v>
          </cell>
          <cell r="P180">
            <v>542</v>
          </cell>
          <cell r="Q180">
            <v>568</v>
          </cell>
        </row>
        <row r="181">
          <cell r="F181">
            <v>0</v>
          </cell>
          <cell r="G181">
            <v>24</v>
          </cell>
          <cell r="H181">
            <v>0</v>
          </cell>
          <cell r="I181">
            <v>0</v>
          </cell>
          <cell r="J181">
            <v>0</v>
          </cell>
          <cell r="K181">
            <v>0</v>
          </cell>
          <cell r="L181">
            <v>48</v>
          </cell>
          <cell r="M181">
            <v>72</v>
          </cell>
          <cell r="N181">
            <v>75</v>
          </cell>
          <cell r="O181">
            <v>70</v>
          </cell>
          <cell r="P181">
            <v>0</v>
          </cell>
          <cell r="Q181">
            <v>0</v>
          </cell>
        </row>
        <row r="182">
          <cell r="F182">
            <v>9</v>
          </cell>
          <cell r="G182">
            <v>13</v>
          </cell>
          <cell r="H182">
            <v>8</v>
          </cell>
          <cell r="I182">
            <v>6</v>
          </cell>
          <cell r="J182">
            <v>11</v>
          </cell>
          <cell r="K182">
            <v>7</v>
          </cell>
          <cell r="L182">
            <v>5</v>
          </cell>
          <cell r="M182">
            <v>0</v>
          </cell>
          <cell r="N182">
            <v>11</v>
          </cell>
          <cell r="O182">
            <v>23</v>
          </cell>
          <cell r="P182">
            <v>20</v>
          </cell>
          <cell r="Q182">
            <v>22</v>
          </cell>
        </row>
        <row r="183">
          <cell r="F183">
            <v>0</v>
          </cell>
          <cell r="G183">
            <v>0</v>
          </cell>
          <cell r="H183">
            <v>0</v>
          </cell>
          <cell r="I183">
            <v>0</v>
          </cell>
          <cell r="J183">
            <v>0</v>
          </cell>
          <cell r="K183">
            <v>0</v>
          </cell>
          <cell r="L183">
            <v>0</v>
          </cell>
          <cell r="M183">
            <v>0</v>
          </cell>
          <cell r="N183">
            <v>0</v>
          </cell>
          <cell r="O183">
            <v>0</v>
          </cell>
          <cell r="P183">
            <v>0</v>
          </cell>
          <cell r="Q183">
            <v>0</v>
          </cell>
        </row>
        <row r="184">
          <cell r="F184">
            <v>7344</v>
          </cell>
          <cell r="G184">
            <v>6953</v>
          </cell>
          <cell r="H184">
            <v>7821</v>
          </cell>
          <cell r="I184">
            <v>8245</v>
          </cell>
          <cell r="J184">
            <v>9058</v>
          </cell>
          <cell r="K184">
            <v>7495</v>
          </cell>
          <cell r="L184">
            <v>8768</v>
          </cell>
          <cell r="M184">
            <v>7326</v>
          </cell>
          <cell r="N184">
            <v>4432</v>
          </cell>
          <cell r="O184">
            <v>7462</v>
          </cell>
          <cell r="P184">
            <v>7374</v>
          </cell>
          <cell r="Q184">
            <v>8390</v>
          </cell>
        </row>
        <row r="186">
          <cell r="F186">
            <v>31204</v>
          </cell>
          <cell r="G186">
            <v>30215</v>
          </cell>
          <cell r="H186">
            <v>32324</v>
          </cell>
          <cell r="I186">
            <v>35659</v>
          </cell>
          <cell r="J186">
            <v>38866</v>
          </cell>
          <cell r="K186">
            <v>33532</v>
          </cell>
          <cell r="L186">
            <v>36286</v>
          </cell>
          <cell r="M186">
            <v>36119</v>
          </cell>
          <cell r="N186">
            <v>21634</v>
          </cell>
          <cell r="O186">
            <v>40879</v>
          </cell>
          <cell r="P186">
            <v>36271</v>
          </cell>
          <cell r="Q186">
            <v>39832</v>
          </cell>
        </row>
        <row r="190">
          <cell r="F190">
            <v>2832</v>
          </cell>
          <cell r="G190">
            <v>2066</v>
          </cell>
          <cell r="H190">
            <v>2559</v>
          </cell>
          <cell r="I190">
            <v>2724</v>
          </cell>
          <cell r="J190">
            <v>2873</v>
          </cell>
          <cell r="K190">
            <v>1960</v>
          </cell>
          <cell r="L190">
            <v>2820</v>
          </cell>
          <cell r="M190">
            <v>1685</v>
          </cell>
          <cell r="N190">
            <v>1102</v>
          </cell>
          <cell r="O190">
            <v>2213</v>
          </cell>
          <cell r="P190">
            <v>2190</v>
          </cell>
          <cell r="Q190">
            <v>2566</v>
          </cell>
        </row>
        <row r="191">
          <cell r="F191">
            <v>4031</v>
          </cell>
          <cell r="G191">
            <v>4484</v>
          </cell>
          <cell r="H191">
            <v>4725</v>
          </cell>
          <cell r="I191">
            <v>4957</v>
          </cell>
          <cell r="J191">
            <v>5608</v>
          </cell>
          <cell r="K191">
            <v>5098</v>
          </cell>
          <cell r="L191">
            <v>5325</v>
          </cell>
          <cell r="M191">
            <v>4687</v>
          </cell>
          <cell r="N191">
            <v>2651</v>
          </cell>
          <cell r="O191">
            <v>4563</v>
          </cell>
          <cell r="P191">
            <v>4628</v>
          </cell>
          <cell r="Q191">
            <v>5242</v>
          </cell>
        </row>
        <row r="192">
          <cell r="F192">
            <v>0</v>
          </cell>
          <cell r="G192">
            <v>0</v>
          </cell>
          <cell r="H192">
            <v>0</v>
          </cell>
          <cell r="I192">
            <v>0</v>
          </cell>
          <cell r="J192">
            <v>0</v>
          </cell>
          <cell r="K192">
            <v>0</v>
          </cell>
          <cell r="L192">
            <v>0</v>
          </cell>
          <cell r="M192">
            <v>0</v>
          </cell>
          <cell r="N192">
            <v>0</v>
          </cell>
          <cell r="O192">
            <v>0</v>
          </cell>
          <cell r="P192">
            <v>0</v>
          </cell>
          <cell r="Q192">
            <v>0</v>
          </cell>
        </row>
        <row r="193">
          <cell r="F193">
            <v>457</v>
          </cell>
          <cell r="G193">
            <v>361</v>
          </cell>
          <cell r="H193">
            <v>528</v>
          </cell>
          <cell r="I193">
            <v>528</v>
          </cell>
          <cell r="J193">
            <v>554</v>
          </cell>
          <cell r="K193">
            <v>432</v>
          </cell>
          <cell r="L193">
            <v>552</v>
          </cell>
          <cell r="M193">
            <v>841</v>
          </cell>
          <cell r="N193">
            <v>590</v>
          </cell>
          <cell r="O193">
            <v>602</v>
          </cell>
          <cell r="P193">
            <v>542</v>
          </cell>
          <cell r="Q193">
            <v>568</v>
          </cell>
        </row>
        <row r="194">
          <cell r="F194">
            <v>0</v>
          </cell>
          <cell r="G194">
            <v>24</v>
          </cell>
          <cell r="H194">
            <v>0</v>
          </cell>
          <cell r="I194">
            <v>0</v>
          </cell>
          <cell r="J194">
            <v>0</v>
          </cell>
          <cell r="K194">
            <v>0</v>
          </cell>
          <cell r="L194">
            <v>48</v>
          </cell>
          <cell r="M194">
            <v>72</v>
          </cell>
          <cell r="N194">
            <v>75</v>
          </cell>
          <cell r="O194">
            <v>70</v>
          </cell>
          <cell r="P194">
            <v>0</v>
          </cell>
          <cell r="Q194">
            <v>0</v>
          </cell>
        </row>
        <row r="195">
          <cell r="F195">
            <v>24</v>
          </cell>
          <cell r="G195">
            <v>18</v>
          </cell>
          <cell r="H195">
            <v>9</v>
          </cell>
          <cell r="I195">
            <v>36</v>
          </cell>
          <cell r="J195">
            <v>23</v>
          </cell>
          <cell r="K195">
            <v>5</v>
          </cell>
          <cell r="L195">
            <v>23</v>
          </cell>
          <cell r="M195">
            <v>41</v>
          </cell>
          <cell r="N195">
            <v>14</v>
          </cell>
          <cell r="O195">
            <v>14</v>
          </cell>
          <cell r="P195">
            <v>14</v>
          </cell>
          <cell r="Q195">
            <v>14</v>
          </cell>
        </row>
        <row r="196">
          <cell r="F196">
            <v>23283</v>
          </cell>
          <cell r="G196">
            <v>22649</v>
          </cell>
          <cell r="H196">
            <v>24170</v>
          </cell>
          <cell r="I196">
            <v>26910</v>
          </cell>
          <cell r="J196">
            <v>29317</v>
          </cell>
          <cell r="K196">
            <v>25548</v>
          </cell>
          <cell r="L196">
            <v>26960</v>
          </cell>
          <cell r="M196">
            <v>28352</v>
          </cell>
          <cell r="N196">
            <v>16916</v>
          </cell>
          <cell r="O196">
            <v>33021</v>
          </cell>
          <cell r="P196">
            <v>28503</v>
          </cell>
          <cell r="Q196">
            <v>31047</v>
          </cell>
        </row>
        <row r="197">
          <cell r="F197">
            <v>0</v>
          </cell>
          <cell r="G197">
            <v>74</v>
          </cell>
          <cell r="H197">
            <v>0</v>
          </cell>
          <cell r="I197">
            <v>82</v>
          </cell>
          <cell r="J197">
            <v>24</v>
          </cell>
          <cell r="K197">
            <v>71</v>
          </cell>
          <cell r="L197">
            <v>95</v>
          </cell>
          <cell r="M197">
            <v>103</v>
          </cell>
          <cell r="N197">
            <v>36</v>
          </cell>
          <cell r="O197">
            <v>51</v>
          </cell>
          <cell r="P197">
            <v>49</v>
          </cell>
          <cell r="Q197">
            <v>50</v>
          </cell>
        </row>
        <row r="198">
          <cell r="F198">
            <v>436</v>
          </cell>
          <cell r="G198">
            <v>336</v>
          </cell>
          <cell r="H198">
            <v>178</v>
          </cell>
          <cell r="I198">
            <v>278</v>
          </cell>
          <cell r="J198">
            <v>353</v>
          </cell>
          <cell r="K198">
            <v>324</v>
          </cell>
          <cell r="L198">
            <v>268</v>
          </cell>
          <cell r="M198">
            <v>89</v>
          </cell>
          <cell r="N198">
            <v>150</v>
          </cell>
          <cell r="O198">
            <v>225</v>
          </cell>
          <cell r="P198">
            <v>225</v>
          </cell>
          <cell r="Q198">
            <v>225</v>
          </cell>
        </row>
        <row r="200">
          <cell r="F200">
            <v>31063</v>
          </cell>
          <cell r="G200">
            <v>30012</v>
          </cell>
          <cell r="H200">
            <v>32169</v>
          </cell>
          <cell r="I200">
            <v>35515</v>
          </cell>
          <cell r="J200">
            <v>38752</v>
          </cell>
          <cell r="K200">
            <v>33438</v>
          </cell>
          <cell r="L200">
            <v>36091</v>
          </cell>
          <cell r="M200">
            <v>35870</v>
          </cell>
          <cell r="N200">
            <v>21534</v>
          </cell>
          <cell r="O200">
            <v>40759</v>
          </cell>
          <cell r="P200">
            <v>36151</v>
          </cell>
          <cell r="Q200">
            <v>39712</v>
          </cell>
        </row>
        <row r="202">
          <cell r="F202">
            <v>7320</v>
          </cell>
          <cell r="G202">
            <v>6935</v>
          </cell>
          <cell r="H202">
            <v>7812</v>
          </cell>
          <cell r="I202">
            <v>8209</v>
          </cell>
          <cell r="J202">
            <v>9035</v>
          </cell>
          <cell r="K202">
            <v>7490</v>
          </cell>
          <cell r="L202">
            <v>8745</v>
          </cell>
          <cell r="M202">
            <v>7285</v>
          </cell>
          <cell r="N202">
            <v>4418</v>
          </cell>
          <cell r="O202">
            <v>7448</v>
          </cell>
          <cell r="P202">
            <v>7360</v>
          </cell>
          <cell r="Q202">
            <v>8376</v>
          </cell>
        </row>
        <row r="204">
          <cell r="F204">
            <v>1305.75</v>
          </cell>
          <cell r="G204">
            <v>1458.1764705882354</v>
          </cell>
          <cell r="H204">
            <v>1406.7894736842106</v>
          </cell>
          <cell r="I204">
            <v>1415.3809523809523</v>
          </cell>
          <cell r="J204">
            <v>1396.1739130434783</v>
          </cell>
          <cell r="K204">
            <v>1407.9473684210527</v>
          </cell>
          <cell r="L204">
            <v>1302.909090909091</v>
          </cell>
          <cell r="M204">
            <v>1460.25</v>
          </cell>
          <cell r="N204">
            <v>1414.909090909091</v>
          </cell>
          <cell r="O204">
            <v>1421.0869565217392</v>
          </cell>
          <cell r="P204">
            <v>1417.1</v>
          </cell>
          <cell r="Q204">
            <v>1421.0454545454545</v>
          </cell>
        </row>
        <row r="205">
          <cell r="F205">
            <v>254.45</v>
          </cell>
          <cell r="G205">
            <v>319.1764705882353</v>
          </cell>
          <cell r="H205">
            <v>294.4736842105263</v>
          </cell>
          <cell r="I205">
            <v>282.66666666666669</v>
          </cell>
          <cell r="J205">
            <v>288.95652173913044</v>
          </cell>
          <cell r="K205">
            <v>313.31578947368422</v>
          </cell>
          <cell r="L205">
            <v>291.18181818181819</v>
          </cell>
          <cell r="M205">
            <v>298.7</v>
          </cell>
          <cell r="N205">
            <v>325.45454545454544</v>
          </cell>
          <cell r="O205">
            <v>310.77777777777777</v>
          </cell>
          <cell r="P205">
            <v>276.45</v>
          </cell>
          <cell r="Q205">
            <v>280.40909090909093</v>
          </cell>
        </row>
        <row r="206">
          <cell r="F206">
            <v>1560.2</v>
          </cell>
          <cell r="G206">
            <v>1777.3529411764705</v>
          </cell>
          <cell r="H206">
            <v>1701.2631578947369</v>
          </cell>
          <cell r="I206">
            <v>1698.047619047619</v>
          </cell>
          <cell r="J206">
            <v>1689.8260869565217</v>
          </cell>
          <cell r="K206">
            <v>1764.8421052631579</v>
          </cell>
          <cell r="L206">
            <v>1649.3636363636363</v>
          </cell>
          <cell r="M206">
            <v>1805.95</v>
          </cell>
          <cell r="N206">
            <v>1966.7272727272727</v>
          </cell>
          <cell r="O206">
            <v>1777.3478260869565</v>
          </cell>
          <cell r="P206">
            <v>1813.55</v>
          </cell>
          <cell r="Q206">
            <v>1810.5454545454545</v>
          </cell>
        </row>
        <row r="210">
          <cell r="F210" t="str">
            <v>NOV</v>
          </cell>
          <cell r="G210" t="str">
            <v>DEC</v>
          </cell>
          <cell r="H210" t="str">
            <v>JAN</v>
          </cell>
          <cell r="I210" t="str">
            <v>FEB</v>
          </cell>
          <cell r="J210" t="str">
            <v>MAR</v>
          </cell>
          <cell r="K210" t="str">
            <v>APR</v>
          </cell>
          <cell r="L210" t="str">
            <v>MAY</v>
          </cell>
          <cell r="M210" t="str">
            <v>JUN</v>
          </cell>
          <cell r="N210" t="str">
            <v>JUL</v>
          </cell>
          <cell r="O210" t="str">
            <v>AUG</v>
          </cell>
          <cell r="P210" t="str">
            <v>SEP</v>
          </cell>
          <cell r="Q210" t="str">
            <v>OCT</v>
          </cell>
        </row>
        <row r="213">
          <cell r="F213">
            <v>10805</v>
          </cell>
          <cell r="G213">
            <v>9664</v>
          </cell>
          <cell r="H213">
            <v>10394</v>
          </cell>
          <cell r="I213">
            <v>11779</v>
          </cell>
          <cell r="J213">
            <v>13291</v>
          </cell>
          <cell r="K213">
            <v>10509</v>
          </cell>
          <cell r="L213">
            <v>12049</v>
          </cell>
          <cell r="M213">
            <v>11262</v>
          </cell>
          <cell r="N213">
            <v>5994</v>
          </cell>
          <cell r="O213">
            <v>12532</v>
          </cell>
          <cell r="P213">
            <v>10407</v>
          </cell>
          <cell r="Q213">
            <v>11448</v>
          </cell>
        </row>
        <row r="214">
          <cell r="F214">
            <v>2456</v>
          </cell>
          <cell r="G214">
            <v>2216</v>
          </cell>
          <cell r="H214">
            <v>2953</v>
          </cell>
          <cell r="I214">
            <v>2955</v>
          </cell>
          <cell r="J214">
            <v>3421</v>
          </cell>
          <cell r="K214">
            <v>2693</v>
          </cell>
          <cell r="L214">
            <v>2733</v>
          </cell>
          <cell r="M214">
            <v>2442</v>
          </cell>
          <cell r="N214">
            <v>1313</v>
          </cell>
          <cell r="O214">
            <v>2416</v>
          </cell>
          <cell r="P214">
            <v>2256</v>
          </cell>
          <cell r="Q214">
            <v>2314</v>
          </cell>
        </row>
        <row r="215">
          <cell r="F215">
            <v>13261</v>
          </cell>
          <cell r="G215">
            <v>11880</v>
          </cell>
          <cell r="H215">
            <v>13347</v>
          </cell>
          <cell r="I215">
            <v>14734</v>
          </cell>
          <cell r="J215">
            <v>16712</v>
          </cell>
          <cell r="K215">
            <v>13202</v>
          </cell>
          <cell r="L215">
            <v>14782</v>
          </cell>
          <cell r="M215">
            <v>13704</v>
          </cell>
          <cell r="N215">
            <v>7307</v>
          </cell>
          <cell r="O215">
            <v>14948</v>
          </cell>
          <cell r="P215">
            <v>12663</v>
          </cell>
          <cell r="Q215">
            <v>13762</v>
          </cell>
        </row>
        <row r="220">
          <cell r="F220">
            <v>0</v>
          </cell>
          <cell r="G220">
            <v>0</v>
          </cell>
          <cell r="H220">
            <v>0</v>
          </cell>
          <cell r="I220">
            <v>0</v>
          </cell>
          <cell r="J220">
            <v>0</v>
          </cell>
          <cell r="K220">
            <v>0</v>
          </cell>
          <cell r="L220">
            <v>0</v>
          </cell>
          <cell r="M220">
            <v>0</v>
          </cell>
          <cell r="N220">
            <v>0</v>
          </cell>
          <cell r="O220">
            <v>0</v>
          </cell>
          <cell r="P220">
            <v>0</v>
          </cell>
          <cell r="Q220">
            <v>0</v>
          </cell>
        </row>
        <row r="221">
          <cell r="F221">
            <v>11126</v>
          </cell>
          <cell r="G221">
            <v>8999</v>
          </cell>
          <cell r="H221">
            <v>9911</v>
          </cell>
          <cell r="I221">
            <v>11226</v>
          </cell>
          <cell r="J221">
            <v>12241</v>
          </cell>
          <cell r="K221">
            <v>10877</v>
          </cell>
          <cell r="L221">
            <v>11477</v>
          </cell>
          <cell r="M221">
            <v>11198</v>
          </cell>
          <cell r="N221">
            <v>5940</v>
          </cell>
          <cell r="O221">
            <v>12425</v>
          </cell>
          <cell r="P221">
            <v>10327</v>
          </cell>
          <cell r="Q221">
            <v>11359</v>
          </cell>
        </row>
        <row r="222">
          <cell r="F222">
            <v>11126</v>
          </cell>
          <cell r="G222">
            <v>8999</v>
          </cell>
          <cell r="H222">
            <v>9911</v>
          </cell>
          <cell r="I222">
            <v>11226</v>
          </cell>
          <cell r="J222">
            <v>12241</v>
          </cell>
          <cell r="K222">
            <v>10877</v>
          </cell>
          <cell r="L222">
            <v>11477</v>
          </cell>
          <cell r="M222">
            <v>11198</v>
          </cell>
          <cell r="N222">
            <v>5940</v>
          </cell>
          <cell r="O222">
            <v>12425</v>
          </cell>
          <cell r="P222">
            <v>10327</v>
          </cell>
          <cell r="Q222">
            <v>11359</v>
          </cell>
        </row>
        <row r="225">
          <cell r="F225">
            <v>683</v>
          </cell>
          <cell r="G225">
            <v>636</v>
          </cell>
          <cell r="H225">
            <v>609</v>
          </cell>
          <cell r="I225">
            <v>607</v>
          </cell>
          <cell r="J225">
            <v>672</v>
          </cell>
          <cell r="K225">
            <v>528</v>
          </cell>
          <cell r="L225">
            <v>619</v>
          </cell>
          <cell r="M225">
            <v>592</v>
          </cell>
          <cell r="N225">
            <v>367</v>
          </cell>
          <cell r="O225">
            <v>767</v>
          </cell>
          <cell r="P225">
            <v>667</v>
          </cell>
          <cell r="Q225">
            <v>561</v>
          </cell>
        </row>
        <row r="226">
          <cell r="F226">
            <v>1947</v>
          </cell>
          <cell r="G226">
            <v>1610</v>
          </cell>
          <cell r="H226">
            <v>1862</v>
          </cell>
          <cell r="I226">
            <v>1856</v>
          </cell>
          <cell r="J226">
            <v>2062</v>
          </cell>
          <cell r="K226">
            <v>1687</v>
          </cell>
          <cell r="L226">
            <v>1700</v>
          </cell>
          <cell r="M226">
            <v>1537</v>
          </cell>
          <cell r="N226">
            <v>947</v>
          </cell>
          <cell r="O226">
            <v>1651</v>
          </cell>
          <cell r="P226">
            <v>1589</v>
          </cell>
          <cell r="Q226">
            <v>1753</v>
          </cell>
        </row>
        <row r="227">
          <cell r="F227">
            <v>2630</v>
          </cell>
          <cell r="G227">
            <v>2246</v>
          </cell>
          <cell r="H227">
            <v>2471</v>
          </cell>
          <cell r="I227">
            <v>2463</v>
          </cell>
          <cell r="J227">
            <v>2734</v>
          </cell>
          <cell r="K227">
            <v>2215</v>
          </cell>
          <cell r="L227">
            <v>2319</v>
          </cell>
          <cell r="M227">
            <v>2129</v>
          </cell>
          <cell r="N227">
            <v>1314</v>
          </cell>
          <cell r="O227">
            <v>2418</v>
          </cell>
          <cell r="P227">
            <v>2256</v>
          </cell>
          <cell r="Q227">
            <v>2314</v>
          </cell>
        </row>
        <row r="229">
          <cell r="F229">
            <v>13756</v>
          </cell>
          <cell r="G229">
            <v>11245</v>
          </cell>
          <cell r="H229">
            <v>12382</v>
          </cell>
          <cell r="I229">
            <v>13689</v>
          </cell>
          <cell r="J229">
            <v>14975</v>
          </cell>
          <cell r="K229">
            <v>13092</v>
          </cell>
          <cell r="L229">
            <v>13796</v>
          </cell>
          <cell r="M229">
            <v>13327</v>
          </cell>
          <cell r="N229">
            <v>7254</v>
          </cell>
          <cell r="O229">
            <v>14843</v>
          </cell>
          <cell r="P229">
            <v>12583</v>
          </cell>
          <cell r="Q229">
            <v>13673</v>
          </cell>
        </row>
      </sheetData>
      <sheetData sheetId="12" refreshError="1"/>
      <sheetData sheetId="13" refreshError="1"/>
      <sheetData sheetId="1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M"/>
      <sheetName val="BS"/>
      <sheetName val="CF"/>
      <sheetName val="Acq_Grid"/>
      <sheetName val="EPS"/>
      <sheetName val="Grupo"/>
      <sheetName val="Geographic"/>
      <sheetName val="Geographic (2)"/>
      <sheetName val="2x"/>
      <sheetName val="__FDSCACHE_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IT Screen"/>
      <sheetName val="Exclusion List"/>
      <sheetName val="MVT Demo"/>
      <sheetName val="OIT Screening"/>
    </sheetNames>
    <sheetDataSet>
      <sheetData sheetId="0" refreshError="1"/>
      <sheetData sheetId="1" refreshError="1">
        <row r="1">
          <cell r="A1" t="str">
            <v>ticker</v>
          </cell>
        </row>
        <row r="2">
          <cell r="A2" t="str">
            <v>ABP.L</v>
          </cell>
        </row>
        <row r="3">
          <cell r="A3" t="str">
            <v>AGG.L</v>
          </cell>
        </row>
        <row r="4">
          <cell r="A4" t="str">
            <v>AHLN.AS</v>
          </cell>
        </row>
        <row r="5">
          <cell r="A5" t="str">
            <v>AHo.N</v>
          </cell>
        </row>
        <row r="6">
          <cell r="A6" t="str">
            <v>AIRF.PA</v>
          </cell>
        </row>
        <row r="7">
          <cell r="A7" t="str">
            <v>AKH.N</v>
          </cell>
        </row>
        <row r="8">
          <cell r="A8" t="str">
            <v>AIB.N</v>
          </cell>
        </row>
        <row r="9">
          <cell r="A9" t="str">
            <v>ALBK.I</v>
          </cell>
        </row>
        <row r="10">
          <cell r="A10" t="str">
            <v>ALO.N</v>
          </cell>
        </row>
        <row r="11">
          <cell r="A11" t="str">
            <v>AHC.N</v>
          </cell>
        </row>
        <row r="12">
          <cell r="A12" t="str">
            <v>AMGN.O</v>
          </cell>
        </row>
        <row r="13">
          <cell r="A13" t="str">
            <v>AAL.L</v>
          </cell>
        </row>
        <row r="14">
          <cell r="A14" t="str">
            <v>ANGL.I</v>
          </cell>
        </row>
        <row r="15">
          <cell r="A15" t="str">
            <v>A3TV.MC</v>
          </cell>
        </row>
        <row r="16">
          <cell r="A16" t="str">
            <v>5201.T</v>
          </cell>
        </row>
        <row r="17">
          <cell r="A17" t="str">
            <v>ASGLY.PK</v>
          </cell>
        </row>
        <row r="18">
          <cell r="A18" t="str">
            <v>020560.KQ</v>
          </cell>
        </row>
        <row r="19">
          <cell r="A19" t="str">
            <v>ASSAb.ST</v>
          </cell>
        </row>
        <row r="20">
          <cell r="A20" t="str">
            <v>AZN.L</v>
          </cell>
        </row>
        <row r="21">
          <cell r="A21" t="str">
            <v>AZN.N</v>
          </cell>
        </row>
        <row r="22">
          <cell r="A22" t="str">
            <v>AZN.ST</v>
          </cell>
        </row>
        <row r="23">
          <cell r="A23" t="str">
            <v>ATML.O</v>
          </cell>
        </row>
        <row r="24">
          <cell r="A24" t="str">
            <v>AMS.S</v>
          </cell>
        </row>
        <row r="25">
          <cell r="A25" t="str">
            <v>AWG.L</v>
          </cell>
        </row>
        <row r="26">
          <cell r="A26" t="str">
            <v>BBY.L</v>
          </cell>
        </row>
        <row r="27">
          <cell r="A27" t="str">
            <v>BRL.N</v>
          </cell>
        </row>
        <row r="28">
          <cell r="A28" t="str">
            <v>BCOM.BR</v>
          </cell>
        </row>
        <row r="29">
          <cell r="A29" t="str">
            <v>BKG_u.L</v>
          </cell>
        </row>
        <row r="30">
          <cell r="A30" t="str">
            <v>BEZQ.TA</v>
          </cell>
        </row>
        <row r="31">
          <cell r="A31" t="str">
            <v>1114.HK</v>
          </cell>
        </row>
        <row r="32">
          <cell r="A32" t="str">
            <v>CBA.N</v>
          </cell>
        </row>
        <row r="33">
          <cell r="A33" t="str">
            <v>BAB.N</v>
          </cell>
        </row>
        <row r="34">
          <cell r="A34" t="str">
            <v>BAY.L</v>
          </cell>
        </row>
        <row r="35">
          <cell r="A35" t="str">
            <v>BGY.L</v>
          </cell>
        </row>
        <row r="36">
          <cell r="A36" t="str">
            <v>BGY.N</v>
          </cell>
        </row>
        <row r="37">
          <cell r="A37" t="str">
            <v>BSY.L</v>
          </cell>
        </row>
        <row r="38">
          <cell r="A38" t="str">
            <v>BSY.N</v>
          </cell>
        </row>
        <row r="39">
          <cell r="A39" t="str">
            <v>BLGSY.OTC</v>
          </cell>
        </row>
        <row r="40">
          <cell r="A40" t="str">
            <v>BULG.MI</v>
          </cell>
        </row>
        <row r="41">
          <cell r="A41" t="str">
            <v>BNI.N</v>
          </cell>
        </row>
        <row r="42">
          <cell r="A42" t="str">
            <v>CW.L</v>
          </cell>
        </row>
        <row r="43">
          <cell r="A43" t="str">
            <v>CWP.N</v>
          </cell>
        </row>
        <row r="44">
          <cell r="A44" t="str">
            <v>CECO.O</v>
          </cell>
        </row>
        <row r="45">
          <cell r="A45" t="str">
            <v>CASP.PA</v>
          </cell>
        </row>
        <row r="46">
          <cell r="A46" t="str">
            <v>CASP_p.PA</v>
          </cell>
        </row>
        <row r="47">
          <cell r="A47" t="str">
            <v>6952.T</v>
          </cell>
        </row>
        <row r="48">
          <cell r="A48" t="str">
            <v>CSIOY.PK</v>
          </cell>
        </row>
        <row r="49">
          <cell r="A49" t="str">
            <v>0293.HK</v>
          </cell>
        </row>
        <row r="50">
          <cell r="A50" t="str">
            <v>CE.N</v>
          </cell>
        </row>
        <row r="51">
          <cell r="A51" t="str">
            <v>CZ.N</v>
          </cell>
        </row>
        <row r="52">
          <cell r="A52" t="str">
            <v>CNA.L</v>
          </cell>
        </row>
        <row r="53">
          <cell r="A53" t="str">
            <v>CVX.N</v>
          </cell>
        </row>
        <row r="54">
          <cell r="A54" t="str">
            <v>2002.TW</v>
          </cell>
        </row>
        <row r="55">
          <cell r="A55" t="str">
            <v>2002q.L</v>
          </cell>
        </row>
        <row r="56">
          <cell r="A56" t="str">
            <v>2891.TW</v>
          </cell>
        </row>
        <row r="57">
          <cell r="A57" t="str">
            <v>1110.HK</v>
          </cell>
        </row>
        <row r="58">
          <cell r="A58" t="str">
            <v>CBKG.DE</v>
          </cell>
        </row>
        <row r="59">
          <cell r="A59" t="str">
            <v>CRZBY.OTC</v>
          </cell>
        </row>
        <row r="60">
          <cell r="A60" t="str">
            <v>CAL.N</v>
          </cell>
        </row>
        <row r="61">
          <cell r="A61" t="str">
            <v>CHRN.S</v>
          </cell>
        </row>
        <row r="62">
          <cell r="A62" t="str">
            <v>CRBK.BO</v>
          </cell>
        </row>
        <row r="63">
          <cell r="A63" t="str">
            <v>COSr.AT</v>
          </cell>
        </row>
        <row r="64">
          <cell r="A64" t="str">
            <v>CSGKY.OTC</v>
          </cell>
        </row>
        <row r="65">
          <cell r="A65" t="str">
            <v>CSGN.VX</v>
          </cell>
        </row>
        <row r="66">
          <cell r="A66" t="str">
            <v>8601.T</v>
          </cell>
        </row>
        <row r="67">
          <cell r="A67" t="str">
            <v>DSECY.PK</v>
          </cell>
        </row>
        <row r="68">
          <cell r="A68" t="str">
            <v>DES.N</v>
          </cell>
        </row>
        <row r="69">
          <cell r="A69" t="str">
            <v>DESCB.MX</v>
          </cell>
        </row>
        <row r="70">
          <cell r="A70" t="str">
            <v>DT.N</v>
          </cell>
        </row>
        <row r="71">
          <cell r="A71" t="str">
            <v>DTEGn.DE</v>
          </cell>
        </row>
        <row r="72">
          <cell r="A72" t="str">
            <v>DEO.N</v>
          </cell>
        </row>
        <row r="73">
          <cell r="A73" t="str">
            <v>DGE.L</v>
          </cell>
        </row>
        <row r="74">
          <cell r="A74" t="str">
            <v>2884.TW</v>
          </cell>
        </row>
        <row r="75">
          <cell r="A75" t="str">
            <v>ELN.N</v>
          </cell>
        </row>
        <row r="76">
          <cell r="A76" t="str">
            <v>AKD_pb.SN</v>
          </cell>
        </row>
        <row r="77">
          <cell r="A77" t="str">
            <v>AKOa.N</v>
          </cell>
        </row>
        <row r="78">
          <cell r="A78" t="str">
            <v>AKOb.N</v>
          </cell>
        </row>
        <row r="79">
          <cell r="A79" t="str">
            <v>AND_pa.SN</v>
          </cell>
        </row>
        <row r="80">
          <cell r="A80" t="str">
            <v>END.SN</v>
          </cell>
        </row>
        <row r="81">
          <cell r="A81" t="str">
            <v>EOC.N</v>
          </cell>
        </row>
        <row r="82">
          <cell r="A82" t="str">
            <v>ENE.SN</v>
          </cell>
        </row>
        <row r="83">
          <cell r="A83" t="str">
            <v>ENI.N</v>
          </cell>
        </row>
        <row r="84">
          <cell r="A84" t="str">
            <v>2618.TW</v>
          </cell>
        </row>
        <row r="85">
          <cell r="A85" t="str">
            <v>XJT.N</v>
          </cell>
        </row>
        <row r="86">
          <cell r="A86" t="str">
            <v>XOM.N</v>
          </cell>
        </row>
        <row r="87">
          <cell r="A87" t="str">
            <v>FAMVY.OTC</v>
          </cell>
        </row>
        <row r="88">
          <cell r="A88" t="str">
            <v>FOR.AS</v>
          </cell>
        </row>
        <row r="89">
          <cell r="A89" t="str">
            <v>FOR.BR</v>
          </cell>
        </row>
        <row r="90">
          <cell r="A90" t="str">
            <v>FRNT.O</v>
          </cell>
        </row>
        <row r="91">
          <cell r="A91" t="str">
            <v>2817.TW</v>
          </cell>
        </row>
        <row r="92">
          <cell r="A92" t="str">
            <v>2881.TW</v>
          </cell>
        </row>
        <row r="93">
          <cell r="A93" t="str">
            <v>2881q.L</v>
          </cell>
        </row>
        <row r="94">
          <cell r="A94" t="str">
            <v>GAZPq.L</v>
          </cell>
        </row>
        <row r="95">
          <cell r="A95" t="str">
            <v>RADGYP.OTC</v>
          </cell>
        </row>
        <row r="96">
          <cell r="A96" t="str">
            <v>GFCP.PA</v>
          </cell>
        </row>
        <row r="97">
          <cell r="A97" t="str">
            <v>GD.N</v>
          </cell>
        </row>
        <row r="98">
          <cell r="A98" t="str">
            <v>GASI.MI</v>
          </cell>
        </row>
        <row r="99">
          <cell r="A99" t="str">
            <v>GNW.N</v>
          </cell>
        </row>
        <row r="100">
          <cell r="A100" t="str">
            <v>TL5.MC</v>
          </cell>
        </row>
        <row r="101">
          <cell r="A101" t="str">
            <v>GRAS.BO</v>
          </cell>
        </row>
        <row r="102">
          <cell r="A102" t="str">
            <v>GFS.L</v>
          </cell>
        </row>
        <row r="103">
          <cell r="A103" t="str">
            <v>ASR.N</v>
          </cell>
        </row>
        <row r="104">
          <cell r="A104" t="str">
            <v>ASUR.MX</v>
          </cell>
        </row>
        <row r="105">
          <cell r="A105" t="str">
            <v>GCARSOA1.MX</v>
          </cell>
        </row>
        <row r="106">
          <cell r="A106" t="str">
            <v>GPOOY.O</v>
          </cell>
        </row>
        <row r="107">
          <cell r="A107" t="str">
            <v>PRS.MC</v>
          </cell>
        </row>
        <row r="108">
          <cell r="A108" t="str">
            <v>HAN.N</v>
          </cell>
        </row>
        <row r="109">
          <cell r="A109" t="str">
            <v>HNS.L</v>
          </cell>
        </row>
        <row r="110">
          <cell r="A110" t="str">
            <v>HAS.L</v>
          </cell>
        </row>
        <row r="111">
          <cell r="A111" t="str">
            <v>HRMS.PA</v>
          </cell>
        </row>
        <row r="112">
          <cell r="A112" t="str">
            <v>HLT.N</v>
          </cell>
        </row>
        <row r="113">
          <cell r="A113" t="str">
            <v>HOLMb.ST</v>
          </cell>
        </row>
        <row r="114">
          <cell r="A114" t="str">
            <v>011170.KS</v>
          </cell>
        </row>
        <row r="115">
          <cell r="A115" t="str">
            <v>HMT.N</v>
          </cell>
        </row>
        <row r="116">
          <cell r="A116" t="str">
            <v>HVMG.DE</v>
          </cell>
        </row>
        <row r="117">
          <cell r="A117" t="str">
            <v>HVMGY.OTC</v>
          </cell>
        </row>
        <row r="118">
          <cell r="A118" t="str">
            <v>012330.KS</v>
          </cell>
        </row>
        <row r="119">
          <cell r="A119" t="str">
            <v>IBE.MC</v>
          </cell>
        </row>
        <row r="120">
          <cell r="A120" t="str">
            <v>IBLA.MC</v>
          </cell>
        </row>
        <row r="121">
          <cell r="A121" t="str">
            <v>ITX.MC</v>
          </cell>
        </row>
        <row r="122">
          <cell r="A122" t="str">
            <v>ING.AS</v>
          </cell>
        </row>
        <row r="123">
          <cell r="A123" t="str">
            <v>ING.N</v>
          </cell>
        </row>
        <row r="124">
          <cell r="A124" t="str">
            <v>IPR.L</v>
          </cell>
        </row>
        <row r="125">
          <cell r="A125" t="str">
            <v>IPR.N</v>
          </cell>
        </row>
        <row r="126">
          <cell r="A126" t="str">
            <v>ITRK.L</v>
          </cell>
        </row>
        <row r="127">
          <cell r="A127" t="str">
            <v>JCDX.PA</v>
          </cell>
        </row>
        <row r="128">
          <cell r="A128" t="str">
            <v>KEL.L</v>
          </cell>
        </row>
        <row r="129">
          <cell r="A129" t="str">
            <v>KPN.AS</v>
          </cell>
        </row>
        <row r="130">
          <cell r="A130" t="str">
            <v>KPN.N</v>
          </cell>
        </row>
        <row r="131">
          <cell r="A131" t="str">
            <v>LQI.N</v>
          </cell>
        </row>
        <row r="132">
          <cell r="A132" t="str">
            <v>LH.N</v>
          </cell>
        </row>
        <row r="133">
          <cell r="A133" t="str">
            <v>0992.HK</v>
          </cell>
        </row>
        <row r="134">
          <cell r="A134" t="str">
            <v>LGHLY.O</v>
          </cell>
        </row>
        <row r="135">
          <cell r="A135" t="str">
            <v>LING.DE</v>
          </cell>
        </row>
        <row r="136">
          <cell r="A136" t="str">
            <v>LAD.N</v>
          </cell>
        </row>
        <row r="137">
          <cell r="A137" t="str">
            <v>LOG.L</v>
          </cell>
        </row>
        <row r="138">
          <cell r="A138" t="str">
            <v>LMI.L</v>
          </cell>
        </row>
        <row r="139">
          <cell r="A139" t="str">
            <v>LKOH.RTS</v>
          </cell>
        </row>
        <row r="140">
          <cell r="A140" t="str">
            <v>LUKOY.OTC</v>
          </cell>
        </row>
        <row r="141">
          <cell r="A141" t="str">
            <v>LUN.CO</v>
          </cell>
        </row>
        <row r="142">
          <cell r="A142" t="str">
            <v>LYO.N</v>
          </cell>
        </row>
        <row r="143">
          <cell r="A143" t="str">
            <v>MANG.DE</v>
          </cell>
        </row>
        <row r="144">
          <cell r="A144" t="str">
            <v>MANG_p.DE</v>
          </cell>
        </row>
        <row r="145">
          <cell r="A145" t="str">
            <v>MOLB.BU</v>
          </cell>
        </row>
        <row r="146">
          <cell r="A146" t="str">
            <v>MOLBq.L</v>
          </cell>
        </row>
        <row r="147">
          <cell r="A147" t="str">
            <v>MRLAV.HE</v>
          </cell>
        </row>
        <row r="148">
          <cell r="A148" t="str">
            <v>MRLBV.HE</v>
          </cell>
        </row>
        <row r="149">
          <cell r="A149" t="str">
            <v>NGT.L</v>
          </cell>
        </row>
        <row r="150">
          <cell r="A150" t="str">
            <v>NGT.N</v>
          </cell>
        </row>
        <row r="151">
          <cell r="A151" t="str">
            <v>NXT.L</v>
          </cell>
        </row>
        <row r="152">
          <cell r="A152" t="str">
            <v>NHH.MC</v>
          </cell>
        </row>
        <row r="153">
          <cell r="A153" t="str">
            <v>8603.T</v>
          </cell>
        </row>
        <row r="154">
          <cell r="A154" t="str">
            <v>NIKOY.PK</v>
          </cell>
        </row>
        <row r="155">
          <cell r="A155" t="str">
            <v>NSG.OL</v>
          </cell>
        </row>
        <row r="156">
          <cell r="A156" t="str">
            <v>NSG.OTC</v>
          </cell>
        </row>
        <row r="157">
          <cell r="A157" t="str">
            <v>NSGB.OL</v>
          </cell>
        </row>
        <row r="158">
          <cell r="A158" t="str">
            <v>NOC.N</v>
          </cell>
        </row>
        <row r="159">
          <cell r="A159" t="str">
            <v>NVDA.O</v>
          </cell>
        </row>
        <row r="160">
          <cell r="A160" t="str">
            <v>OMVKY.OTC</v>
          </cell>
        </row>
        <row r="161">
          <cell r="A161" t="str">
            <v>OMVV.VI</v>
          </cell>
        </row>
        <row r="162">
          <cell r="A162" t="str">
            <v>ORBC.BO</v>
          </cell>
        </row>
        <row r="163">
          <cell r="A163" t="str">
            <v>0008.HK</v>
          </cell>
        </row>
        <row r="164">
          <cell r="A164" t="str">
            <v>PCW.N</v>
          </cell>
        </row>
        <row r="165">
          <cell r="A165" t="str">
            <v>PNN.L</v>
          </cell>
        </row>
        <row r="166">
          <cell r="A166" t="str">
            <v>PDRDY.OTC</v>
          </cell>
        </row>
        <row r="167">
          <cell r="A167" t="str">
            <v>PERP.PA</v>
          </cell>
        </row>
        <row r="168">
          <cell r="A168" t="str">
            <v>PER.BA</v>
          </cell>
        </row>
        <row r="169">
          <cell r="A169" t="str">
            <v>PZE.N</v>
          </cell>
        </row>
        <row r="170">
          <cell r="A170" t="str">
            <v>PNCL.O</v>
          </cell>
        </row>
        <row r="171">
          <cell r="A171" t="str">
            <v>PT.N</v>
          </cell>
        </row>
        <row r="172">
          <cell r="A172" t="str">
            <v>PTCO.IN</v>
          </cell>
        </row>
        <row r="173">
          <cell r="A173" t="str">
            <v>PPS.N</v>
          </cell>
        </row>
        <row r="174">
          <cell r="A174" t="str">
            <v>DPBGn.DE</v>
          </cell>
        </row>
        <row r="175">
          <cell r="A175" t="str">
            <v>PCO.N</v>
          </cell>
        </row>
        <row r="176">
          <cell r="A176" t="str">
            <v>PFG.N</v>
          </cell>
        </row>
        <row r="177">
          <cell r="A177" t="str">
            <v>PSMG_p.DE</v>
          </cell>
        </row>
        <row r="178">
          <cell r="A178" t="str">
            <v>PEUGY.OTC</v>
          </cell>
        </row>
        <row r="179">
          <cell r="A179" t="str">
            <v>PEUP.PA</v>
          </cell>
        </row>
        <row r="180">
          <cell r="A180" t="str">
            <v>PUBP.PA</v>
          </cell>
        </row>
        <row r="181">
          <cell r="A181" t="str">
            <v>PUMG.DE</v>
          </cell>
        </row>
        <row r="182">
          <cell r="A182" t="str">
            <v>PUMG.OTC</v>
          </cell>
        </row>
        <row r="183">
          <cell r="A183" t="str">
            <v>RANB.BO</v>
          </cell>
        </row>
        <row r="184">
          <cell r="A184" t="str">
            <v>RANBq.L</v>
          </cell>
        </row>
        <row r="185">
          <cell r="A185" t="str">
            <v>RTN.N</v>
          </cell>
        </row>
        <row r="186">
          <cell r="A186" t="str">
            <v>RTNa.N</v>
          </cell>
        </row>
        <row r="187">
          <cell r="A187" t="str">
            <v>RCOP.PA</v>
          </cell>
        </row>
        <row r="188">
          <cell r="A188" t="str">
            <v>RENA.PA</v>
          </cell>
        </row>
        <row r="189">
          <cell r="A189" t="str">
            <v>RSA.L</v>
          </cell>
        </row>
        <row r="190">
          <cell r="A190" t="str">
            <v>SBS.N</v>
          </cell>
        </row>
        <row r="191">
          <cell r="A191" t="str">
            <v>SBSP3.SA</v>
          </cell>
        </row>
        <row r="192">
          <cell r="A192" t="str">
            <v>005930.KS</v>
          </cell>
        </row>
        <row r="193">
          <cell r="A193" t="str">
            <v>0593q.L</v>
          </cell>
        </row>
        <row r="194">
          <cell r="A194" t="str">
            <v>SANM.O</v>
          </cell>
        </row>
        <row r="195">
          <cell r="A195" t="str">
            <v>SASY.PA</v>
          </cell>
        </row>
        <row r="196">
          <cell r="A196" t="str">
            <v>SNY.N</v>
          </cell>
        </row>
        <row r="197">
          <cell r="A197" t="str">
            <v>SAPJ.J</v>
          </cell>
        </row>
        <row r="198">
          <cell r="A198" t="str">
            <v>SPP.N</v>
          </cell>
        </row>
        <row r="199">
          <cell r="A199" t="str">
            <v>SAS.ST</v>
          </cell>
        </row>
        <row r="200">
          <cell r="A200" t="str">
            <v>SCAb.ST</v>
          </cell>
        </row>
        <row r="201">
          <cell r="A201" t="str">
            <v>SVCBY.OTC</v>
          </cell>
        </row>
        <row r="202">
          <cell r="A202" t="str">
            <v>SCHG.DE</v>
          </cell>
        </row>
        <row r="203">
          <cell r="A203" t="str">
            <v>SCO.N</v>
          </cell>
        </row>
        <row r="204">
          <cell r="A204" t="str">
            <v>SCOR.PA</v>
          </cell>
        </row>
        <row r="205">
          <cell r="A205" t="str">
            <v>SPI.N</v>
          </cell>
        </row>
        <row r="206">
          <cell r="A206" t="str">
            <v>SPW.L</v>
          </cell>
        </row>
        <row r="207">
          <cell r="A207" t="str">
            <v>SVT.L</v>
          </cell>
        </row>
        <row r="208">
          <cell r="A208" t="str">
            <v>8184.T</v>
          </cell>
        </row>
        <row r="209">
          <cell r="A209" t="str">
            <v>SHI.L</v>
          </cell>
        </row>
        <row r="210">
          <cell r="A210" t="str">
            <v>2890.TW</v>
          </cell>
        </row>
        <row r="211">
          <cell r="A211" t="str">
            <v>SKFa.ST</v>
          </cell>
        </row>
        <row r="212">
          <cell r="A212" t="str">
            <v>SKFb.ST</v>
          </cell>
        </row>
        <row r="213">
          <cell r="A213" t="str">
            <v>SKFR.O</v>
          </cell>
        </row>
        <row r="214">
          <cell r="A214" t="str">
            <v>SCGLY.OTC</v>
          </cell>
        </row>
        <row r="215">
          <cell r="A215" t="str">
            <v>SOGN.PA</v>
          </cell>
        </row>
        <row r="216">
          <cell r="A216" t="str">
            <v>6758.T</v>
          </cell>
        </row>
        <row r="217">
          <cell r="A217" t="str">
            <v>SNE.N</v>
          </cell>
        </row>
        <row r="218">
          <cell r="A218" t="str">
            <v>SGC.L</v>
          </cell>
        </row>
        <row r="219">
          <cell r="A219" t="str">
            <v>SEO.N</v>
          </cell>
        </row>
        <row r="220">
          <cell r="A220" t="str">
            <v>STERV.HE</v>
          </cell>
        </row>
        <row r="221">
          <cell r="A221" t="str">
            <v>LYOE.PA</v>
          </cell>
        </row>
        <row r="222">
          <cell r="A222" t="str">
            <v>5713.T</v>
          </cell>
        </row>
        <row r="223">
          <cell r="A223" t="str">
            <v>SLF.TO</v>
          </cell>
        </row>
        <row r="224">
          <cell r="A224" t="str">
            <v>SHO.N</v>
          </cell>
        </row>
        <row r="225">
          <cell r="A225" t="str">
            <v>SNGS.RTS</v>
          </cell>
        </row>
        <row r="226">
          <cell r="A226" t="str">
            <v>SNGSyq.L</v>
          </cell>
        </row>
        <row r="227">
          <cell r="A227" t="str">
            <v>SCM.N</v>
          </cell>
        </row>
        <row r="228">
          <cell r="A228" t="str">
            <v>SCMN.VX</v>
          </cell>
        </row>
        <row r="229">
          <cell r="A229" t="str">
            <v>2887.TW</v>
          </cell>
        </row>
        <row r="230">
          <cell r="A230" t="str">
            <v>1310.TW</v>
          </cell>
        </row>
        <row r="231">
          <cell r="A231" t="str">
            <v>TELA.VI</v>
          </cell>
        </row>
        <row r="232">
          <cell r="A232" t="str">
            <v>TKA.US</v>
          </cell>
        </row>
        <row r="233">
          <cell r="A233" t="str">
            <v>TMB.N</v>
          </cell>
        </row>
        <row r="234">
          <cell r="A234" t="str">
            <v>TMCP4.SA</v>
          </cell>
        </row>
        <row r="235">
          <cell r="A235" t="str">
            <v>TLSN.ST</v>
          </cell>
        </row>
        <row r="236">
          <cell r="A236" t="str">
            <v>TKGJ.J</v>
          </cell>
        </row>
        <row r="237">
          <cell r="A237" t="str">
            <v>THAI.BK</v>
          </cell>
        </row>
        <row r="238">
          <cell r="A238" t="str">
            <v>UU.L</v>
          </cell>
        </row>
        <row r="239">
          <cell r="A239" t="str">
            <v>UU.N</v>
          </cell>
        </row>
        <row r="240">
          <cell r="A240" t="str">
            <v>UNM.N</v>
          </cell>
        </row>
        <row r="241">
          <cell r="A241" t="str">
            <v>UPM.N</v>
          </cell>
        </row>
        <row r="242">
          <cell r="A242" t="str">
            <v>UPM1V.HE</v>
          </cell>
        </row>
        <row r="243">
          <cell r="A243" t="str">
            <v>VLO.N</v>
          </cell>
        </row>
        <row r="244">
          <cell r="A244" t="str">
            <v>VDOR.AS</v>
          </cell>
        </row>
        <row r="245">
          <cell r="A245" t="str">
            <v>2388.TW</v>
          </cell>
        </row>
        <row r="246">
          <cell r="A246" t="str">
            <v>VIA.N</v>
          </cell>
        </row>
        <row r="247">
          <cell r="A247" t="str">
            <v>6792.T</v>
          </cell>
        </row>
        <row r="248">
          <cell r="A248" t="str">
            <v>VJAPY.PK</v>
          </cell>
        </row>
        <row r="249">
          <cell r="A249" t="str">
            <v>VMOB.L</v>
          </cell>
        </row>
        <row r="250">
          <cell r="A250" t="str">
            <v>VLKAY.OTC</v>
          </cell>
        </row>
        <row r="251">
          <cell r="A251" t="str">
            <v>VOWG.DE</v>
          </cell>
        </row>
        <row r="252">
          <cell r="A252" t="str">
            <v>VOWG_p.F</v>
          </cell>
        </row>
        <row r="253">
          <cell r="A253" t="str">
            <v>WLTHYP.O</v>
          </cell>
        </row>
        <row r="254">
          <cell r="A254" t="str">
            <v>WOW.AX</v>
          </cell>
        </row>
        <row r="255">
          <cell r="A255" t="str">
            <v>XTA.L</v>
          </cell>
        </row>
      </sheetData>
      <sheetData sheetId="2" refreshError="1"/>
      <sheetData sheetId="3" refreshError="1"/>
    </sheetDataSet>
  </externalBook>
</externalLink>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519AC-AF78-4B92-A1CE-921247B28841}">
  <dimension ref="A1:B1"/>
  <sheetViews>
    <sheetView workbookViewId="0"/>
  </sheetViews>
  <sheetFormatPr defaultRowHeight="14.25"/>
  <sheetData>
    <row r="1" spans="1:2">
      <c r="B1" t="s">
        <v>307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4C3C5-4C3A-42F2-90BF-7279208EB3F2}">
  <sheetPr codeName="Sheet2">
    <tabColor theme="0"/>
  </sheetPr>
  <dimension ref="B3:DQ209"/>
  <sheetViews>
    <sheetView tabSelected="1" workbookViewId="0">
      <selection activeCell="A49" sqref="A49"/>
    </sheetView>
  </sheetViews>
  <sheetFormatPr defaultColWidth="9.1328125" defaultRowHeight="12.4"/>
  <cols>
    <col min="1" max="1" width="9.1328125" style="2"/>
    <col min="2" max="2" width="134.3984375" style="2" customWidth="1"/>
    <col min="3" max="16384" width="9.1328125" style="2"/>
  </cols>
  <sheetData>
    <row r="3" spans="2:42" ht="15" customHeight="1">
      <c r="B3" s="1"/>
    </row>
    <row r="4" spans="2:42" ht="12.75">
      <c r="B4" s="1"/>
    </row>
    <row r="5" spans="2:42">
      <c r="B5" s="3"/>
    </row>
    <row r="6" spans="2:42">
      <c r="AP6" s="4" t="s">
        <v>0</v>
      </c>
    </row>
    <row r="28" spans="3:6">
      <c r="C28" s="2" t="e">
        <f>#REF!</f>
        <v>#REF!</v>
      </c>
      <c r="F28" s="2">
        <v>1556</v>
      </c>
    </row>
    <row r="52" spans="41:121">
      <c r="AP52" s="5"/>
    </row>
    <row r="54" spans="41:121">
      <c r="AO54" s="2" t="e">
        <f>(AC54/AB54-1)*100</f>
        <v>#DIV/0!</v>
      </c>
      <c r="AP54" s="2" t="e">
        <f>(AD54/AC54-1)*100</f>
        <v>#DIV/0!</v>
      </c>
      <c r="DQ54" s="2">
        <f>+(DQ55-DP55)+DQ59</f>
        <v>400</v>
      </c>
    </row>
    <row r="55" spans="41:121">
      <c r="DQ55" s="2">
        <v>400</v>
      </c>
    </row>
    <row r="92" spans="42:42">
      <c r="AP92" s="5"/>
    </row>
    <row r="93" spans="42:42">
      <c r="AP93" s="5"/>
    </row>
    <row r="115" spans="8:9">
      <c r="H115" s="2">
        <f>G115+11</f>
        <v>11</v>
      </c>
      <c r="I115" s="2">
        <f>H115-27</f>
        <v>-16</v>
      </c>
    </row>
    <row r="145" spans="42:42">
      <c r="AP145" s="5"/>
    </row>
    <row r="208" spans="42:42">
      <c r="AP208" s="5"/>
    </row>
    <row r="209" spans="42:42">
      <c r="AP209" s="5"/>
    </row>
  </sheetData>
  <pageMargins left="0.7" right="0.7" top="0.75" bottom="0.7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F6F12-CC9B-4603-9615-A5E7B41F4E71}">
  <sheetPr codeName="Sheet3">
    <tabColor theme="0" tint="-0.499984740745262"/>
    <pageSetUpPr fitToPage="1"/>
  </sheetPr>
  <dimension ref="A1:EW256"/>
  <sheetViews>
    <sheetView showGridLines="0" zoomScaleNormal="100" workbookViewId="0">
      <pane xSplit="17" ySplit="5" topLeftCell="EM6" activePane="bottomRight" state="frozen"/>
      <selection pane="topRight" activeCell="R1" sqref="R1"/>
      <selection pane="bottomLeft" activeCell="A6" sqref="A6"/>
      <selection pane="bottomRight" activeCell="EV26" sqref="EV26"/>
    </sheetView>
  </sheetViews>
  <sheetFormatPr defaultColWidth="9.1328125" defaultRowHeight="12.75" outlineLevelRow="1" outlineLevelCol="1"/>
  <cols>
    <col min="1" max="1" width="5" style="7" customWidth="1"/>
    <col min="2" max="2" width="45.86328125" style="6" customWidth="1"/>
    <col min="3" max="7" width="10.73046875" style="7" hidden="1" customWidth="1" outlineLevel="1"/>
    <col min="8" max="9" width="10.73046875" style="9" hidden="1" customWidth="1" outlineLevel="1"/>
    <col min="10" max="14" width="10.73046875" style="9" hidden="1" customWidth="1" outlineLevel="1" collapsed="1"/>
    <col min="15" max="15" width="10.73046875" style="9" hidden="1" customWidth="1" outlineLevel="1"/>
    <col min="16" max="17" width="10.73046875" style="9" hidden="1" customWidth="1" outlineLevel="1" collapsed="1"/>
    <col min="18" max="18" width="10.73046875" style="9" customWidth="1" collapsed="1"/>
    <col min="19" max="25" width="10.73046875" style="9" customWidth="1"/>
    <col min="26" max="26" width="1.73046875" style="7" customWidth="1"/>
    <col min="27" max="28" width="8.59765625" style="7" hidden="1" customWidth="1" outlineLevel="1"/>
    <col min="29" max="30" width="8.59765625" style="9" hidden="1" customWidth="1" outlineLevel="1"/>
    <col min="31" max="32" width="8.59765625" style="9" hidden="1" customWidth="1" outlineLevel="1" collapsed="1"/>
    <col min="33" max="34" width="8.59765625" style="9" hidden="1" customWidth="1" outlineLevel="1"/>
    <col min="35" max="35" width="8.59765625" style="9" hidden="1" customWidth="1" outlineLevel="1" collapsed="1"/>
    <col min="36" max="36" width="8.59765625" style="9" hidden="1" customWidth="1" outlineLevel="1"/>
    <col min="37" max="37" width="9.59765625" style="9" hidden="1" customWidth="1" outlineLevel="1" collapsed="1"/>
    <col min="38" max="38" width="9.59765625" style="9" hidden="1" customWidth="1" outlineLevel="1"/>
    <col min="39" max="39" width="9.59765625" style="9" customWidth="1" collapsed="1"/>
    <col min="40" max="43" width="9.59765625" style="9" customWidth="1"/>
    <col min="44" max="44" width="4.265625" style="2" customWidth="1"/>
    <col min="45" max="49" width="9.265625" style="9" customWidth="1"/>
    <col min="50" max="50" width="9.1328125" style="7" customWidth="1" collapsed="1"/>
    <col min="51" max="51" width="45.73046875" style="6" customWidth="1"/>
    <col min="52" max="52" width="2.1328125" style="7" customWidth="1" outlineLevel="1"/>
    <col min="53" max="56" width="10.73046875" style="9" customWidth="1" outlineLevel="1"/>
    <col min="57" max="57" width="10.73046875" style="9" customWidth="1" outlineLevel="1" collapsed="1"/>
    <col min="58" max="64" width="10.73046875" style="9" customWidth="1" outlineLevel="1"/>
    <col min="65" max="65" width="10.73046875" style="9" customWidth="1" outlineLevel="1" collapsed="1"/>
    <col min="66" max="72" width="10.73046875" style="9" customWidth="1" outlineLevel="1"/>
    <col min="73" max="73" width="10.73046875" style="9" customWidth="1" outlineLevel="1" collapsed="1"/>
    <col min="74" max="76" width="10.73046875" style="9" customWidth="1" outlineLevel="1"/>
    <col min="77" max="77" width="10.73046875" style="9" customWidth="1" outlineLevel="1" collapsed="1"/>
    <col min="78" max="80" width="10.73046875" style="9" customWidth="1" outlineLevel="1"/>
    <col min="81" max="81" width="10.73046875" style="9" customWidth="1" outlineLevel="1" collapsed="1"/>
    <col min="82" max="84" width="10.73046875" style="9" customWidth="1" outlineLevel="1"/>
    <col min="85" max="85" width="10.73046875" style="9" customWidth="1" outlineLevel="1" collapsed="1"/>
    <col min="86" max="88" width="10.73046875" style="9" customWidth="1" outlineLevel="1"/>
    <col min="89" max="89" width="10.73046875" style="9" customWidth="1" outlineLevel="1" collapsed="1"/>
    <col min="90" max="92" width="10.73046875" style="9" customWidth="1" outlineLevel="1"/>
    <col min="93" max="93" width="10.73046875" style="9" customWidth="1" outlineLevel="1" collapsed="1"/>
    <col min="94" max="96" width="10.73046875" style="9" customWidth="1" outlineLevel="1"/>
    <col min="97" max="104" width="10.73046875" style="9" customWidth="1"/>
    <col min="105" max="105" width="4.86328125" style="7" bestFit="1" customWidth="1"/>
    <col min="106" max="109" width="8" style="7" customWidth="1" outlineLevel="1"/>
    <col min="110" max="110" width="8" style="7" customWidth="1" outlineLevel="1" collapsed="1"/>
    <col min="111" max="113" width="8" style="7" customWidth="1" outlineLevel="1"/>
    <col min="114" max="114" width="8" style="7" customWidth="1" outlineLevel="1" collapsed="1"/>
    <col min="115" max="117" width="8" style="7" customWidth="1" outlineLevel="1"/>
    <col min="118" max="118" width="8" style="7" customWidth="1" outlineLevel="1" collapsed="1"/>
    <col min="119" max="121" width="8" style="7" customWidth="1" outlineLevel="1"/>
    <col min="122" max="122" width="8" style="7" customWidth="1" outlineLevel="1" collapsed="1"/>
    <col min="123" max="125" width="8" style="7" customWidth="1" outlineLevel="1"/>
    <col min="126" max="126" width="8" style="7" customWidth="1" outlineLevel="1" collapsed="1"/>
    <col min="127" max="129" width="8" style="7" customWidth="1" outlineLevel="1"/>
    <col min="130" max="130" width="8" style="7" customWidth="1" outlineLevel="1" collapsed="1"/>
    <col min="131" max="133" width="8" style="7" customWidth="1" outlineLevel="1"/>
    <col min="134" max="134" width="8" style="7" customWidth="1" outlineLevel="1" collapsed="1"/>
    <col min="135" max="137" width="8" style="7" customWidth="1" outlineLevel="1"/>
    <col min="138" max="138" width="8" style="7" customWidth="1" outlineLevel="1" collapsed="1"/>
    <col min="139" max="141" width="8" style="7" customWidth="1" outlineLevel="1"/>
    <col min="142" max="153" width="7.86328125" style="7" customWidth="1"/>
    <col min="154" max="16384" width="9.1328125" style="7"/>
  </cols>
  <sheetData>
    <row r="1" spans="2:153">
      <c r="D1" s="8">
        <f>D6/C6-1</f>
        <v>-7.4479989430977778E-3</v>
      </c>
      <c r="E1" s="8">
        <f>E6/D6-1</f>
        <v>-3.2869327005008997E-2</v>
      </c>
      <c r="F1" s="8">
        <f>F6/E6-1</f>
        <v>0.17737409549374594</v>
      </c>
      <c r="M1" s="10"/>
      <c r="N1" s="11"/>
      <c r="O1" s="12"/>
      <c r="R1" s="11"/>
      <c r="S1" s="13"/>
      <c r="T1" s="11"/>
      <c r="U1" s="11"/>
      <c r="V1" s="14"/>
      <c r="W1" s="15"/>
      <c r="X1" s="15"/>
      <c r="Y1" s="15"/>
      <c r="AN1" s="7"/>
      <c r="AO1" s="7"/>
      <c r="AP1" s="7"/>
      <c r="AQ1" s="7"/>
      <c r="AY1" s="16" t="s">
        <v>1</v>
      </c>
      <c r="BH1" s="9">
        <f>+BG6-BH6</f>
        <v>273.19600000000037</v>
      </c>
      <c r="BL1" s="9">
        <f>+BK6-BL6</f>
        <v>327.62099999999964</v>
      </c>
      <c r="BP1" s="9">
        <f>+BO6-BP6</f>
        <v>265.24600000000009</v>
      </c>
      <c r="BU1" s="16"/>
      <c r="BV1" s="16"/>
      <c r="BW1" s="16"/>
      <c r="BX1" s="16"/>
      <c r="BY1" s="17">
        <f>AVERAGE($BQ2,$BM2,$BI2,$BE2,$BU2)</f>
        <v>-5.6098385585504354E-2</v>
      </c>
      <c r="BZ1" s="17">
        <f>AVERAGE($BR2,$BN2,$BJ2,$BF2,$BV2)</f>
        <v>0.4626380289167818</v>
      </c>
      <c r="CA1" s="17">
        <f>AVERAGE($BS2,$BO2,$BK2,$BG2,$BW2)</f>
        <v>-1.2589988207209912E-2</v>
      </c>
      <c r="CB1" s="17">
        <f>AVERAGE($BT2,$BP2,$BL2,$BH2,$BX2)</f>
        <v>-0.23562751466354701</v>
      </c>
      <c r="CC1" s="17">
        <f>AVERAGE($BQ2,$BM2,$BI2,$BE2,$BU2,$BY2)</f>
        <v>-5.6720693343467264E-2</v>
      </c>
      <c r="CD1" s="17">
        <f>AVERAGE($BR2,$BN2,$BJ2,$BF2,$BV2,$BZ2)</f>
        <v>0.44293500929802126</v>
      </c>
      <c r="CE1" s="17">
        <f>AVERAGE($BS2,$BO2,$BK2,$BG2,$BW2,$CA2)</f>
        <v>1.1800410236310973E-2</v>
      </c>
      <c r="CF1" s="17">
        <f>AVERAGE($BT2,$BP2,$BL2,$BH2,$BX2,$CB2)</f>
        <v>-0.23778293498605507</v>
      </c>
      <c r="CG1" s="17">
        <f>AVERAGE($BQ2,$BM2,$BI2,$BE2,$BU2,$BY2,CC2)</f>
        <v>-5.0918612122408176E-2</v>
      </c>
      <c r="CH1" s="17">
        <f>AVERAGE($BR2,$BN2,$BJ2,$BF2,$BV2,$BZ2,CD2)</f>
        <v>0.46937788169411682</v>
      </c>
      <c r="CI1" s="17">
        <f>AVERAGE($BS2,$BO2,$BK2,$BG2,$BW2,$CA2,CE2)</f>
        <v>4.9344015002874076E-3</v>
      </c>
      <c r="CJ1" s="17">
        <f>AVERAGE($BT2,$BP2,$BL2,$BH2,$BX2,$CB2,CF2)</f>
        <v>-0.22550847615443484</v>
      </c>
      <c r="CK1" s="17">
        <f>AVERAGE(BQ2,BM2,BI2,BE2,BU2,BY2,CC2,CG2)</f>
        <v>-4.3586023935264756E-2</v>
      </c>
      <c r="CL1" s="17">
        <f t="shared" ref="CL1:CZ1" si="0">AVERAGE(BR2,BN2,BJ2,BF2,BV2,BZ2,CD2,CH2)</f>
        <v>0.46076775390111213</v>
      </c>
      <c r="CM1" s="17">
        <f t="shared" si="0"/>
        <v>-1.4210495632863002E-3</v>
      </c>
      <c r="CN1" s="17">
        <f t="shared" si="0"/>
        <v>-0.22523117346047056</v>
      </c>
      <c r="CO1" s="17">
        <f t="shared" si="0"/>
        <v>-3.6335502527339164E-2</v>
      </c>
      <c r="CP1" s="17">
        <f t="shared" si="0"/>
        <v>0.43319777448474639</v>
      </c>
      <c r="CQ1" s="17">
        <f t="shared" si="0"/>
        <v>1.1045597379827687E-2</v>
      </c>
      <c r="CR1" s="17">
        <f t="shared" si="0"/>
        <v>-0.22699355320663428</v>
      </c>
      <c r="CS1" s="17">
        <f t="shared" si="0"/>
        <v>-3.2068450214975813E-2</v>
      </c>
      <c r="CT1" s="17">
        <f t="shared" si="0"/>
        <v>0.42577691428245457</v>
      </c>
      <c r="CU1" s="17">
        <f t="shared" si="0"/>
        <v>9.4973811564166288E-3</v>
      </c>
      <c r="CV1" s="17">
        <f t="shared" si="0"/>
        <v>-0.21749928451452194</v>
      </c>
      <c r="CW1" s="17">
        <f t="shared" si="0"/>
        <v>-4.227199624225414E-2</v>
      </c>
      <c r="CX1" s="17">
        <f t="shared" si="0"/>
        <v>0.41127553497078084</v>
      </c>
      <c r="CY1" s="17">
        <f t="shared" si="0"/>
        <v>1.4313095811381835E-2</v>
      </c>
      <c r="CZ1" s="17">
        <f t="shared" si="0"/>
        <v>-0.22006071913331915</v>
      </c>
      <c r="DF1" s="18"/>
    </row>
    <row r="2" spans="2:153">
      <c r="B2" s="7"/>
      <c r="M2" s="10"/>
      <c r="N2" s="11"/>
      <c r="O2" s="12"/>
      <c r="P2" s="7"/>
      <c r="Q2" s="7"/>
      <c r="R2" s="11"/>
      <c r="S2" s="11"/>
      <c r="T2" s="11"/>
      <c r="U2" s="11"/>
      <c r="V2" s="19">
        <f>+V14/U14-1</f>
        <v>3.4360337054936574E-2</v>
      </c>
      <c r="W2" s="19">
        <f>+W14/V14-1</f>
        <v>-6.1683053027099533E-3</v>
      </c>
      <c r="X2" s="19">
        <f t="shared" ref="X2:Y2" si="1">+X14/W14-1</f>
        <v>2.7132251855925382E-2</v>
      </c>
      <c r="Y2" s="19">
        <f t="shared" si="1"/>
        <v>2.4654788418708273E-2</v>
      </c>
      <c r="AR2" s="7"/>
      <c r="AY2" s="16" t="s">
        <v>2</v>
      </c>
      <c r="BE2" s="15">
        <f>+BE6/BD6-1</f>
        <v>-7.7344896765120685E-2</v>
      </c>
      <c r="BF2" s="15">
        <f>+BF6/BE6-1</f>
        <v>0.51233788066830499</v>
      </c>
      <c r="BG2" s="15">
        <f>+BG6/BF6-1</f>
        <v>-3.7947948365223083E-2</v>
      </c>
      <c r="BH2" s="15">
        <f>+BH6/BG6-1</f>
        <v>-0.23210978307782792</v>
      </c>
      <c r="BI2" s="15">
        <f t="shared" ref="BI2:CZ2" si="2">+BI6/BH6-1</f>
        <v>-5.7967550917442989E-2</v>
      </c>
      <c r="BJ2" s="15">
        <f t="shared" si="2"/>
        <v>0.42635749051001604</v>
      </c>
      <c r="BK2" s="15">
        <f t="shared" si="2"/>
        <v>2.2065404900221131E-2</v>
      </c>
      <c r="BL2" s="15">
        <f t="shared" si="2"/>
        <v>-0.2639482385243046</v>
      </c>
      <c r="BM2" s="15">
        <f t="shared" si="2"/>
        <v>-4.5441659524677713E-2</v>
      </c>
      <c r="BN2" s="15">
        <f t="shared" si="2"/>
        <v>0.46305620373927137</v>
      </c>
      <c r="BO2" s="15">
        <f t="shared" si="2"/>
        <v>-3.6313291387261359E-2</v>
      </c>
      <c r="BP2" s="15">
        <f t="shared" si="2"/>
        <v>-0.21571888538546569</v>
      </c>
      <c r="BQ2" s="15">
        <f t="shared" si="2"/>
        <v>-3.9164406929055318E-2</v>
      </c>
      <c r="BR2" s="15">
        <f t="shared" si="2"/>
        <v>0.43835104907633138</v>
      </c>
      <c r="BS2" s="15">
        <f t="shared" si="2"/>
        <v>-2.7564204051343633E-2</v>
      </c>
      <c r="BT2" s="15">
        <f t="shared" si="2"/>
        <v>-0.23509209440998391</v>
      </c>
      <c r="BU2" s="15">
        <f t="shared" si="2"/>
        <v>-6.057341379122505E-2</v>
      </c>
      <c r="BV2" s="15">
        <f t="shared" si="2"/>
        <v>0.47308752058998493</v>
      </c>
      <c r="BW2" s="15">
        <f t="shared" si="2"/>
        <v>1.6810097867557383E-2</v>
      </c>
      <c r="BX2" s="15">
        <f t="shared" si="2"/>
        <v>-0.23126857192015282</v>
      </c>
      <c r="BY2" s="15">
        <f t="shared" si="2"/>
        <v>-5.9832232133281815E-2</v>
      </c>
      <c r="BZ2" s="15">
        <f t="shared" si="2"/>
        <v>0.34441991120421855</v>
      </c>
      <c r="CA2" s="15">
        <f t="shared" si="2"/>
        <v>0.1337524024539154</v>
      </c>
      <c r="CB2" s="15">
        <f t="shared" si="2"/>
        <v>-0.24856003659859538</v>
      </c>
      <c r="CC2" s="15">
        <f>+CC6/CB6-1</f>
        <v>-1.6106124796053667E-2</v>
      </c>
      <c r="CD2" s="15">
        <f>+CD6/CC6-1</f>
        <v>0.62803511607069007</v>
      </c>
      <c r="CE2" s="15">
        <f t="shared" si="2"/>
        <v>-3.6261650915853982E-2</v>
      </c>
      <c r="CF2" s="15">
        <f t="shared" si="2"/>
        <v>-0.15186172316471336</v>
      </c>
      <c r="CG2" s="15">
        <f t="shared" si="2"/>
        <v>7.7420933747391896E-3</v>
      </c>
      <c r="CH2" s="15">
        <f t="shared" si="2"/>
        <v>0.40049685935007928</v>
      </c>
      <c r="CI2" s="15">
        <f t="shared" si="2"/>
        <v>-4.5909207008302255E-2</v>
      </c>
      <c r="CJ2" s="15">
        <f t="shared" si="2"/>
        <v>-0.22329005460272056</v>
      </c>
      <c r="CK2" s="15">
        <f t="shared" si="2"/>
        <v>-1.934072550171595E-2</v>
      </c>
      <c r="CL2" s="15">
        <f t="shared" si="2"/>
        <v>0.29177804533737972</v>
      </c>
      <c r="CM2" s="15">
        <f t="shared" si="2"/>
        <v>6.1785227179688818E-2</v>
      </c>
      <c r="CN2" s="15">
        <f t="shared" si="2"/>
        <v>-0.24620882104713793</v>
      </c>
      <c r="CO2" s="20">
        <f t="shared" si="2"/>
        <v>-2.3831132418536183E-2</v>
      </c>
      <c r="CP2" s="20">
        <f t="shared" si="2"/>
        <v>0.36699060889168056</v>
      </c>
      <c r="CQ2" s="20">
        <f t="shared" si="2"/>
        <v>9.6796751129326619E-3</v>
      </c>
      <c r="CR2" s="15">
        <f t="shared" si="2"/>
        <v>-0.18799408898740577</v>
      </c>
      <c r="CS2" s="20">
        <f t="shared" si="2"/>
        <v>-0.12707002774290432</v>
      </c>
      <c r="CT2" s="20">
        <f t="shared" si="2"/>
        <v>0.34704516924588158</v>
      </c>
      <c r="CU2" s="20">
        <f t="shared" si="2"/>
        <v>2.2124258524602869E-3</v>
      </c>
      <c r="CV2" s="15">
        <f t="shared" si="2"/>
        <v>-0.23621036233584347</v>
      </c>
      <c r="CW2" s="20">
        <f t="shared" si="2"/>
        <v>-5.9289415660548239E-2</v>
      </c>
      <c r="CX2" s="20">
        <f t="shared" si="2"/>
        <v>0.40259342364777395</v>
      </c>
      <c r="CY2" s="20">
        <f t="shared" si="2"/>
        <v>1.2135321157930257E-2</v>
      </c>
      <c r="CZ2" s="15">
        <f t="shared" si="2"/>
        <v>-0.22445430778860609</v>
      </c>
      <c r="DF2" s="18"/>
    </row>
    <row r="3" spans="2:153" ht="13.15">
      <c r="B3" s="21" t="s">
        <v>3</v>
      </c>
      <c r="C3" s="22"/>
      <c r="D3" s="22"/>
      <c r="E3" s="22"/>
      <c r="F3" s="22"/>
      <c r="G3" s="22"/>
      <c r="H3" s="22"/>
      <c r="I3" s="22"/>
      <c r="J3" s="22"/>
      <c r="K3" s="22"/>
      <c r="L3" s="22"/>
      <c r="M3" s="22"/>
      <c r="N3" s="22"/>
      <c r="O3" s="22"/>
      <c r="P3" s="22"/>
      <c r="Q3" s="22"/>
      <c r="R3" s="22"/>
      <c r="S3" s="22"/>
      <c r="T3" s="22"/>
      <c r="U3" s="22"/>
      <c r="V3" s="22"/>
      <c r="W3" s="22"/>
      <c r="X3" s="22"/>
      <c r="Y3" s="23"/>
      <c r="AA3" s="24"/>
      <c r="AB3" s="22"/>
      <c r="AC3" s="22"/>
      <c r="AD3" s="22"/>
      <c r="AE3" s="22"/>
      <c r="AF3" s="22"/>
      <c r="AG3" s="22"/>
      <c r="AH3" s="24"/>
      <c r="AI3" s="22"/>
      <c r="AJ3" s="22"/>
      <c r="AK3" s="22"/>
      <c r="AL3" s="22"/>
      <c r="AM3" s="24"/>
      <c r="AN3" s="22"/>
      <c r="AO3" s="22"/>
      <c r="AP3" s="22"/>
      <c r="AQ3" s="23"/>
      <c r="AS3" s="25" t="s">
        <v>4</v>
      </c>
      <c r="AU3" s="25" t="str">
        <f>AS3</f>
        <v>Scenario</v>
      </c>
      <c r="AW3" s="25" t="s">
        <v>5</v>
      </c>
      <c r="AY3" s="26" t="s">
        <v>3</v>
      </c>
      <c r="AZ3" s="22"/>
      <c r="BA3" s="22"/>
      <c r="BB3" s="22"/>
      <c r="BC3" s="22"/>
      <c r="BD3" s="23"/>
      <c r="BE3" s="24"/>
      <c r="BF3" s="22"/>
      <c r="BG3" s="22"/>
      <c r="BH3" s="23"/>
      <c r="BI3" s="24"/>
      <c r="BJ3" s="22"/>
      <c r="BK3" s="22"/>
      <c r="BL3" s="23"/>
      <c r="BM3" s="24"/>
      <c r="BN3" s="22"/>
      <c r="BO3" s="22"/>
      <c r="BP3" s="23"/>
      <c r="BQ3" s="24"/>
      <c r="BR3" s="22"/>
      <c r="BS3" s="22"/>
      <c r="BT3" s="23"/>
      <c r="BU3" s="24"/>
      <c r="BV3" s="22"/>
      <c r="BW3" s="22"/>
      <c r="BX3" s="23"/>
      <c r="BY3" s="22"/>
      <c r="BZ3" s="22"/>
      <c r="CA3" s="22"/>
      <c r="CB3" s="23"/>
      <c r="CC3" s="22"/>
      <c r="CD3" s="22"/>
      <c r="CE3" s="22"/>
      <c r="CF3" s="23"/>
      <c r="CG3" s="22"/>
      <c r="CH3" s="22"/>
      <c r="CI3" s="22"/>
      <c r="CJ3" s="23"/>
      <c r="CK3" s="22"/>
      <c r="CL3" s="22"/>
      <c r="CM3" s="22"/>
      <c r="CN3" s="23"/>
      <c r="CO3" s="22"/>
      <c r="CP3" s="22"/>
      <c r="CQ3" s="22"/>
      <c r="CR3" s="23"/>
      <c r="CS3" s="22"/>
      <c r="CT3" s="22"/>
      <c r="CU3" s="22"/>
      <c r="CV3" s="23"/>
      <c r="CW3" s="24"/>
      <c r="CX3" s="22"/>
      <c r="CY3" s="22"/>
      <c r="CZ3" s="23"/>
      <c r="DB3" s="24"/>
      <c r="DC3" s="22"/>
      <c r="DD3" s="22"/>
      <c r="DE3" s="22"/>
      <c r="DF3" s="22"/>
      <c r="DG3" s="22"/>
      <c r="DH3" s="22"/>
      <c r="DI3" s="22"/>
      <c r="DJ3" s="22"/>
      <c r="DK3" s="22"/>
      <c r="DL3" s="22"/>
      <c r="DM3" s="23"/>
      <c r="DN3" s="24"/>
      <c r="DO3" s="22"/>
      <c r="DP3" s="22"/>
      <c r="DQ3" s="23"/>
      <c r="DR3" s="22"/>
      <c r="DS3" s="22"/>
      <c r="DT3" s="22"/>
      <c r="DU3" s="23"/>
      <c r="DV3" s="24"/>
      <c r="DW3" s="22"/>
      <c r="DX3" s="22"/>
      <c r="DY3" s="23"/>
      <c r="DZ3" s="24"/>
      <c r="EA3" s="22"/>
      <c r="EB3" s="22"/>
      <c r="EC3" s="23"/>
      <c r="ED3" s="24"/>
      <c r="EE3" s="22"/>
      <c r="EF3" s="22"/>
      <c r="EG3" s="23"/>
      <c r="EH3" s="24"/>
      <c r="EI3" s="22"/>
      <c r="EJ3" s="22"/>
      <c r="EK3" s="23"/>
      <c r="EL3" s="24"/>
      <c r="EM3" s="22"/>
      <c r="EN3" s="22"/>
      <c r="EO3" s="23"/>
      <c r="EP3" s="24"/>
      <c r="EQ3" s="22"/>
      <c r="ER3" s="22"/>
      <c r="ES3" s="23"/>
      <c r="ET3" s="24"/>
      <c r="EU3" s="22"/>
      <c r="EV3" s="22"/>
      <c r="EW3" s="23"/>
    </row>
    <row r="4" spans="2:153" ht="13.15">
      <c r="B4" s="27" t="s">
        <v>6</v>
      </c>
      <c r="C4" s="28"/>
      <c r="D4" s="28"/>
      <c r="E4" s="28"/>
      <c r="F4" s="28"/>
      <c r="G4" s="28"/>
      <c r="H4" s="28"/>
      <c r="I4" s="28"/>
      <c r="J4" s="28"/>
      <c r="K4" s="28"/>
      <c r="L4" s="28"/>
      <c r="M4" s="28"/>
      <c r="N4" s="28"/>
      <c r="O4" s="28"/>
      <c r="P4" s="28"/>
      <c r="Q4" s="28"/>
      <c r="R4" s="28"/>
      <c r="S4" s="28"/>
      <c r="T4" s="28"/>
      <c r="U4" s="28"/>
      <c r="V4" s="28"/>
      <c r="W4" s="28"/>
      <c r="X4" s="28"/>
      <c r="Y4" s="29"/>
      <c r="AA4" s="30"/>
      <c r="AB4" s="28"/>
      <c r="AC4" s="28"/>
      <c r="AD4" s="28"/>
      <c r="AE4" s="28"/>
      <c r="AF4" s="28"/>
      <c r="AG4" s="28"/>
      <c r="AH4" s="30"/>
      <c r="AI4" s="28"/>
      <c r="AJ4" s="28"/>
      <c r="AK4" s="28"/>
      <c r="AL4" s="28"/>
      <c r="AM4" s="30"/>
      <c r="AN4" s="28"/>
      <c r="AO4" s="28"/>
      <c r="AP4" s="28"/>
      <c r="AQ4" s="29"/>
      <c r="AS4" s="31" t="s">
        <v>7</v>
      </c>
      <c r="AU4" s="31" t="str">
        <f>AS4</f>
        <v>Analysis</v>
      </c>
      <c r="AW4" s="31" t="s">
        <v>8</v>
      </c>
      <c r="AY4" s="32" t="s">
        <v>9</v>
      </c>
      <c r="AZ4" s="28"/>
      <c r="BA4" s="28"/>
      <c r="BB4" s="28"/>
      <c r="BC4" s="28"/>
      <c r="BD4" s="29"/>
      <c r="BE4" s="30"/>
      <c r="BF4" s="28"/>
      <c r="BG4" s="28"/>
      <c r="BH4" s="29"/>
      <c r="BI4" s="30"/>
      <c r="BJ4" s="28"/>
      <c r="BK4" s="28"/>
      <c r="BL4" s="29"/>
      <c r="BM4" s="30"/>
      <c r="BN4" s="28"/>
      <c r="BO4" s="28"/>
      <c r="BP4" s="29"/>
      <c r="BQ4" s="33"/>
      <c r="BR4" s="34"/>
      <c r="BS4" s="34"/>
      <c r="BT4" s="35"/>
      <c r="BU4" s="28"/>
      <c r="BV4" s="28"/>
      <c r="BW4" s="28"/>
      <c r="BX4" s="29"/>
      <c r="BY4" s="28"/>
      <c r="BZ4" s="28"/>
      <c r="CA4" s="28"/>
      <c r="CB4" s="29"/>
      <c r="CC4" s="28"/>
      <c r="CD4" s="28"/>
      <c r="CE4" s="28"/>
      <c r="CF4" s="29"/>
      <c r="CG4" s="28"/>
      <c r="CH4" s="28"/>
      <c r="CI4" s="28"/>
      <c r="CJ4" s="29"/>
      <c r="CK4" s="28"/>
      <c r="CL4" s="28"/>
      <c r="CM4" s="28"/>
      <c r="CN4" s="29"/>
      <c r="CO4" s="30"/>
      <c r="CP4" s="28"/>
      <c r="CQ4" s="28"/>
      <c r="CR4" s="29"/>
      <c r="CS4" s="30"/>
      <c r="CT4" s="28"/>
      <c r="CU4" s="28"/>
      <c r="CV4" s="29"/>
      <c r="CW4" s="30"/>
      <c r="CX4" s="28"/>
      <c r="CY4" s="28"/>
      <c r="CZ4" s="29"/>
      <c r="DB4" s="465" t="s">
        <v>10</v>
      </c>
      <c r="DC4" s="466"/>
      <c r="DD4" s="466"/>
      <c r="DE4" s="466"/>
      <c r="DF4" s="468" t="s">
        <v>11</v>
      </c>
      <c r="DG4" s="466"/>
      <c r="DH4" s="466"/>
      <c r="DI4" s="466"/>
      <c r="DJ4" s="468" t="s">
        <v>12</v>
      </c>
      <c r="DK4" s="466"/>
      <c r="DL4" s="466"/>
      <c r="DM4" s="467"/>
      <c r="DN4" s="465" t="s">
        <v>13</v>
      </c>
      <c r="DO4" s="466"/>
      <c r="DP4" s="466"/>
      <c r="DQ4" s="467"/>
      <c r="DR4" s="468" t="s">
        <v>14</v>
      </c>
      <c r="DS4" s="466"/>
      <c r="DT4" s="466"/>
      <c r="DU4" s="467"/>
      <c r="DV4" s="465" t="s">
        <v>15</v>
      </c>
      <c r="DW4" s="466"/>
      <c r="DX4" s="466"/>
      <c r="DY4" s="467"/>
      <c r="DZ4" s="465" t="s">
        <v>16</v>
      </c>
      <c r="EA4" s="466"/>
      <c r="EB4" s="466"/>
      <c r="EC4" s="467"/>
      <c r="ED4" s="465" t="str">
        <f>S5&amp;"/"&amp;R5</f>
        <v>2022/2021</v>
      </c>
      <c r="EE4" s="466"/>
      <c r="EF4" s="466"/>
      <c r="EG4" s="467"/>
      <c r="EH4" s="465" t="str">
        <f>S5&amp;"/"&amp;T5</f>
        <v>2022/2023</v>
      </c>
      <c r="EI4" s="466"/>
      <c r="EJ4" s="466"/>
      <c r="EK4" s="467"/>
      <c r="EL4" s="465" t="str">
        <f>U5&amp;"/"&amp;T5</f>
        <v>2024/2023</v>
      </c>
      <c r="EM4" s="466"/>
      <c r="EN4" s="466"/>
      <c r="EO4" s="467"/>
      <c r="EP4" s="469" t="str">
        <f>V5&amp;"/"&amp;U5</f>
        <v>2025/2024</v>
      </c>
      <c r="EQ4" s="470"/>
      <c r="ER4" s="470"/>
      <c r="ES4" s="471"/>
      <c r="ET4" s="469" t="str">
        <f>W5&amp;"/"&amp;V5</f>
        <v>2026E/2025</v>
      </c>
      <c r="EU4" s="470"/>
      <c r="EV4" s="470"/>
      <c r="EW4" s="471"/>
    </row>
    <row r="5" spans="2:153" ht="13.15">
      <c r="B5" s="36" t="s">
        <v>17</v>
      </c>
      <c r="C5" s="37">
        <f>D5-1</f>
        <v>2006</v>
      </c>
      <c r="D5" s="37">
        <f>E5-1</f>
        <v>2007</v>
      </c>
      <c r="E5" s="37">
        <f>F5-1</f>
        <v>2008</v>
      </c>
      <c r="F5" s="37">
        <f>G5-1</f>
        <v>2009</v>
      </c>
      <c r="G5" s="37">
        <f>H5-1</f>
        <v>2010</v>
      </c>
      <c r="H5" s="37" t="s">
        <v>18</v>
      </c>
      <c r="I5" s="37" t="s">
        <v>19</v>
      </c>
      <c r="J5" s="37" t="s">
        <v>20</v>
      </c>
      <c r="K5" s="37" t="s">
        <v>21</v>
      </c>
      <c r="L5" s="37" t="s">
        <v>22</v>
      </c>
      <c r="M5" s="37" t="s">
        <v>23</v>
      </c>
      <c r="N5" s="37" t="s">
        <v>24</v>
      </c>
      <c r="O5" s="37" t="s">
        <v>25</v>
      </c>
      <c r="P5" s="37" t="s">
        <v>26</v>
      </c>
      <c r="Q5" s="37" t="s">
        <v>27</v>
      </c>
      <c r="R5" s="37" t="s">
        <v>28</v>
      </c>
      <c r="S5" s="37" t="s">
        <v>29</v>
      </c>
      <c r="T5" s="37" t="s">
        <v>30</v>
      </c>
      <c r="U5" s="37" t="s">
        <v>31</v>
      </c>
      <c r="V5" s="37" t="s">
        <v>32</v>
      </c>
      <c r="W5" s="37" t="s">
        <v>33</v>
      </c>
      <c r="X5" s="37" t="s">
        <v>34</v>
      </c>
      <c r="Y5" s="38" t="s">
        <v>35</v>
      </c>
      <c r="AA5" s="39" t="s">
        <v>36</v>
      </c>
      <c r="AB5" s="37" t="s">
        <v>37</v>
      </c>
      <c r="AC5" s="37" t="s">
        <v>38</v>
      </c>
      <c r="AD5" s="37" t="s">
        <v>39</v>
      </c>
      <c r="AE5" s="37" t="s">
        <v>40</v>
      </c>
      <c r="AF5" s="37" t="s">
        <v>41</v>
      </c>
      <c r="AG5" s="37" t="s">
        <v>42</v>
      </c>
      <c r="AH5" s="39" t="s">
        <v>43</v>
      </c>
      <c r="AI5" s="37" t="s">
        <v>44</v>
      </c>
      <c r="AJ5" s="37" t="s">
        <v>45</v>
      </c>
      <c r="AK5" s="37" t="s">
        <v>46</v>
      </c>
      <c r="AL5" s="37" t="s">
        <v>47</v>
      </c>
      <c r="AM5" s="39" t="s">
        <v>48</v>
      </c>
      <c r="AN5" s="37" t="s">
        <v>49</v>
      </c>
      <c r="AO5" s="37" t="s">
        <v>50</v>
      </c>
      <c r="AP5" s="37" t="s">
        <v>51</v>
      </c>
      <c r="AQ5" s="38" t="s">
        <v>52</v>
      </c>
      <c r="AS5" s="40" t="str">
        <f>W5</f>
        <v>2026E</v>
      </c>
      <c r="AU5" s="40" t="str">
        <f>X5</f>
        <v>2027E</v>
      </c>
      <c r="AW5" s="40"/>
      <c r="AY5" s="41" t="s">
        <v>17</v>
      </c>
      <c r="AZ5" s="42"/>
      <c r="BA5" s="42" t="s">
        <v>53</v>
      </c>
      <c r="BB5" s="42" t="s">
        <v>54</v>
      </c>
      <c r="BC5" s="42" t="s">
        <v>55</v>
      </c>
      <c r="BD5" s="43" t="s">
        <v>56</v>
      </c>
      <c r="BE5" s="44" t="s">
        <v>57</v>
      </c>
      <c r="BF5" s="42" t="s">
        <v>58</v>
      </c>
      <c r="BG5" s="42" t="s">
        <v>59</v>
      </c>
      <c r="BH5" s="43" t="s">
        <v>60</v>
      </c>
      <c r="BI5" s="44" t="s">
        <v>61</v>
      </c>
      <c r="BJ5" s="42" t="s">
        <v>62</v>
      </c>
      <c r="BK5" s="42" t="s">
        <v>63</v>
      </c>
      <c r="BL5" s="43" t="s">
        <v>64</v>
      </c>
      <c r="BM5" s="44" t="s">
        <v>65</v>
      </c>
      <c r="BN5" s="42" t="s">
        <v>66</v>
      </c>
      <c r="BO5" s="42" t="s">
        <v>67</v>
      </c>
      <c r="BP5" s="43" t="s">
        <v>68</v>
      </c>
      <c r="BQ5" s="39" t="s">
        <v>69</v>
      </c>
      <c r="BR5" s="37" t="s">
        <v>70</v>
      </c>
      <c r="BS5" s="37" t="s">
        <v>71</v>
      </c>
      <c r="BT5" s="38" t="s">
        <v>72</v>
      </c>
      <c r="BU5" s="42" t="s">
        <v>73</v>
      </c>
      <c r="BV5" s="42" t="s">
        <v>74</v>
      </c>
      <c r="BW5" s="42" t="s">
        <v>75</v>
      </c>
      <c r="BX5" s="43" t="s">
        <v>76</v>
      </c>
      <c r="BY5" s="42" t="s">
        <v>77</v>
      </c>
      <c r="BZ5" s="42" t="s">
        <v>78</v>
      </c>
      <c r="CA5" s="42" t="s">
        <v>79</v>
      </c>
      <c r="CB5" s="43" t="s">
        <v>80</v>
      </c>
      <c r="CC5" s="42" t="s">
        <v>81</v>
      </c>
      <c r="CD5" s="42" t="s">
        <v>82</v>
      </c>
      <c r="CE5" s="42" t="s">
        <v>83</v>
      </c>
      <c r="CF5" s="43" t="s">
        <v>84</v>
      </c>
      <c r="CG5" s="42" t="s">
        <v>85</v>
      </c>
      <c r="CH5" s="42" t="s">
        <v>86</v>
      </c>
      <c r="CI5" s="42" t="s">
        <v>87</v>
      </c>
      <c r="CJ5" s="43" t="s">
        <v>88</v>
      </c>
      <c r="CK5" s="42" t="s">
        <v>89</v>
      </c>
      <c r="CL5" s="42" t="s">
        <v>90</v>
      </c>
      <c r="CM5" s="42" t="s">
        <v>91</v>
      </c>
      <c r="CN5" s="43" t="s">
        <v>92</v>
      </c>
      <c r="CO5" s="44" t="s">
        <v>93</v>
      </c>
      <c r="CP5" s="42" t="s">
        <v>94</v>
      </c>
      <c r="CQ5" s="42" t="s">
        <v>95</v>
      </c>
      <c r="CR5" s="43" t="s">
        <v>96</v>
      </c>
      <c r="CS5" s="44" t="s">
        <v>97</v>
      </c>
      <c r="CT5" s="42" t="s">
        <v>98</v>
      </c>
      <c r="CU5" s="42" t="s">
        <v>99</v>
      </c>
      <c r="CV5" s="43" t="s">
        <v>100</v>
      </c>
      <c r="CW5" s="44" t="s">
        <v>101</v>
      </c>
      <c r="CX5" s="42" t="s">
        <v>102</v>
      </c>
      <c r="CY5" s="42" t="s">
        <v>103</v>
      </c>
      <c r="CZ5" s="43" t="s">
        <v>104</v>
      </c>
      <c r="DB5" s="45" t="s">
        <v>105</v>
      </c>
      <c r="DC5" s="46" t="s">
        <v>106</v>
      </c>
      <c r="DD5" s="46" t="s">
        <v>107</v>
      </c>
      <c r="DE5" s="47" t="s">
        <v>108</v>
      </c>
      <c r="DF5" s="45" t="s">
        <v>105</v>
      </c>
      <c r="DG5" s="46" t="s">
        <v>106</v>
      </c>
      <c r="DH5" s="46" t="s">
        <v>107</v>
      </c>
      <c r="DI5" s="47" t="s">
        <v>108</v>
      </c>
      <c r="DJ5" s="45" t="s">
        <v>105</v>
      </c>
      <c r="DK5" s="46" t="s">
        <v>106</v>
      </c>
      <c r="DL5" s="46" t="s">
        <v>107</v>
      </c>
      <c r="DM5" s="47" t="s">
        <v>108</v>
      </c>
      <c r="DN5" s="45" t="s">
        <v>105</v>
      </c>
      <c r="DO5" s="46" t="s">
        <v>106</v>
      </c>
      <c r="DP5" s="46" t="s">
        <v>107</v>
      </c>
      <c r="DQ5" s="47" t="s">
        <v>108</v>
      </c>
      <c r="DR5" s="45" t="s">
        <v>105</v>
      </c>
      <c r="DS5" s="46" t="s">
        <v>106</v>
      </c>
      <c r="DT5" s="46" t="s">
        <v>107</v>
      </c>
      <c r="DU5" s="47" t="s">
        <v>108</v>
      </c>
      <c r="DV5" s="45" t="s">
        <v>105</v>
      </c>
      <c r="DW5" s="46" t="s">
        <v>106</v>
      </c>
      <c r="DX5" s="46" t="s">
        <v>107</v>
      </c>
      <c r="DY5" s="47" t="s">
        <v>108</v>
      </c>
      <c r="DZ5" s="45" t="s">
        <v>105</v>
      </c>
      <c r="EA5" s="46" t="s">
        <v>106</v>
      </c>
      <c r="EB5" s="46" t="s">
        <v>107</v>
      </c>
      <c r="EC5" s="47" t="s">
        <v>108</v>
      </c>
      <c r="ED5" s="45" t="s">
        <v>105</v>
      </c>
      <c r="EE5" s="46" t="s">
        <v>106</v>
      </c>
      <c r="EF5" s="46" t="s">
        <v>107</v>
      </c>
      <c r="EG5" s="47" t="s">
        <v>108</v>
      </c>
      <c r="EH5" s="45" t="s">
        <v>105</v>
      </c>
      <c r="EI5" s="46" t="s">
        <v>106</v>
      </c>
      <c r="EJ5" s="46" t="s">
        <v>107</v>
      </c>
      <c r="EK5" s="47" t="s">
        <v>108</v>
      </c>
      <c r="EL5" s="45" t="s">
        <v>105</v>
      </c>
      <c r="EM5" s="46" t="s">
        <v>106</v>
      </c>
      <c r="EN5" s="46" t="s">
        <v>107</v>
      </c>
      <c r="EO5" s="47" t="s">
        <v>108</v>
      </c>
      <c r="EP5" s="45" t="s">
        <v>105</v>
      </c>
      <c r="EQ5" s="46" t="s">
        <v>106</v>
      </c>
      <c r="ER5" s="46" t="s">
        <v>107</v>
      </c>
      <c r="ES5" s="47" t="s">
        <v>108</v>
      </c>
      <c r="ET5" s="45" t="s">
        <v>109</v>
      </c>
      <c r="EU5" s="46" t="s">
        <v>110</v>
      </c>
      <c r="EV5" s="46" t="s">
        <v>111</v>
      </c>
      <c r="EW5" s="47" t="s">
        <v>112</v>
      </c>
    </row>
    <row r="6" spans="2:153">
      <c r="B6" s="48" t="s">
        <v>113</v>
      </c>
      <c r="C6" s="49">
        <v>1771.2139999999999</v>
      </c>
      <c r="D6" s="49">
        <v>1758.0219999999999</v>
      </c>
      <c r="E6" s="49">
        <v>1700.2370000000001</v>
      </c>
      <c r="F6" s="49">
        <v>2001.8150000000001</v>
      </c>
      <c r="G6" s="49">
        <v>2844.5949999999998</v>
      </c>
      <c r="H6" s="49">
        <v>2977.759</v>
      </c>
      <c r="I6" s="49">
        <v>3431.712</v>
      </c>
      <c r="J6" s="49">
        <v>3743.33</v>
      </c>
      <c r="K6" s="49">
        <v>3944.54</v>
      </c>
      <c r="L6" s="49">
        <v>4113.2389999999996</v>
      </c>
      <c r="M6" s="49">
        <v>4220.7020000000002</v>
      </c>
      <c r="N6" s="49">
        <v>4341.9549999999999</v>
      </c>
      <c r="O6" s="49">
        <f t="shared" ref="O6:O21" si="3">SUM(BQ6:BT6)</f>
        <v>4546.6530000000002</v>
      </c>
      <c r="P6" s="49">
        <f t="shared" ref="P6:P21" si="4">SUM(BU6:BX6)</f>
        <v>4770.3620000000001</v>
      </c>
      <c r="Q6" s="49">
        <f>SUM(BY6:CB6)</f>
        <v>5054.9279999999999</v>
      </c>
      <c r="R6" s="49">
        <f>SUM(CC6:CF6)</f>
        <v>6280.1919999999991</v>
      </c>
      <c r="S6" s="49">
        <f>SUM(CG6:CJ6)</f>
        <v>7274.3440000000001</v>
      </c>
      <c r="T6" s="49">
        <f>SUM(CK6:CN6)</f>
        <v>7283.7669999999998</v>
      </c>
      <c r="U6" s="49">
        <f>SUM(CO6:CR6)</f>
        <v>7618.3169999999991</v>
      </c>
      <c r="V6" s="49">
        <f>SUM(CS6:CV6)</f>
        <v>7239.2900000000009</v>
      </c>
      <c r="W6" s="49">
        <f>V6+W7+W8</f>
        <v>7311.6829000000007</v>
      </c>
      <c r="X6" s="50">
        <f>W6+X7+X8</f>
        <v>7604.1502160000009</v>
      </c>
      <c r="Y6" s="51">
        <f>X6+Y7+Y8</f>
        <v>7908.3162246400016</v>
      </c>
      <c r="AA6" s="52">
        <f t="shared" ref="AA6:AQ6" si="5">(I6/H6-1)*100</f>
        <v>15.244786431675639</v>
      </c>
      <c r="AB6" s="53">
        <f t="shared" si="5"/>
        <v>9.0805405581820366</v>
      </c>
      <c r="AC6" s="53">
        <f t="shared" si="5"/>
        <v>5.3751606190210355</v>
      </c>
      <c r="AD6" s="53">
        <f t="shared" si="5"/>
        <v>4.276772450019517</v>
      </c>
      <c r="AE6" s="53">
        <f t="shared" si="5"/>
        <v>2.6126125907101505</v>
      </c>
      <c r="AF6" s="53">
        <f t="shared" si="5"/>
        <v>2.8728159438879963</v>
      </c>
      <c r="AG6" s="53">
        <f t="shared" si="5"/>
        <v>4.7144201172052647</v>
      </c>
      <c r="AH6" s="52">
        <f t="shared" si="5"/>
        <v>4.920300713513881</v>
      </c>
      <c r="AI6" s="53">
        <f t="shared" si="5"/>
        <v>5.9652915229494008</v>
      </c>
      <c r="AJ6" s="53">
        <f t="shared" si="5"/>
        <v>24.239000041147939</v>
      </c>
      <c r="AK6" s="53">
        <f t="shared" si="5"/>
        <v>15.829961886515598</v>
      </c>
      <c r="AL6" s="53">
        <f t="shared" si="5"/>
        <v>0.12953745382400239</v>
      </c>
      <c r="AM6" s="52">
        <f t="shared" si="5"/>
        <v>4.5930903610727603</v>
      </c>
      <c r="AN6" s="54">
        <f t="shared" si="5"/>
        <v>-4.9752064662050515</v>
      </c>
      <c r="AO6" s="53">
        <f t="shared" si="5"/>
        <v>1.0000000000000009</v>
      </c>
      <c r="AP6" s="54">
        <f t="shared" si="5"/>
        <v>4.0000000000000036</v>
      </c>
      <c r="AQ6" s="55">
        <f t="shared" si="5"/>
        <v>4.0000000000000036</v>
      </c>
      <c r="AR6" s="7"/>
      <c r="AS6" s="56">
        <f>$V6*(1+(AT6/100))</f>
        <v>8035.6119000000017</v>
      </c>
      <c r="AT6" s="57">
        <v>11</v>
      </c>
      <c r="AU6" s="56">
        <f>$AS6*(1+(AV6/100))</f>
        <v>8437.3924950000019</v>
      </c>
      <c r="AV6" s="57">
        <v>5</v>
      </c>
      <c r="AW6" s="58">
        <f>RATE(3,0,-V6,Y6)</f>
        <v>2.9902274952355933E-2</v>
      </c>
      <c r="AY6" s="59" t="s">
        <v>113</v>
      </c>
      <c r="AZ6" s="60"/>
      <c r="BA6" s="50">
        <v>762.56799999999998</v>
      </c>
      <c r="BB6" s="50">
        <v>1170.1859999999999</v>
      </c>
      <c r="BC6" s="50">
        <v>1134.999</v>
      </c>
      <c r="BD6" s="51">
        <f>+K6-BA6-BB6-BC6</f>
        <v>876.78699999999981</v>
      </c>
      <c r="BE6" s="61">
        <v>808.97199999999998</v>
      </c>
      <c r="BF6" s="50">
        <v>1223.4390000000001</v>
      </c>
      <c r="BG6" s="50">
        <v>1177.0119999999999</v>
      </c>
      <c r="BH6" s="51">
        <f>+L6-BE6-BF6-BG6</f>
        <v>903.81599999999958</v>
      </c>
      <c r="BI6" s="61">
        <v>851.42399999999998</v>
      </c>
      <c r="BJ6" s="50">
        <v>1214.4349999999999</v>
      </c>
      <c r="BK6" s="50">
        <v>1241.232</v>
      </c>
      <c r="BL6" s="51">
        <f>+M6-BI6-BJ6-BK6</f>
        <v>913.61100000000033</v>
      </c>
      <c r="BM6" s="61">
        <v>872.09500000000003</v>
      </c>
      <c r="BN6" s="50">
        <v>1275.924</v>
      </c>
      <c r="BO6" s="50">
        <v>1229.5909999999999</v>
      </c>
      <c r="BP6" s="51">
        <f>+N6-BM6-BN6-BO6</f>
        <v>964.3449999999998</v>
      </c>
      <c r="BQ6" s="62">
        <v>926.577</v>
      </c>
      <c r="BR6" s="49">
        <v>1332.7429999999999</v>
      </c>
      <c r="BS6" s="49">
        <v>1296.0070000000001</v>
      </c>
      <c r="BT6" s="63">
        <v>991.32600000000002</v>
      </c>
      <c r="BU6" s="49">
        <v>931.27800000000002</v>
      </c>
      <c r="BV6" s="49">
        <v>1371.854</v>
      </c>
      <c r="BW6" s="49">
        <v>1394.915</v>
      </c>
      <c r="BX6" s="63">
        <v>1072.3150000000001</v>
      </c>
      <c r="BY6" s="49">
        <v>1008.1559999999999</v>
      </c>
      <c r="BZ6" s="49">
        <v>1355.385</v>
      </c>
      <c r="CA6" s="49">
        <v>1536.671</v>
      </c>
      <c r="CB6" s="63">
        <v>1154.7159999999999</v>
      </c>
      <c r="CC6" s="49">
        <v>1136.1179999999999</v>
      </c>
      <c r="CD6" s="49">
        <v>1849.64</v>
      </c>
      <c r="CE6" s="49">
        <v>1782.569</v>
      </c>
      <c r="CF6" s="63">
        <v>1511.865</v>
      </c>
      <c r="CG6" s="49">
        <v>1523.57</v>
      </c>
      <c r="CH6" s="49">
        <v>2133.7550000000001</v>
      </c>
      <c r="CI6" s="49">
        <v>2035.796</v>
      </c>
      <c r="CJ6" s="63">
        <v>1581.223</v>
      </c>
      <c r="CK6" s="49">
        <v>1550.6410000000001</v>
      </c>
      <c r="CL6" s="49">
        <v>2003.0840000000001</v>
      </c>
      <c r="CM6" s="49">
        <v>2126.8449999999998</v>
      </c>
      <c r="CN6" s="63">
        <v>1603.1969999999999</v>
      </c>
      <c r="CO6" s="62">
        <v>1564.991</v>
      </c>
      <c r="CP6" s="49">
        <v>2139.328</v>
      </c>
      <c r="CQ6" s="49">
        <v>2160.0360000000001</v>
      </c>
      <c r="CR6" s="63">
        <v>1753.962</v>
      </c>
      <c r="CS6" s="62">
        <v>1531.086</v>
      </c>
      <c r="CT6" s="49">
        <v>2062.442</v>
      </c>
      <c r="CU6" s="49">
        <v>2067.0050000000001</v>
      </c>
      <c r="CV6" s="63">
        <v>1578.7570000000001</v>
      </c>
      <c r="CW6" s="49">
        <f>CS6+CW7+CW8</f>
        <v>1485.1534199999999</v>
      </c>
      <c r="CX6" s="49">
        <f>CT6+CX7+CX8</f>
        <v>2083.0664200000001</v>
      </c>
      <c r="CY6" s="49">
        <f>CU6+CY7+CY8</f>
        <v>2108.3451</v>
      </c>
      <c r="CZ6" s="63">
        <f>$W6-SUM(CW6:CY6)</f>
        <v>1635.1179600000005</v>
      </c>
      <c r="DB6" s="52">
        <f t="shared" ref="DB6:EW6" si="6">(BE6/BA6-1)*100</f>
        <v>6.0852278091920953</v>
      </c>
      <c r="DC6" s="53">
        <f t="shared" si="6"/>
        <v>4.5508149986412505</v>
      </c>
      <c r="DD6" s="53">
        <f t="shared" si="6"/>
        <v>3.7015891643957355</v>
      </c>
      <c r="DE6" s="64">
        <f t="shared" si="6"/>
        <v>3.0827327503714974</v>
      </c>
      <c r="DF6" s="52">
        <f t="shared" si="6"/>
        <v>5.2476476318092491</v>
      </c>
      <c r="DG6" s="53">
        <f t="shared" si="6"/>
        <v>-0.73595822922107867</v>
      </c>
      <c r="DH6" s="53">
        <f t="shared" si="6"/>
        <v>5.4561890617937703</v>
      </c>
      <c r="DI6" s="64">
        <f t="shared" si="6"/>
        <v>1.0837382830134468</v>
      </c>
      <c r="DJ6" s="52">
        <f t="shared" si="6"/>
        <v>2.4278150486714001</v>
      </c>
      <c r="DK6" s="53">
        <f t="shared" si="6"/>
        <v>5.0631775269981638</v>
      </c>
      <c r="DL6" s="53">
        <f t="shared" si="6"/>
        <v>-0.93785851476597681</v>
      </c>
      <c r="DM6" s="64">
        <f t="shared" si="6"/>
        <v>5.5531292858776338</v>
      </c>
      <c r="DN6" s="52">
        <f t="shared" si="6"/>
        <v>6.2472551728882664</v>
      </c>
      <c r="DO6" s="53">
        <f t="shared" si="6"/>
        <v>4.4531649220486358</v>
      </c>
      <c r="DP6" s="53">
        <f t="shared" si="6"/>
        <v>5.4014708956067636</v>
      </c>
      <c r="DQ6" s="64">
        <f t="shared" si="6"/>
        <v>2.7978576131986177</v>
      </c>
      <c r="DR6" s="65">
        <f t="shared" si="6"/>
        <v>0.50735125089442779</v>
      </c>
      <c r="DS6" s="53">
        <f t="shared" si="6"/>
        <v>2.9346243049110043</v>
      </c>
      <c r="DT6" s="53">
        <f t="shared" si="6"/>
        <v>7.6317489025907959</v>
      </c>
      <c r="DU6" s="55">
        <f t="shared" si="6"/>
        <v>8.1697645375991446</v>
      </c>
      <c r="DV6" s="52">
        <f t="shared" si="6"/>
        <v>8.2551074974389849</v>
      </c>
      <c r="DW6" s="53">
        <f t="shared" si="6"/>
        <v>-1.2004921806547997</v>
      </c>
      <c r="DX6" s="53">
        <f t="shared" si="6"/>
        <v>10.16233964076665</v>
      </c>
      <c r="DY6" s="55">
        <f t="shared" si="6"/>
        <v>7.6844024377165088</v>
      </c>
      <c r="DZ6" s="52">
        <f t="shared" si="6"/>
        <v>12.692678514039502</v>
      </c>
      <c r="EA6" s="53">
        <f t="shared" si="6"/>
        <v>36.466022569233104</v>
      </c>
      <c r="EB6" s="53">
        <f t="shared" si="6"/>
        <v>16.001993920624514</v>
      </c>
      <c r="EC6" s="55">
        <f t="shared" si="6"/>
        <v>30.929596541487282</v>
      </c>
      <c r="ED6" s="52">
        <f t="shared" si="6"/>
        <v>34.103147736414698</v>
      </c>
      <c r="EE6" s="53">
        <f t="shared" si="6"/>
        <v>15.360556648861401</v>
      </c>
      <c r="EF6" s="53">
        <f t="shared" si="6"/>
        <v>14.205733410600097</v>
      </c>
      <c r="EG6" s="55">
        <f t="shared" si="6"/>
        <v>4.5875789174298021</v>
      </c>
      <c r="EH6" s="52">
        <f t="shared" si="6"/>
        <v>1.7768136678984359</v>
      </c>
      <c r="EI6" s="53">
        <f t="shared" si="6"/>
        <v>-6.1239926795719324</v>
      </c>
      <c r="EJ6" s="53">
        <f t="shared" si="6"/>
        <v>4.4724029323173653</v>
      </c>
      <c r="EK6" s="55">
        <f t="shared" si="6"/>
        <v>1.3896838080397211</v>
      </c>
      <c r="EL6" s="52">
        <f t="shared" si="6"/>
        <v>0.92542374411612727</v>
      </c>
      <c r="EM6" s="53">
        <f t="shared" si="6"/>
        <v>6.8017117604653565</v>
      </c>
      <c r="EN6" s="53">
        <f t="shared" si="6"/>
        <v>1.5605744659342946</v>
      </c>
      <c r="EO6" s="55">
        <f t="shared" si="6"/>
        <v>9.4040220883646839</v>
      </c>
      <c r="EP6" s="52">
        <f t="shared" si="6"/>
        <v>-2.1664661330320745</v>
      </c>
      <c r="EQ6" s="53">
        <f t="shared" si="6"/>
        <v>-3.5939323002363355</v>
      </c>
      <c r="ER6" s="53">
        <f t="shared" si="6"/>
        <v>-4.3069189587580876</v>
      </c>
      <c r="ES6" s="55">
        <f t="shared" si="6"/>
        <v>-9.9890989656560407</v>
      </c>
      <c r="ET6" s="53">
        <f t="shared" si="6"/>
        <v>-3.0000000000000138</v>
      </c>
      <c r="EU6" s="53">
        <f t="shared" si="6"/>
        <v>1.0000000000000009</v>
      </c>
      <c r="EV6" s="53">
        <f t="shared" si="6"/>
        <v>2.0000000000000018</v>
      </c>
      <c r="EW6" s="55">
        <f t="shared" si="6"/>
        <v>3.5699578845889812</v>
      </c>
    </row>
    <row r="7" spans="2:153" s="70" customFormat="1">
      <c r="B7" s="66" t="s">
        <v>114</v>
      </c>
      <c r="C7" s="67"/>
      <c r="D7" s="67"/>
      <c r="E7" s="67"/>
      <c r="F7" s="67"/>
      <c r="G7" s="67"/>
      <c r="H7" s="67"/>
      <c r="I7" s="67"/>
      <c r="J7" s="67"/>
      <c r="K7" s="67"/>
      <c r="L7" s="68">
        <v>196.6</v>
      </c>
      <c r="M7" s="68">
        <v>124.5</v>
      </c>
      <c r="N7" s="68">
        <v>140.1</v>
      </c>
      <c r="O7" s="68">
        <v>196.9</v>
      </c>
      <c r="P7" s="68">
        <v>80.7</v>
      </c>
      <c r="Q7" s="68">
        <f>Q6-P6-Q8</f>
        <v>125.70000000000005</v>
      </c>
      <c r="R7" s="68">
        <v>893.89035999999896</v>
      </c>
      <c r="S7" s="68">
        <f>S6-R6-S8</f>
        <v>857.20000000000073</v>
      </c>
      <c r="T7" s="68">
        <f>T6-S6-T8</f>
        <v>-55.028999999999996</v>
      </c>
      <c r="U7" s="68">
        <f>U6-T6-U8</f>
        <v>185.19999999999891</v>
      </c>
      <c r="V7" s="68">
        <f>V6-U6-V8</f>
        <v>-381.99999999999841</v>
      </c>
      <c r="W7" s="68">
        <f>(V6*(1+(AO7/100)))-V6</f>
        <v>72.392899999999827</v>
      </c>
      <c r="X7" s="68">
        <f>(W6*(1+(AP7/100)))-W6</f>
        <v>292.46731600000021</v>
      </c>
      <c r="Y7" s="69">
        <f>(X6*(1+(AQ7/100)))-X6</f>
        <v>304.16600864000065</v>
      </c>
      <c r="AA7" s="71"/>
      <c r="AB7" s="68"/>
      <c r="AC7" s="68"/>
      <c r="AD7" s="68">
        <f t="shared" ref="AD7:AN7" si="7">(((K6+L7)/K6)-1)*100</f>
        <v>4.9841046104235343</v>
      </c>
      <c r="AE7" s="68">
        <f t="shared" si="7"/>
        <v>3.026811716994815</v>
      </c>
      <c r="AF7" s="68">
        <f t="shared" si="7"/>
        <v>3.3193530365327906</v>
      </c>
      <c r="AG7" s="68">
        <f t="shared" si="7"/>
        <v>4.5348235990469554</v>
      </c>
      <c r="AH7" s="71">
        <f t="shared" si="7"/>
        <v>1.7749320214232256</v>
      </c>
      <c r="AI7" s="68">
        <f t="shared" si="7"/>
        <v>2.6350201515105143</v>
      </c>
      <c r="AJ7" s="68">
        <f t="shared" si="7"/>
        <v>17.683542871431591</v>
      </c>
      <c r="AK7" s="68">
        <f t="shared" si="7"/>
        <v>13.649264226316671</v>
      </c>
      <c r="AL7" s="68">
        <f t="shared" si="7"/>
        <v>-0.75648058436609267</v>
      </c>
      <c r="AM7" s="71">
        <f t="shared" si="7"/>
        <v>2.5426403672714759</v>
      </c>
      <c r="AN7" s="68">
        <f t="shared" si="7"/>
        <v>-5.0142308333979591</v>
      </c>
      <c r="AO7" s="72">
        <v>1</v>
      </c>
      <c r="AP7" s="72">
        <v>4</v>
      </c>
      <c r="AQ7" s="73">
        <v>4</v>
      </c>
      <c r="AS7" s="74"/>
      <c r="AT7" s="75"/>
      <c r="AU7" s="74"/>
      <c r="AV7" s="75"/>
      <c r="AW7" s="76"/>
      <c r="AY7" s="77" t="s">
        <v>114</v>
      </c>
      <c r="BA7" s="67"/>
      <c r="BB7" s="67"/>
      <c r="BC7" s="67"/>
      <c r="BD7" s="78"/>
      <c r="BE7" s="79">
        <v>50.1</v>
      </c>
      <c r="BF7" s="67">
        <v>58.1</v>
      </c>
      <c r="BG7" s="67">
        <v>52.5</v>
      </c>
      <c r="BH7" s="78">
        <f>L7-BG7-BF7-BE7</f>
        <v>35.9</v>
      </c>
      <c r="BI7" s="79">
        <v>47.7</v>
      </c>
      <c r="BJ7" s="67">
        <v>-3.3</v>
      </c>
      <c r="BK7" s="67">
        <v>66.7</v>
      </c>
      <c r="BL7" s="69">
        <f>M7-BK7-BJ7-BI7</f>
        <v>13.399999999999991</v>
      </c>
      <c r="BM7" s="79">
        <v>25.5</v>
      </c>
      <c r="BN7" s="67">
        <v>66</v>
      </c>
      <c r="BO7" s="67">
        <v>-5.3</v>
      </c>
      <c r="BP7" s="69">
        <f>N7-BO7-BN7-BM7</f>
        <v>53.900000000000006</v>
      </c>
      <c r="BQ7" s="79">
        <v>53.2</v>
      </c>
      <c r="BR7" s="67">
        <v>54</v>
      </c>
      <c r="BS7" s="67">
        <v>66.8</v>
      </c>
      <c r="BT7" s="69">
        <f>O7-BS7-BR7-BQ7</f>
        <v>22.90000000000002</v>
      </c>
      <c r="BU7" s="68">
        <v>3.3</v>
      </c>
      <c r="BV7" s="68">
        <v>19.899999999999999</v>
      </c>
      <c r="BW7" s="68">
        <v>44.4</v>
      </c>
      <c r="BX7" s="69">
        <f>P7-BW7-BV7-BU7</f>
        <v>13.100000000000005</v>
      </c>
      <c r="BY7" s="68">
        <v>17.3</v>
      </c>
      <c r="BZ7" s="68">
        <v>-79</v>
      </c>
      <c r="CA7" s="68">
        <v>105</v>
      </c>
      <c r="CB7" s="69">
        <v>82.4</v>
      </c>
      <c r="CC7" s="68">
        <v>128.30000000000001</v>
      </c>
      <c r="CD7" s="68">
        <v>395</v>
      </c>
      <c r="CE7" s="68">
        <v>128.1</v>
      </c>
      <c r="CF7" s="69">
        <f>(CB6*(1+(EC7/100))-CB6)</f>
        <v>242.49036000000001</v>
      </c>
      <c r="CG7" s="68">
        <v>289.10000000000002</v>
      </c>
      <c r="CH7" s="68">
        <v>263.8</v>
      </c>
      <c r="CI7" s="68">
        <v>248.5</v>
      </c>
      <c r="CJ7" s="69">
        <v>55.8</v>
      </c>
      <c r="CK7" s="68">
        <v>27.071000000000002</v>
      </c>
      <c r="CL7" s="68">
        <v>-131</v>
      </c>
      <c r="CM7" s="68">
        <v>73.900000000000006</v>
      </c>
      <c r="CN7" s="69">
        <v>-25</v>
      </c>
      <c r="CO7" s="71">
        <v>-31</v>
      </c>
      <c r="CP7" s="68">
        <v>90</v>
      </c>
      <c r="CQ7" s="68">
        <v>0</v>
      </c>
      <c r="CR7" s="69">
        <f>185.2-CQ7-CP7-CO7</f>
        <v>126.19999999999999</v>
      </c>
      <c r="CS7" s="71">
        <v>-37.1</v>
      </c>
      <c r="CT7" s="68">
        <v>-77</v>
      </c>
      <c r="CU7" s="68">
        <f>+CU6-CQ6</f>
        <v>-93.030999999999949</v>
      </c>
      <c r="CV7" s="69">
        <f>-382-CU7-CT7-CS7</f>
        <v>-174.86900000000006</v>
      </c>
      <c r="CW7" s="68">
        <f>(CS6*(1+(ET7/100))-CS6)</f>
        <v>-45.932580000000144</v>
      </c>
      <c r="CX7" s="68">
        <f>(CT6*(1+(EU7/100))-CT6)</f>
        <v>20.6244200000001</v>
      </c>
      <c r="CY7" s="68">
        <f>(CU6*(1+(EV7/100))-CU6)</f>
        <v>41.340099999999893</v>
      </c>
      <c r="CZ7" s="69">
        <f>$W7-CY7-CX7-CW7</f>
        <v>56.360959999999977</v>
      </c>
      <c r="DB7" s="71"/>
      <c r="DC7" s="68"/>
      <c r="DD7" s="68"/>
      <c r="DE7" s="69"/>
      <c r="DF7" s="71"/>
      <c r="DG7" s="68"/>
      <c r="DH7" s="68"/>
      <c r="DI7" s="69"/>
      <c r="DJ7" s="71"/>
      <c r="DK7" s="68"/>
      <c r="DL7" s="68"/>
      <c r="DM7" s="69"/>
      <c r="DN7" s="71"/>
      <c r="DO7" s="68"/>
      <c r="DP7" s="68"/>
      <c r="DQ7" s="69"/>
      <c r="DR7" s="71">
        <f t="shared" ref="DR7:EB7" si="8">(((BQ6+BU7)/BQ6)-1)*100</f>
        <v>0.35614956986844692</v>
      </c>
      <c r="DS7" s="68">
        <f t="shared" si="8"/>
        <v>1.4931610970757347</v>
      </c>
      <c r="DT7" s="68">
        <f t="shared" si="8"/>
        <v>3.425907421796337</v>
      </c>
      <c r="DU7" s="69">
        <f t="shared" si="8"/>
        <v>1.3214623645501078</v>
      </c>
      <c r="DV7" s="71">
        <f t="shared" si="8"/>
        <v>1.8576622662620501</v>
      </c>
      <c r="DW7" s="68">
        <f t="shared" si="8"/>
        <v>-5.758630291561639</v>
      </c>
      <c r="DX7" s="68">
        <f t="shared" si="8"/>
        <v>7.5273403755784507</v>
      </c>
      <c r="DY7" s="69">
        <f t="shared" si="8"/>
        <v>7.6843091815371523</v>
      </c>
      <c r="DZ7" s="71">
        <f t="shared" si="8"/>
        <v>12.726205071437358</v>
      </c>
      <c r="EA7" s="68">
        <f t="shared" si="8"/>
        <v>29.143011026387345</v>
      </c>
      <c r="EB7" s="68">
        <f t="shared" si="8"/>
        <v>8.3362020888010377</v>
      </c>
      <c r="EC7" s="69">
        <v>21</v>
      </c>
      <c r="ED7" s="71">
        <f t="shared" ref="ED7:ER7" si="9">(((CC6+CG7)/CC6)-1)*100</f>
        <v>25.446300472310092</v>
      </c>
      <c r="EE7" s="68">
        <f t="shared" si="9"/>
        <v>14.262234813260966</v>
      </c>
      <c r="EF7" s="68">
        <f t="shared" si="9"/>
        <v>13.940554334783117</v>
      </c>
      <c r="EG7" s="69">
        <f t="shared" si="9"/>
        <v>3.6908057267017957</v>
      </c>
      <c r="EH7" s="71">
        <f t="shared" si="9"/>
        <v>1.7768136678984137</v>
      </c>
      <c r="EI7" s="68">
        <f t="shared" si="9"/>
        <v>-6.1394115069443256</v>
      </c>
      <c r="EJ7" s="68">
        <f t="shared" si="9"/>
        <v>3.6300297279295179</v>
      </c>
      <c r="EK7" s="69">
        <f t="shared" si="9"/>
        <v>-1.5810546646488177</v>
      </c>
      <c r="EL7" s="71">
        <f t="shared" si="9"/>
        <v>-1.999173245128949</v>
      </c>
      <c r="EM7" s="68">
        <f t="shared" si="9"/>
        <v>4.4930716834640894</v>
      </c>
      <c r="EN7" s="68">
        <f t="shared" si="9"/>
        <v>0</v>
      </c>
      <c r="EO7" s="69">
        <f t="shared" si="9"/>
        <v>7.8717712171367582</v>
      </c>
      <c r="EP7" s="68">
        <f t="shared" si="9"/>
        <v>-2.3706206617162606</v>
      </c>
      <c r="EQ7" s="68">
        <f t="shared" si="9"/>
        <v>-3.5992610763753818</v>
      </c>
      <c r="ER7" s="68">
        <f t="shared" si="9"/>
        <v>-4.3069189587580876</v>
      </c>
      <c r="ES7" s="69">
        <f>(((CR6+CV7)/CR6)-1)*100</f>
        <v>-9.9699423362649924</v>
      </c>
      <c r="ET7" s="72">
        <v>-3</v>
      </c>
      <c r="EU7" s="72">
        <v>1</v>
      </c>
      <c r="EV7" s="72">
        <v>2</v>
      </c>
      <c r="EW7" s="69">
        <f>(((CV6+CZ7)/CV6)-1)*100</f>
        <v>3.569957884588959</v>
      </c>
    </row>
    <row r="8" spans="2:153" s="70" customFormat="1">
      <c r="B8" s="66" t="s">
        <v>115</v>
      </c>
      <c r="C8" s="67"/>
      <c r="D8" s="67"/>
      <c r="E8" s="67"/>
      <c r="F8" s="67"/>
      <c r="G8" s="67"/>
      <c r="H8" s="67"/>
      <c r="I8" s="67"/>
      <c r="J8" s="67"/>
      <c r="K8" s="67"/>
      <c r="L8" s="68">
        <f>L6-(K6+L7)</f>
        <v>-27.901000000000749</v>
      </c>
      <c r="M8" s="68">
        <f>M6-(L6+M7)</f>
        <v>-17.036999999999352</v>
      </c>
      <c r="N8" s="68">
        <f>N6-(M6+N7)</f>
        <v>-18.847000000000662</v>
      </c>
      <c r="O8" s="68">
        <f>O6-(N6+O7)</f>
        <v>7.7980000000006839</v>
      </c>
      <c r="P8" s="68">
        <f>P6-(O6+P7)</f>
        <v>143.00900000000001</v>
      </c>
      <c r="Q8" s="68">
        <f>SUM(BY8:CB8)</f>
        <v>158.86599999999976</v>
      </c>
      <c r="R8" s="68">
        <f>SUM(CC8:CF8)</f>
        <v>331.37364000000025</v>
      </c>
      <c r="S8" s="68">
        <f t="shared" ref="S8:S22" si="10">SUM(CG8:CJ8)</f>
        <v>136.95200000000023</v>
      </c>
      <c r="T8" s="68">
        <f t="shared" ref="T8:T21" si="11">SUM(CK8:CN8)</f>
        <v>64.451999999999771</v>
      </c>
      <c r="U8" s="68">
        <f>SUM(CO8:CR8)</f>
        <v>149.35000000000036</v>
      </c>
      <c r="V8" s="68">
        <f>SUM(CS8:CV8)</f>
        <v>2.9730000000001837</v>
      </c>
      <c r="W8" s="72">
        <v>0</v>
      </c>
      <c r="X8" s="72">
        <v>0</v>
      </c>
      <c r="Y8" s="73">
        <v>0</v>
      </c>
      <c r="AA8" s="71"/>
      <c r="AB8" s="68"/>
      <c r="AC8" s="68"/>
      <c r="AD8" s="68">
        <f t="shared" ref="AD8:AQ8" si="12">(((K6+L8)/K6)-1)*100</f>
        <v>-0.70733216040401725</v>
      </c>
      <c r="AE8" s="68">
        <f t="shared" si="12"/>
        <v>-0.41419912628464228</v>
      </c>
      <c r="AF8" s="68">
        <f t="shared" si="12"/>
        <v>-0.44653709264479424</v>
      </c>
      <c r="AG8" s="68">
        <f t="shared" si="12"/>
        <v>0.17959651815830924</v>
      </c>
      <c r="AH8" s="71">
        <f t="shared" si="12"/>
        <v>3.1453686920906332</v>
      </c>
      <c r="AI8" s="68">
        <f t="shared" si="12"/>
        <v>3.3302713714388865</v>
      </c>
      <c r="AJ8" s="68">
        <f t="shared" si="12"/>
        <v>6.55545716971635</v>
      </c>
      <c r="AK8" s="68">
        <f t="shared" si="12"/>
        <v>2.180697660198927</v>
      </c>
      <c r="AL8" s="68">
        <f t="shared" si="12"/>
        <v>0.88601803819010616</v>
      </c>
      <c r="AM8" s="71">
        <f t="shared" si="12"/>
        <v>2.0504499938012843</v>
      </c>
      <c r="AN8" s="68">
        <f t="shared" si="12"/>
        <v>3.9024367192919129E-2</v>
      </c>
      <c r="AO8" s="68">
        <f t="shared" si="12"/>
        <v>0</v>
      </c>
      <c r="AP8" s="68">
        <f t="shared" si="12"/>
        <v>0</v>
      </c>
      <c r="AQ8" s="69">
        <f t="shared" si="12"/>
        <v>0</v>
      </c>
      <c r="AS8" s="80"/>
      <c r="AT8" s="75"/>
      <c r="AU8" s="80"/>
      <c r="AV8" s="75"/>
      <c r="AW8" s="76"/>
      <c r="AY8" s="77" t="s">
        <v>115</v>
      </c>
      <c r="BA8" s="67"/>
      <c r="BB8" s="67"/>
      <c r="BC8" s="67"/>
      <c r="BD8" s="78"/>
      <c r="BE8" s="79"/>
      <c r="BF8" s="67"/>
      <c r="BG8" s="67"/>
      <c r="BH8" s="78"/>
      <c r="BI8" s="79"/>
      <c r="BJ8" s="67"/>
      <c r="BK8" s="67"/>
      <c r="BL8" s="78"/>
      <c r="BM8" s="79"/>
      <c r="BN8" s="67"/>
      <c r="BO8" s="67"/>
      <c r="BP8" s="78"/>
      <c r="BQ8" s="79"/>
      <c r="BR8" s="67"/>
      <c r="BS8" s="67"/>
      <c r="BT8" s="78"/>
      <c r="BU8" s="68">
        <f>BU6-(BQ6+BU7)</f>
        <v>1.4010000000000673</v>
      </c>
      <c r="BV8" s="68">
        <f>BV6-(BR6+BV7)</f>
        <v>19.211000000000013</v>
      </c>
      <c r="BW8" s="68">
        <f>BW6-(BS6+BW7)</f>
        <v>54.507999999999811</v>
      </c>
      <c r="BX8" s="69">
        <f>P8-BW8-BV8-BU8</f>
        <v>67.889000000000124</v>
      </c>
      <c r="BY8" s="68">
        <f t="shared" ref="BY8:CR8" si="13">BY6-(BU6+BY7)</f>
        <v>59.577999999999975</v>
      </c>
      <c r="BZ8" s="68">
        <f t="shared" si="13"/>
        <v>62.530999999999949</v>
      </c>
      <c r="CA8" s="68">
        <f t="shared" si="13"/>
        <v>36.756000000000085</v>
      </c>
      <c r="CB8" s="69">
        <f t="shared" si="13"/>
        <v>9.9999999974897946E-4</v>
      </c>
      <c r="CC8" s="68">
        <f t="shared" si="13"/>
        <v>-0.33799999999996544</v>
      </c>
      <c r="CD8" s="68">
        <f t="shared" si="13"/>
        <v>99.255000000000109</v>
      </c>
      <c r="CE8" s="68">
        <f t="shared" si="13"/>
        <v>117.798</v>
      </c>
      <c r="CF8" s="69">
        <f t="shared" si="13"/>
        <v>114.6586400000001</v>
      </c>
      <c r="CG8" s="68">
        <f t="shared" si="13"/>
        <v>98.352000000000089</v>
      </c>
      <c r="CH8" s="68">
        <f t="shared" si="13"/>
        <v>20.315000000000055</v>
      </c>
      <c r="CI8" s="68">
        <f t="shared" si="13"/>
        <v>4.7270000000000891</v>
      </c>
      <c r="CJ8" s="69">
        <f t="shared" si="13"/>
        <v>13.557999999999993</v>
      </c>
      <c r="CK8" s="68">
        <f t="shared" si="13"/>
        <v>0</v>
      </c>
      <c r="CL8" s="68">
        <f t="shared" si="13"/>
        <v>0.32899999999995089</v>
      </c>
      <c r="CM8" s="68">
        <f t="shared" si="13"/>
        <v>17.148999999999887</v>
      </c>
      <c r="CN8" s="69">
        <f t="shared" si="13"/>
        <v>46.973999999999933</v>
      </c>
      <c r="CO8" s="71">
        <f t="shared" si="13"/>
        <v>45.349999999999909</v>
      </c>
      <c r="CP8" s="68">
        <f t="shared" si="13"/>
        <v>46.244000000000142</v>
      </c>
      <c r="CQ8" s="68">
        <f t="shared" si="13"/>
        <v>33.191000000000258</v>
      </c>
      <c r="CR8" s="69">
        <f t="shared" si="13"/>
        <v>24.565000000000055</v>
      </c>
      <c r="CS8" s="71">
        <f>CS6-(CO6+CS7)</f>
        <v>3.1949999999999363</v>
      </c>
      <c r="CT8" s="68">
        <f>CT6-(CP6+CT7)</f>
        <v>0.11400000000003274</v>
      </c>
      <c r="CU8" s="68">
        <v>0</v>
      </c>
      <c r="CV8" s="69">
        <f>CV6-(CR6+CV7)</f>
        <v>-0.33599999999978536</v>
      </c>
      <c r="CW8" s="72">
        <v>0</v>
      </c>
      <c r="CX8" s="72">
        <v>0</v>
      </c>
      <c r="CY8" s="72">
        <v>0</v>
      </c>
      <c r="CZ8" s="69">
        <f>$W8-CY8-CX8-CW8</f>
        <v>0</v>
      </c>
      <c r="DB8" s="71"/>
      <c r="DC8" s="68"/>
      <c r="DD8" s="68"/>
      <c r="DE8" s="69"/>
      <c r="DF8" s="71"/>
      <c r="DG8" s="68"/>
      <c r="DH8" s="68"/>
      <c r="DI8" s="69"/>
      <c r="DJ8" s="71"/>
      <c r="DK8" s="68"/>
      <c r="DL8" s="68"/>
      <c r="DM8" s="69"/>
      <c r="DN8" s="71"/>
      <c r="DO8" s="68"/>
      <c r="DP8" s="68"/>
      <c r="DQ8" s="69"/>
      <c r="DR8" s="71">
        <f t="shared" ref="DR8:EW8" si="14">(((BQ6+BU8)/BQ6)-1)*100</f>
        <v>0.15120168102598086</v>
      </c>
      <c r="DS8" s="68">
        <f t="shared" si="14"/>
        <v>1.4414632078352696</v>
      </c>
      <c r="DT8" s="68">
        <f t="shared" si="14"/>
        <v>4.2058414807944589</v>
      </c>
      <c r="DU8" s="69">
        <f t="shared" si="14"/>
        <v>6.8483021730490368</v>
      </c>
      <c r="DV8" s="71">
        <f t="shared" si="14"/>
        <v>6.3974452311769348</v>
      </c>
      <c r="DW8" s="68">
        <f t="shared" si="14"/>
        <v>4.5581381109068397</v>
      </c>
      <c r="DX8" s="68">
        <f t="shared" si="14"/>
        <v>2.6349992651881982</v>
      </c>
      <c r="DY8" s="69">
        <f t="shared" si="14"/>
        <v>9.3256179356515645E-5</v>
      </c>
      <c r="DZ8" s="71">
        <f t="shared" si="14"/>
        <v>-3.3526557397856038E-2</v>
      </c>
      <c r="EA8" s="68">
        <f t="shared" si="14"/>
        <v>7.3230115428457587</v>
      </c>
      <c r="EB8" s="68">
        <f t="shared" si="14"/>
        <v>7.6657918318234763</v>
      </c>
      <c r="EC8" s="69">
        <f t="shared" si="14"/>
        <v>9.9295965414872622</v>
      </c>
      <c r="ED8" s="71">
        <f t="shared" si="14"/>
        <v>8.656847264104627</v>
      </c>
      <c r="EE8" s="68">
        <f t="shared" si="14"/>
        <v>1.0983218356004354</v>
      </c>
      <c r="EF8" s="68">
        <f t="shared" si="14"/>
        <v>0.26517907581697919</v>
      </c>
      <c r="EG8" s="69">
        <f t="shared" si="14"/>
        <v>0.89677319072800632</v>
      </c>
      <c r="EH8" s="71">
        <f t="shared" si="14"/>
        <v>0</v>
      </c>
      <c r="EI8" s="68">
        <f t="shared" si="14"/>
        <v>1.5418827372393196E-2</v>
      </c>
      <c r="EJ8" s="68">
        <f t="shared" si="14"/>
        <v>0.84237320438784735</v>
      </c>
      <c r="EK8" s="69">
        <f t="shared" si="14"/>
        <v>2.9707384726885389</v>
      </c>
      <c r="EL8" s="71">
        <f t="shared" si="14"/>
        <v>2.9245969892450763</v>
      </c>
      <c r="EM8" s="68">
        <f t="shared" si="14"/>
        <v>2.3086400770012894</v>
      </c>
      <c r="EN8" s="68">
        <f t="shared" si="14"/>
        <v>1.5605744659342946</v>
      </c>
      <c r="EO8" s="69">
        <f t="shared" si="14"/>
        <v>1.5322508712279248</v>
      </c>
      <c r="EP8" s="71">
        <f t="shared" si="14"/>
        <v>0.20415452868418615</v>
      </c>
      <c r="EQ8" s="68">
        <f t="shared" si="14"/>
        <v>5.3287761390574673E-3</v>
      </c>
      <c r="ER8" s="68">
        <f t="shared" si="14"/>
        <v>0</v>
      </c>
      <c r="ES8" s="69">
        <f t="shared" si="14"/>
        <v>-1.9156629391048341E-2</v>
      </c>
      <c r="ET8" s="68">
        <f t="shared" si="14"/>
        <v>0</v>
      </c>
      <c r="EU8" s="68">
        <f t="shared" si="14"/>
        <v>0</v>
      </c>
      <c r="EV8" s="68">
        <f t="shared" si="14"/>
        <v>0</v>
      </c>
      <c r="EW8" s="69">
        <f t="shared" si="14"/>
        <v>0</v>
      </c>
    </row>
    <row r="9" spans="2:153" s="84" customFormat="1" ht="13.15">
      <c r="B9" s="48" t="s">
        <v>116</v>
      </c>
      <c r="C9" s="81"/>
      <c r="D9" s="81"/>
      <c r="E9" s="81"/>
      <c r="F9" s="81"/>
      <c r="G9" s="81"/>
      <c r="H9" s="82">
        <f t="shared" ref="H9:M9" si="15">H12-H11</f>
        <v>2237.7400000000002</v>
      </c>
      <c r="I9" s="82">
        <f t="shared" si="15"/>
        <v>2601.4059999999999</v>
      </c>
      <c r="J9" s="82">
        <f>J12-J11</f>
        <v>2826.3710000000001</v>
      </c>
      <c r="K9" s="82">
        <f t="shared" si="15"/>
        <v>2970.2109999999998</v>
      </c>
      <c r="L9" s="82">
        <f t="shared" si="15"/>
        <v>3086.7649999999999</v>
      </c>
      <c r="M9" s="82">
        <f t="shared" si="15"/>
        <v>3166.0520000000001</v>
      </c>
      <c r="N9" s="82">
        <f>N12-N11</f>
        <v>3254.2629999999999</v>
      </c>
      <c r="O9" s="82">
        <f t="shared" si="3"/>
        <v>3404.306</v>
      </c>
      <c r="P9" s="82">
        <f t="shared" si="4"/>
        <v>3588.8939999999998</v>
      </c>
      <c r="Q9" s="82">
        <f t="shared" ref="Q9:Q21" si="16">SUM(BY9:CB9)</f>
        <v>3806.1989999999996</v>
      </c>
      <c r="R9" s="82">
        <f>SUM(CC9:CF9)</f>
        <v>4584.5200000000004</v>
      </c>
      <c r="S9" s="82">
        <f t="shared" si="10"/>
        <v>5212.3720000000003</v>
      </c>
      <c r="T9" s="82">
        <f t="shared" si="11"/>
        <v>5256.5370000000003</v>
      </c>
      <c r="U9" s="82">
        <f>SUM(CO9:CR9)</f>
        <v>5532.7820000000002</v>
      </c>
      <c r="V9" s="82">
        <f>SUM(CS9:CV9)</f>
        <v>5165.0739999999987</v>
      </c>
      <c r="W9" s="82">
        <f>W6-W10</f>
        <v>5197.1442053200008</v>
      </c>
      <c r="X9" s="82">
        <f>X6-X10</f>
        <v>5391.3425031440001</v>
      </c>
      <c r="Y9" s="83">
        <f>Y6-Y10</f>
        <v>5592.3658182541767</v>
      </c>
      <c r="AA9" s="52">
        <f t="shared" ref="AA9:AP29" si="17">(I9/H9-1)*100</f>
        <v>16.251485874140869</v>
      </c>
      <c r="AB9" s="53">
        <f t="shared" si="17"/>
        <v>8.6478235231255862</v>
      </c>
      <c r="AC9" s="53">
        <f t="shared" si="17"/>
        <v>5.0892115720122977</v>
      </c>
      <c r="AD9" s="53">
        <f t="shared" si="17"/>
        <v>3.9240983216343839</v>
      </c>
      <c r="AE9" s="53">
        <f t="shared" si="17"/>
        <v>2.568611475120397</v>
      </c>
      <c r="AF9" s="53">
        <f t="shared" si="17"/>
        <v>2.7861513329534571</v>
      </c>
      <c r="AG9" s="53">
        <f t="shared" si="17"/>
        <v>4.6106599251504843</v>
      </c>
      <c r="AH9" s="52">
        <f t="shared" si="17"/>
        <v>5.4221917771199113</v>
      </c>
      <c r="AI9" s="53">
        <f t="shared" si="17"/>
        <v>6.0549294573760015</v>
      </c>
      <c r="AJ9" s="53">
        <f t="shared" si="17"/>
        <v>20.448773172395907</v>
      </c>
      <c r="AK9" s="53">
        <f t="shared" si="17"/>
        <v>13.695043319693223</v>
      </c>
      <c r="AL9" s="53">
        <f t="shared" si="17"/>
        <v>0.84731097473471628</v>
      </c>
      <c r="AM9" s="52">
        <f t="shared" si="17"/>
        <v>5.2552659669284241</v>
      </c>
      <c r="AN9" s="53">
        <f t="shared" si="17"/>
        <v>-6.6459874977904736</v>
      </c>
      <c r="AO9" s="53">
        <f t="shared" si="17"/>
        <v>0.62090505034395616</v>
      </c>
      <c r="AP9" s="53">
        <f t="shared" si="17"/>
        <v>3.736634777715242</v>
      </c>
      <c r="AQ9" s="64">
        <f t="shared" ref="AI9:AQ14" si="18">(Y9/X9-1)*100</f>
        <v>3.7286318758815273</v>
      </c>
      <c r="AS9" s="85">
        <f>AS6-AS10</f>
        <v>5777.6049561000009</v>
      </c>
      <c r="AT9" s="86"/>
      <c r="AU9" s="85">
        <f>AU6-AU10</f>
        <v>6039.4855479210019</v>
      </c>
      <c r="AV9" s="86"/>
      <c r="AW9" s="87"/>
      <c r="AY9" s="59" t="s">
        <v>116</v>
      </c>
      <c r="BA9" s="82"/>
      <c r="BB9" s="82"/>
      <c r="BC9" s="82"/>
      <c r="BD9" s="83"/>
      <c r="BE9" s="88">
        <f t="shared" ref="BE9:CU9" si="19">BE12-BE11</f>
        <v>600.12599999999998</v>
      </c>
      <c r="BF9" s="82">
        <f t="shared" si="19"/>
        <v>923.40599999999995</v>
      </c>
      <c r="BG9" s="82">
        <f t="shared" si="19"/>
        <v>886.35900000000004</v>
      </c>
      <c r="BH9" s="83">
        <f t="shared" si="19"/>
        <v>676.87400000000025</v>
      </c>
      <c r="BI9" s="88">
        <f t="shared" si="19"/>
        <v>634.02</v>
      </c>
      <c r="BJ9" s="82">
        <f t="shared" si="19"/>
        <v>917.48799999999994</v>
      </c>
      <c r="BK9" s="82">
        <f t="shared" si="19"/>
        <v>933.99300000000005</v>
      </c>
      <c r="BL9" s="83">
        <f t="shared" si="19"/>
        <v>680.55099999999993</v>
      </c>
      <c r="BM9" s="88">
        <f t="shared" si="19"/>
        <v>648.17399999999998</v>
      </c>
      <c r="BN9" s="82">
        <f t="shared" si="19"/>
        <v>960.077</v>
      </c>
      <c r="BO9" s="82">
        <f t="shared" si="19"/>
        <v>928.12099999999998</v>
      </c>
      <c r="BP9" s="83">
        <f t="shared" si="19"/>
        <v>717.89099999999962</v>
      </c>
      <c r="BQ9" s="88">
        <f t="shared" si="19"/>
        <v>690.20600000000002</v>
      </c>
      <c r="BR9" s="82">
        <f t="shared" si="19"/>
        <v>1006.4879999999999</v>
      </c>
      <c r="BS9" s="82">
        <f t="shared" si="19"/>
        <v>971.52500000000009</v>
      </c>
      <c r="BT9" s="83">
        <f t="shared" si="19"/>
        <v>736.08699999999999</v>
      </c>
      <c r="BU9" s="82">
        <f t="shared" si="19"/>
        <v>691.75</v>
      </c>
      <c r="BV9" s="82">
        <f t="shared" si="19"/>
        <v>1037.982</v>
      </c>
      <c r="BW9" s="82">
        <f t="shared" si="19"/>
        <v>1053.8969999999999</v>
      </c>
      <c r="BX9" s="83">
        <f t="shared" si="19"/>
        <v>805.26499999999999</v>
      </c>
      <c r="BY9" s="82">
        <f t="shared" si="19"/>
        <v>754.06200000000001</v>
      </c>
      <c r="BZ9" s="82">
        <f t="shared" si="19"/>
        <v>1029.7669999999998</v>
      </c>
      <c r="CA9" s="82">
        <f t="shared" si="19"/>
        <v>1156.4559999999999</v>
      </c>
      <c r="CB9" s="83">
        <f t="shared" si="19"/>
        <v>865.91399999999999</v>
      </c>
      <c r="CC9" s="82">
        <f t="shared" si="19"/>
        <v>834.399</v>
      </c>
      <c r="CD9" s="82">
        <f t="shared" si="19"/>
        <v>1364.72</v>
      </c>
      <c r="CE9" s="82">
        <f t="shared" si="19"/>
        <v>1292.9079999999999</v>
      </c>
      <c r="CF9" s="83">
        <f t="shared" si="19"/>
        <v>1092.4930000000002</v>
      </c>
      <c r="CG9" s="82">
        <f t="shared" si="19"/>
        <v>1065.6189999999999</v>
      </c>
      <c r="CH9" s="82">
        <f t="shared" si="19"/>
        <v>1530.4390000000001</v>
      </c>
      <c r="CI9" s="82">
        <f t="shared" si="19"/>
        <v>1476.884</v>
      </c>
      <c r="CJ9" s="83">
        <f t="shared" si="19"/>
        <v>1139.43</v>
      </c>
      <c r="CK9" s="82">
        <f t="shared" si="19"/>
        <v>1094.3009999999999</v>
      </c>
      <c r="CL9" s="82">
        <f t="shared" si="19"/>
        <v>1432.03</v>
      </c>
      <c r="CM9" s="82">
        <f t="shared" si="19"/>
        <v>1551.1090000000002</v>
      </c>
      <c r="CN9" s="83">
        <f>CN12-CN11</f>
        <v>1179.097</v>
      </c>
      <c r="CO9" s="88">
        <f t="shared" si="19"/>
        <v>1124.4839999999999</v>
      </c>
      <c r="CP9" s="82">
        <f t="shared" si="19"/>
        <v>1549.557</v>
      </c>
      <c r="CQ9" s="82">
        <f t="shared" si="19"/>
        <v>1583.3539999999998</v>
      </c>
      <c r="CR9" s="83">
        <f>CR12-CR11</f>
        <v>1275.3869999999999</v>
      </c>
      <c r="CS9" s="88">
        <f t="shared" si="19"/>
        <v>1090.6859999999999</v>
      </c>
      <c r="CT9" s="82">
        <f t="shared" si="19"/>
        <v>1448.0439999999999</v>
      </c>
      <c r="CU9" s="82">
        <f t="shared" si="19"/>
        <v>1487.097</v>
      </c>
      <c r="CV9" s="83">
        <f>CV12-CV11</f>
        <v>1139.2469999999998</v>
      </c>
      <c r="CW9" s="82">
        <f>CW6-CW10</f>
        <v>1066.488670902</v>
      </c>
      <c r="CX9" s="82">
        <f>CX6-CX10</f>
        <v>1466.5829130010002</v>
      </c>
      <c r="CY9" s="82">
        <f>CY6-CY10</f>
        <v>1497.5575245300001</v>
      </c>
      <c r="CZ9" s="83">
        <f>CZ12-CZ11</f>
        <v>1166.5150968870005</v>
      </c>
      <c r="DB9" s="89"/>
      <c r="DC9" s="90"/>
      <c r="DD9" s="90"/>
      <c r="DE9" s="91"/>
      <c r="DF9" s="52">
        <f t="shared" ref="DF9:DU14" si="20">(BI9/BE9-1)*100</f>
        <v>5.6478139590685927</v>
      </c>
      <c r="DG9" s="53">
        <f t="shared" si="20"/>
        <v>-0.64088819002692254</v>
      </c>
      <c r="DH9" s="53">
        <f t="shared" si="20"/>
        <v>5.3741204184760472</v>
      </c>
      <c r="DI9" s="64">
        <f t="shared" si="20"/>
        <v>0.54323256617918592</v>
      </c>
      <c r="DJ9" s="52">
        <f t="shared" si="20"/>
        <v>2.2324216901675076</v>
      </c>
      <c r="DK9" s="53">
        <f t="shared" si="20"/>
        <v>4.6419135727115757</v>
      </c>
      <c r="DL9" s="53">
        <f t="shared" si="20"/>
        <v>-0.62869850202303956</v>
      </c>
      <c r="DM9" s="64">
        <f t="shared" si="20"/>
        <v>5.4867306050538023</v>
      </c>
      <c r="DN9" s="52">
        <f t="shared" si="20"/>
        <v>6.4846784968233928</v>
      </c>
      <c r="DO9" s="53">
        <f t="shared" si="20"/>
        <v>4.8340914322497097</v>
      </c>
      <c r="DP9" s="53">
        <f t="shared" si="20"/>
        <v>4.6765454073337542</v>
      </c>
      <c r="DQ9" s="64">
        <f t="shared" si="20"/>
        <v>2.5346466246269017</v>
      </c>
      <c r="DR9" s="52">
        <f t="shared" si="20"/>
        <v>0.22370132974793844</v>
      </c>
      <c r="DS9" s="53">
        <f t="shared" si="20"/>
        <v>3.1290984095190488</v>
      </c>
      <c r="DT9" s="53">
        <f t="shared" si="20"/>
        <v>8.4786289596253219</v>
      </c>
      <c r="DU9" s="64">
        <f t="shared" si="20"/>
        <v>9.3980738689855912</v>
      </c>
      <c r="DV9" s="52">
        <f t="shared" ref="DV9:EK14" si="21">(BY9/BU9-1)*100</f>
        <v>9.0078785688471275</v>
      </c>
      <c r="DW9" s="53">
        <f t="shared" si="21"/>
        <v>-0.79143954326762467</v>
      </c>
      <c r="DX9" s="53">
        <f t="shared" si="21"/>
        <v>9.7314063898084946</v>
      </c>
      <c r="DY9" s="64">
        <f t="shared" si="21"/>
        <v>7.5315579343445904</v>
      </c>
      <c r="DZ9" s="52">
        <f t="shared" si="21"/>
        <v>10.653898485800894</v>
      </c>
      <c r="EA9" s="53">
        <f t="shared" si="21"/>
        <v>32.527066802490289</v>
      </c>
      <c r="EB9" s="53">
        <f t="shared" si="21"/>
        <v>11.799151891641358</v>
      </c>
      <c r="EC9" s="64">
        <f t="shared" si="21"/>
        <v>26.166455329282144</v>
      </c>
      <c r="ED9" s="52">
        <f t="shared" si="21"/>
        <v>27.710963220233964</v>
      </c>
      <c r="EE9" s="53">
        <f t="shared" si="21"/>
        <v>12.143076968169296</v>
      </c>
      <c r="EF9" s="53">
        <f t="shared" si="21"/>
        <v>14.229628094187685</v>
      </c>
      <c r="EG9" s="64">
        <f t="shared" si="21"/>
        <v>4.2963204340897176</v>
      </c>
      <c r="EH9" s="52">
        <f t="shared" si="21"/>
        <v>2.6915811373483312</v>
      </c>
      <c r="EI9" s="53">
        <f t="shared" si="21"/>
        <v>-6.4301158033740702</v>
      </c>
      <c r="EJ9" s="53">
        <f t="shared" si="21"/>
        <v>5.0257840155354172</v>
      </c>
      <c r="EK9" s="64">
        <f t="shared" si="21"/>
        <v>3.4813020545360285</v>
      </c>
      <c r="EL9" s="52">
        <f t="shared" ref="EJ9:EW14" si="22">(CO9/CK9-1)*100</f>
        <v>2.7581990695430214</v>
      </c>
      <c r="EM9" s="53">
        <f t="shared" si="22"/>
        <v>8.2070208026368228</v>
      </c>
      <c r="EN9" s="53">
        <f t="shared" si="22"/>
        <v>2.078835207583718</v>
      </c>
      <c r="EO9" s="64">
        <f t="shared" si="22"/>
        <v>8.1664188781754188</v>
      </c>
      <c r="EP9" s="52">
        <f t="shared" si="22"/>
        <v>-3.005645255957401</v>
      </c>
      <c r="EQ9" s="53">
        <f t="shared" si="22"/>
        <v>-6.5510981525687795</v>
      </c>
      <c r="ER9" s="53">
        <f t="shared" si="22"/>
        <v>-6.079310122688919</v>
      </c>
      <c r="ES9" s="64">
        <f t="shared" si="22"/>
        <v>-10.674407062326974</v>
      </c>
      <c r="ET9" s="53">
        <f t="shared" si="22"/>
        <v>-2.2185421925283721</v>
      </c>
      <c r="EU9" s="53">
        <f t="shared" si="22"/>
        <v>1.2802727680236492</v>
      </c>
      <c r="EV9" s="53">
        <f t="shared" si="22"/>
        <v>0.70341911321185613</v>
      </c>
      <c r="EW9" s="64">
        <f t="shared" si="22"/>
        <v>2.3935193059100079</v>
      </c>
    </row>
    <row r="10" spans="2:153" s="84" customFormat="1" ht="13.15">
      <c r="B10" s="48" t="s">
        <v>117</v>
      </c>
      <c r="C10" s="81"/>
      <c r="D10" s="81"/>
      <c r="E10" s="81"/>
      <c r="F10" s="81"/>
      <c r="G10" s="81"/>
      <c r="H10" s="92">
        <f t="shared" ref="H10:N10" si="23">H6-H9</f>
        <v>740.01899999999978</v>
      </c>
      <c r="I10" s="92">
        <f t="shared" si="23"/>
        <v>830.30600000000004</v>
      </c>
      <c r="J10" s="92">
        <f t="shared" si="23"/>
        <v>916.95899999999983</v>
      </c>
      <c r="K10" s="92">
        <f t="shared" si="23"/>
        <v>974.32900000000018</v>
      </c>
      <c r="L10" s="92">
        <f t="shared" si="23"/>
        <v>1026.4739999999997</v>
      </c>
      <c r="M10" s="92">
        <f t="shared" si="23"/>
        <v>1054.6500000000001</v>
      </c>
      <c r="N10" s="92">
        <f t="shared" si="23"/>
        <v>1087.692</v>
      </c>
      <c r="O10" s="92">
        <f t="shared" si="3"/>
        <v>1142.347</v>
      </c>
      <c r="P10" s="92">
        <f t="shared" si="4"/>
        <v>1181.4680000000003</v>
      </c>
      <c r="Q10" s="92">
        <f t="shared" si="16"/>
        <v>1248.7290000000003</v>
      </c>
      <c r="R10" s="92">
        <f>SUM(CC10:CF10)</f>
        <v>1695.672</v>
      </c>
      <c r="S10" s="92">
        <f t="shared" si="10"/>
        <v>2061.9719999999998</v>
      </c>
      <c r="T10" s="92">
        <f t="shared" si="11"/>
        <v>2027.2299999999998</v>
      </c>
      <c r="U10" s="92">
        <f>SUM(CO10:CR10)</f>
        <v>2085.5350000000003</v>
      </c>
      <c r="V10" s="92">
        <f>SUM(CS10:CV10)</f>
        <v>2074.2160000000003</v>
      </c>
      <c r="W10" s="92">
        <f>W6*W39</f>
        <v>2114.5386946800004</v>
      </c>
      <c r="X10" s="92">
        <f>X6*X39</f>
        <v>2212.8077128560003</v>
      </c>
      <c r="Y10" s="93">
        <f>Y6*Y39</f>
        <v>2315.9504063858244</v>
      </c>
      <c r="AA10" s="52">
        <f t="shared" si="17"/>
        <v>12.200632686458079</v>
      </c>
      <c r="AB10" s="53">
        <f t="shared" si="17"/>
        <v>10.436272892162624</v>
      </c>
      <c r="AC10" s="53">
        <f t="shared" si="17"/>
        <v>6.2565501838141468</v>
      </c>
      <c r="AD10" s="53">
        <f t="shared" si="17"/>
        <v>5.3518883251960636</v>
      </c>
      <c r="AE10" s="53">
        <f t="shared" si="17"/>
        <v>2.7449307045283478</v>
      </c>
      <c r="AF10" s="53">
        <f t="shared" si="17"/>
        <v>3.132982506044657</v>
      </c>
      <c r="AG10" s="53">
        <f t="shared" si="17"/>
        <v>5.0248599787439785</v>
      </c>
      <c r="AH10" s="52">
        <f t="shared" si="17"/>
        <v>3.4246161630397953</v>
      </c>
      <c r="AI10" s="53">
        <f t="shared" si="18"/>
        <v>5.6930022649788192</v>
      </c>
      <c r="AJ10" s="53">
        <f t="shared" si="18"/>
        <v>35.791833135932592</v>
      </c>
      <c r="AK10" s="53">
        <f t="shared" si="18"/>
        <v>21.602055114432495</v>
      </c>
      <c r="AL10" s="53">
        <f t="shared" si="18"/>
        <v>-1.6848919383968375</v>
      </c>
      <c r="AM10" s="52">
        <f t="shared" si="18"/>
        <v>2.8760920073203522</v>
      </c>
      <c r="AN10" s="53">
        <f t="shared" si="18"/>
        <v>-0.54273843402292687</v>
      </c>
      <c r="AO10" s="53">
        <f t="shared" si="18"/>
        <v>1.9439968971408872</v>
      </c>
      <c r="AP10" s="53">
        <f t="shared" si="18"/>
        <v>4.647302904564321</v>
      </c>
      <c r="AQ10" s="64">
        <f t="shared" si="18"/>
        <v>4.6611683848797325</v>
      </c>
      <c r="AS10" s="94">
        <f>AS6*AS39</f>
        <v>2258.0069439000008</v>
      </c>
      <c r="AT10" s="86"/>
      <c r="AU10" s="94">
        <f>AU6*AU39</f>
        <v>2397.9069470790005</v>
      </c>
      <c r="AV10" s="86"/>
      <c r="AW10" s="87"/>
      <c r="AY10" s="59" t="s">
        <v>117</v>
      </c>
      <c r="BA10" s="92"/>
      <c r="BB10" s="92"/>
      <c r="BC10" s="92"/>
      <c r="BD10" s="93"/>
      <c r="BE10" s="95">
        <f t="shared" ref="BE10:CU10" si="24">BE6-BE9</f>
        <v>208.846</v>
      </c>
      <c r="BF10" s="92">
        <f t="shared" si="24"/>
        <v>300.03300000000013</v>
      </c>
      <c r="BG10" s="92">
        <f t="shared" si="24"/>
        <v>290.65299999999991</v>
      </c>
      <c r="BH10" s="93">
        <f t="shared" si="24"/>
        <v>226.94199999999933</v>
      </c>
      <c r="BI10" s="95">
        <f t="shared" si="24"/>
        <v>217.404</v>
      </c>
      <c r="BJ10" s="92">
        <f t="shared" si="24"/>
        <v>296.947</v>
      </c>
      <c r="BK10" s="92">
        <f t="shared" si="24"/>
        <v>307.23899999999992</v>
      </c>
      <c r="BL10" s="93">
        <f t="shared" si="24"/>
        <v>233.0600000000004</v>
      </c>
      <c r="BM10" s="95">
        <f t="shared" si="24"/>
        <v>223.92100000000005</v>
      </c>
      <c r="BN10" s="92">
        <f t="shared" si="24"/>
        <v>315.84699999999998</v>
      </c>
      <c r="BO10" s="92">
        <f t="shared" si="24"/>
        <v>301.46999999999991</v>
      </c>
      <c r="BP10" s="93">
        <f t="shared" si="24"/>
        <v>246.45400000000018</v>
      </c>
      <c r="BQ10" s="95">
        <f t="shared" si="24"/>
        <v>236.37099999999998</v>
      </c>
      <c r="BR10" s="92">
        <f t="shared" si="24"/>
        <v>326.255</v>
      </c>
      <c r="BS10" s="92">
        <f t="shared" si="24"/>
        <v>324.48199999999997</v>
      </c>
      <c r="BT10" s="93">
        <f t="shared" si="24"/>
        <v>255.23900000000003</v>
      </c>
      <c r="BU10" s="92">
        <f t="shared" si="24"/>
        <v>239.52800000000002</v>
      </c>
      <c r="BV10" s="92">
        <f t="shared" si="24"/>
        <v>333.87200000000007</v>
      </c>
      <c r="BW10" s="92">
        <f t="shared" si="24"/>
        <v>341.01800000000003</v>
      </c>
      <c r="BX10" s="93">
        <f t="shared" si="24"/>
        <v>267.05000000000007</v>
      </c>
      <c r="BY10" s="92">
        <f t="shared" si="24"/>
        <v>254.09399999999994</v>
      </c>
      <c r="BZ10" s="92">
        <f t="shared" si="24"/>
        <v>325.61800000000017</v>
      </c>
      <c r="CA10" s="92">
        <f t="shared" si="24"/>
        <v>380.21500000000015</v>
      </c>
      <c r="CB10" s="93">
        <f t="shared" si="24"/>
        <v>288.80199999999991</v>
      </c>
      <c r="CC10" s="92">
        <f t="shared" si="24"/>
        <v>301.71899999999994</v>
      </c>
      <c r="CD10" s="92">
        <f t="shared" si="24"/>
        <v>484.92000000000007</v>
      </c>
      <c r="CE10" s="92">
        <f t="shared" si="24"/>
        <v>489.66100000000006</v>
      </c>
      <c r="CF10" s="93">
        <f t="shared" si="24"/>
        <v>419.37199999999984</v>
      </c>
      <c r="CG10" s="92">
        <f t="shared" si="24"/>
        <v>457.95100000000002</v>
      </c>
      <c r="CH10" s="92">
        <f t="shared" si="24"/>
        <v>603.31600000000003</v>
      </c>
      <c r="CI10" s="92">
        <f t="shared" si="24"/>
        <v>558.91200000000003</v>
      </c>
      <c r="CJ10" s="93">
        <f t="shared" si="24"/>
        <v>441.79299999999989</v>
      </c>
      <c r="CK10" s="92">
        <f t="shared" si="24"/>
        <v>456.34000000000015</v>
      </c>
      <c r="CL10" s="92">
        <f t="shared" si="24"/>
        <v>571.05400000000009</v>
      </c>
      <c r="CM10" s="92">
        <f t="shared" si="24"/>
        <v>575.73599999999965</v>
      </c>
      <c r="CN10" s="93">
        <f t="shared" si="24"/>
        <v>424.09999999999991</v>
      </c>
      <c r="CO10" s="95">
        <f t="shared" si="24"/>
        <v>440.50700000000006</v>
      </c>
      <c r="CP10" s="92">
        <f t="shared" si="24"/>
        <v>589.77099999999996</v>
      </c>
      <c r="CQ10" s="92">
        <f t="shared" si="24"/>
        <v>576.68200000000024</v>
      </c>
      <c r="CR10" s="93">
        <f>CR6-CR9</f>
        <v>478.57500000000005</v>
      </c>
      <c r="CS10" s="95">
        <f t="shared" si="24"/>
        <v>440.40000000000009</v>
      </c>
      <c r="CT10" s="92">
        <f t="shared" si="24"/>
        <v>614.39800000000014</v>
      </c>
      <c r="CU10" s="92">
        <f t="shared" si="24"/>
        <v>579.90800000000013</v>
      </c>
      <c r="CV10" s="93">
        <f>CV6-CV9</f>
        <v>439.51000000000022</v>
      </c>
      <c r="CW10" s="92">
        <f>CW6*CW39</f>
        <v>418.66474909799996</v>
      </c>
      <c r="CX10" s="92">
        <f>CX6*CX39</f>
        <v>616.48350699900004</v>
      </c>
      <c r="CY10" s="92">
        <f>CY6*CY39</f>
        <v>610.78757546999998</v>
      </c>
      <c r="CZ10" s="93">
        <f>CZ6-CZ9</f>
        <v>468.60286311300001</v>
      </c>
      <c r="DB10" s="89"/>
      <c r="DC10" s="90"/>
      <c r="DD10" s="90"/>
      <c r="DE10" s="91"/>
      <c r="DF10" s="52">
        <f t="shared" si="20"/>
        <v>4.097756241441064</v>
      </c>
      <c r="DG10" s="53">
        <f t="shared" si="20"/>
        <v>-1.0285535257788747</v>
      </c>
      <c r="DH10" s="53">
        <f t="shared" si="20"/>
        <v>5.7064609689217116</v>
      </c>
      <c r="DI10" s="64">
        <f t="shared" si="20"/>
        <v>2.6958429907205872</v>
      </c>
      <c r="DJ10" s="52">
        <f t="shared" si="20"/>
        <v>2.9976449375356706</v>
      </c>
      <c r="DK10" s="53">
        <f t="shared" si="20"/>
        <v>6.3647721647297262</v>
      </c>
      <c r="DL10" s="53">
        <f t="shared" si="20"/>
        <v>-1.8776913087205749</v>
      </c>
      <c r="DM10" s="64">
        <f t="shared" si="20"/>
        <v>5.7470179352955286</v>
      </c>
      <c r="DN10" s="52">
        <f t="shared" si="20"/>
        <v>5.5599966059458161</v>
      </c>
      <c r="DO10" s="53">
        <f t="shared" si="20"/>
        <v>3.2952663789746373</v>
      </c>
      <c r="DP10" s="53">
        <f t="shared" si="20"/>
        <v>7.6332636746608395</v>
      </c>
      <c r="DQ10" s="64">
        <f t="shared" si="20"/>
        <v>3.5645597149974728</v>
      </c>
      <c r="DR10" s="52">
        <f t="shared" si="20"/>
        <v>1.3356122366957157</v>
      </c>
      <c r="DS10" s="53">
        <f t="shared" si="20"/>
        <v>2.3346768631898662</v>
      </c>
      <c r="DT10" s="53">
        <f t="shared" si="20"/>
        <v>5.0961224351427914</v>
      </c>
      <c r="DU10" s="64">
        <f t="shared" si="20"/>
        <v>4.6274276266558223</v>
      </c>
      <c r="DV10" s="52">
        <f t="shared" si="21"/>
        <v>6.0811262148892542</v>
      </c>
      <c r="DW10" s="53">
        <f t="shared" si="21"/>
        <v>-2.472204916854337</v>
      </c>
      <c r="DX10" s="53">
        <f t="shared" si="21"/>
        <v>11.494114680163548</v>
      </c>
      <c r="DY10" s="64">
        <f t="shared" si="21"/>
        <v>8.1452911439804598</v>
      </c>
      <c r="DZ10" s="52">
        <f t="shared" si="21"/>
        <v>18.743063590639686</v>
      </c>
      <c r="EA10" s="53">
        <f t="shared" si="21"/>
        <v>48.922971088821818</v>
      </c>
      <c r="EB10" s="53">
        <f t="shared" si="21"/>
        <v>28.785292531856932</v>
      </c>
      <c r="EC10" s="64">
        <f t="shared" si="21"/>
        <v>45.210905741649988</v>
      </c>
      <c r="ED10" s="52">
        <f t="shared" si="21"/>
        <v>51.780630321590657</v>
      </c>
      <c r="EE10" s="53">
        <f t="shared" si="21"/>
        <v>24.415573702878813</v>
      </c>
      <c r="EF10" s="53">
        <f t="shared" si="21"/>
        <v>14.14264154180136</v>
      </c>
      <c r="EG10" s="64">
        <f t="shared" si="21"/>
        <v>5.3463273656801258</v>
      </c>
      <c r="EH10" s="52">
        <f t="shared" si="21"/>
        <v>-0.35178436120891776</v>
      </c>
      <c r="EI10" s="53">
        <f t="shared" si="21"/>
        <v>-5.3474464459752351</v>
      </c>
      <c r="EJ10" s="53">
        <f t="shared" si="22"/>
        <v>3.0101339745791211</v>
      </c>
      <c r="EK10" s="64">
        <f t="shared" si="22"/>
        <v>-4.0048167354394426</v>
      </c>
      <c r="EL10" s="52">
        <f t="shared" si="22"/>
        <v>-3.4695621685585487</v>
      </c>
      <c r="EM10" s="53">
        <f t="shared" si="22"/>
        <v>3.2776234821925598</v>
      </c>
      <c r="EN10" s="53">
        <f t="shared" si="22"/>
        <v>0.16431142051227532</v>
      </c>
      <c r="EO10" s="64">
        <f t="shared" si="22"/>
        <v>12.84484791322804</v>
      </c>
      <c r="EP10" s="52">
        <f t="shared" si="22"/>
        <v>-2.4290192891363027E-2</v>
      </c>
      <c r="EQ10" s="53">
        <f t="shared" si="22"/>
        <v>4.1756885299548685</v>
      </c>
      <c r="ER10" s="53">
        <f t="shared" si="22"/>
        <v>0.55940709090969154</v>
      </c>
      <c r="ES10" s="64">
        <f t="shared" si="22"/>
        <v>-8.1627749046648486</v>
      </c>
      <c r="ET10" s="53">
        <f t="shared" si="22"/>
        <v>-4.9353430749319083</v>
      </c>
      <c r="EU10" s="53">
        <f t="shared" si="22"/>
        <v>0.33943909306344278</v>
      </c>
      <c r="EV10" s="53">
        <f t="shared" si="22"/>
        <v>5.3249093770046052</v>
      </c>
      <c r="EW10" s="64">
        <f t="shared" si="22"/>
        <v>6.619385932743227</v>
      </c>
    </row>
    <row r="11" spans="2:153" s="84" customFormat="1" ht="13.15">
      <c r="B11" s="48" t="s">
        <v>118</v>
      </c>
      <c r="C11" s="81"/>
      <c r="D11" s="81"/>
      <c r="E11" s="81"/>
      <c r="F11" s="81"/>
      <c r="G11" s="81"/>
      <c r="H11" s="53">
        <f t="shared" ref="H11:N11" si="25">H111</f>
        <v>11.725</v>
      </c>
      <c r="I11" s="53">
        <f t="shared" si="25"/>
        <v>15.911</v>
      </c>
      <c r="J11" s="53">
        <f t="shared" si="25"/>
        <v>17.706</v>
      </c>
      <c r="K11" s="53">
        <f t="shared" si="25"/>
        <v>17.927</v>
      </c>
      <c r="L11" s="53">
        <f t="shared" si="25"/>
        <v>19.117000000000001</v>
      </c>
      <c r="M11" s="53">
        <f t="shared" si="25"/>
        <v>20.065999999999999</v>
      </c>
      <c r="N11" s="53">
        <f t="shared" si="25"/>
        <v>22.033000000000001</v>
      </c>
      <c r="O11" s="53">
        <f t="shared" si="3"/>
        <v>22.094999999999999</v>
      </c>
      <c r="P11" s="53">
        <f t="shared" si="4"/>
        <v>24.512</v>
      </c>
      <c r="Q11" s="53">
        <f>SUM(BY11:CB11)</f>
        <v>25.908000000000001</v>
      </c>
      <c r="R11" s="53">
        <f>SUM(CC11:CF11)</f>
        <v>28.127000000000002</v>
      </c>
      <c r="S11" s="53">
        <f>SUM(CG11:CJ11)</f>
        <v>31.683</v>
      </c>
      <c r="T11" s="53">
        <f t="shared" si="11"/>
        <v>35.090000000000003</v>
      </c>
      <c r="U11" s="53">
        <f>SUM(CO11:CR11)</f>
        <v>40.822000000000003</v>
      </c>
      <c r="V11" s="53">
        <f>V111</f>
        <v>43.752000000000002</v>
      </c>
      <c r="W11" s="53">
        <f>W111</f>
        <v>47.936250000000001</v>
      </c>
      <c r="X11" s="53">
        <f>X111</f>
        <v>51.08625</v>
      </c>
      <c r="Y11" s="64">
        <f>Y111</f>
        <v>54.236249999999998</v>
      </c>
      <c r="AA11" s="52">
        <f t="shared" si="17"/>
        <v>35.701492537313428</v>
      </c>
      <c r="AB11" s="53">
        <f t="shared" si="17"/>
        <v>11.281503362453638</v>
      </c>
      <c r="AC11" s="53">
        <f t="shared" si="17"/>
        <v>1.2481644640234935</v>
      </c>
      <c r="AD11" s="53">
        <f t="shared" si="17"/>
        <v>6.63803201874269</v>
      </c>
      <c r="AE11" s="53">
        <f t="shared" si="17"/>
        <v>4.9641680179944414</v>
      </c>
      <c r="AF11" s="53">
        <f t="shared" si="17"/>
        <v>9.8026512508721417</v>
      </c>
      <c r="AG11" s="53">
        <f t="shared" si="17"/>
        <v>0.28139608768664726</v>
      </c>
      <c r="AH11" s="52">
        <f t="shared" si="17"/>
        <v>10.939126499207962</v>
      </c>
      <c r="AI11" s="53">
        <f t="shared" si="18"/>
        <v>5.6951697127937351</v>
      </c>
      <c r="AJ11" s="53">
        <f t="shared" si="18"/>
        <v>8.5649220318048549</v>
      </c>
      <c r="AK11" s="53">
        <f t="shared" si="18"/>
        <v>12.642656522202845</v>
      </c>
      <c r="AL11" s="53">
        <f t="shared" si="18"/>
        <v>10.753400877442164</v>
      </c>
      <c r="AM11" s="52">
        <f t="shared" si="18"/>
        <v>16.335138216015956</v>
      </c>
      <c r="AN11" s="53">
        <f t="shared" si="18"/>
        <v>7.1775023271765104</v>
      </c>
      <c r="AO11" s="53">
        <f t="shared" si="18"/>
        <v>9.5635628085573252</v>
      </c>
      <c r="AP11" s="53">
        <f t="shared" si="18"/>
        <v>6.5712274114057667</v>
      </c>
      <c r="AQ11" s="64">
        <f t="shared" si="18"/>
        <v>6.1660427218674263</v>
      </c>
      <c r="AS11" s="96">
        <f>W11</f>
        <v>47.936250000000001</v>
      </c>
      <c r="AT11" s="86"/>
      <c r="AU11" s="96">
        <f>X11</f>
        <v>51.08625</v>
      </c>
      <c r="AV11" s="86"/>
      <c r="AW11" s="87"/>
      <c r="AY11" s="59" t="s">
        <v>118</v>
      </c>
      <c r="BA11" s="97"/>
      <c r="BB11" s="97"/>
      <c r="BC11" s="97"/>
      <c r="BD11" s="98"/>
      <c r="BE11" s="99">
        <f>BE111</f>
        <v>4.6210000000000004</v>
      </c>
      <c r="BF11" s="97">
        <f>BF111-BE11</f>
        <v>4.7880000000000003</v>
      </c>
      <c r="BG11" s="97">
        <f>BG111-BF11-BE11</f>
        <v>4.8069999999999986</v>
      </c>
      <c r="BH11" s="98">
        <f>BH111-BG11-BF11-BE11</f>
        <v>4.9010000000000016</v>
      </c>
      <c r="BI11" s="99">
        <f>BI111</f>
        <v>4.9569999999999999</v>
      </c>
      <c r="BJ11" s="97">
        <f>BJ111-BI11</f>
        <v>5.0859999999999994</v>
      </c>
      <c r="BK11" s="97">
        <f>BK111-BJ11-BI11</f>
        <v>5.035000000000001</v>
      </c>
      <c r="BL11" s="98">
        <f>BL111-BK11-BJ11-BI11</f>
        <v>4.9880000000000004</v>
      </c>
      <c r="BM11" s="99">
        <f>BM111</f>
        <v>5.3650000000000002</v>
      </c>
      <c r="BN11" s="97">
        <f>BN111-BM11</f>
        <v>5.5689999999999991</v>
      </c>
      <c r="BO11" s="97">
        <f>BO111-BN11-BM11</f>
        <v>5.5750000000000011</v>
      </c>
      <c r="BP11" s="98">
        <f>BP111-BO11-BN11-BM11</f>
        <v>5.5239999999999991</v>
      </c>
      <c r="BQ11" s="99">
        <f>BQ111</f>
        <v>5.5380000000000003</v>
      </c>
      <c r="BR11" s="97">
        <f>BR111-BQ11</f>
        <v>5.488999999999999</v>
      </c>
      <c r="BS11" s="97">
        <f>16.5-BR11-BQ11</f>
        <v>5.4730000000000008</v>
      </c>
      <c r="BT11" s="98">
        <f>BT111-BS11-BR11-BQ11</f>
        <v>5.5950000000000006</v>
      </c>
      <c r="BU11" s="99">
        <f>BU111</f>
        <v>5.7679999999999998</v>
      </c>
      <c r="BV11" s="100">
        <f>BV111-BU111</f>
        <v>5.8880000000000008</v>
      </c>
      <c r="BW11" s="100">
        <f>BW111-BV111</f>
        <v>6.327</v>
      </c>
      <c r="BX11" s="98">
        <f>BX111-BW11-BV11-BU11</f>
        <v>6.5290000000000008</v>
      </c>
      <c r="BY11" s="99">
        <f>BY111</f>
        <v>6.4790000000000001</v>
      </c>
      <c r="BZ11" s="101">
        <f>BZ111-BY111</f>
        <v>6.4189999999999996</v>
      </c>
      <c r="CA11" s="100">
        <f>CA111-BZ111</f>
        <v>6.4520000000000017</v>
      </c>
      <c r="CB11" s="98">
        <f>CB111-CA11-BZ11-BY11</f>
        <v>6.5579999999999989</v>
      </c>
      <c r="CC11" s="99">
        <f>CC111</f>
        <v>6.8979999999999997</v>
      </c>
      <c r="CD11" s="101">
        <f>CD111-CC111</f>
        <v>6.979000000000001</v>
      </c>
      <c r="CE11" s="101">
        <f>CE111-CD111</f>
        <v>6.9969999999999981</v>
      </c>
      <c r="CF11" s="98">
        <f>CF111-CE11-CD11-CC11</f>
        <v>7.2530000000000019</v>
      </c>
      <c r="CG11" s="99">
        <f>CG111</f>
        <v>7.593</v>
      </c>
      <c r="CH11" s="97">
        <f>CH111-CG111</f>
        <v>7.7829999999999995</v>
      </c>
      <c r="CI11" s="97">
        <f>CI111-CH111</f>
        <v>8.0640000000000018</v>
      </c>
      <c r="CJ11" s="98">
        <f>CJ111-CI11-CH11-CG11</f>
        <v>8.2430000000000003</v>
      </c>
      <c r="CK11" s="99">
        <f>CK111</f>
        <v>8.1829999999999998</v>
      </c>
      <c r="CL11" s="101">
        <f>CL111-CK111</f>
        <v>8.4319999999999986</v>
      </c>
      <c r="CM11" s="97">
        <f>CM111-CL111</f>
        <v>8.7910000000000004</v>
      </c>
      <c r="CN11" s="98">
        <f>CN111-CM11-CL11-CK11</f>
        <v>9.6840000000000046</v>
      </c>
      <c r="CO11" s="99">
        <f>CO111</f>
        <v>9.8819999999999997</v>
      </c>
      <c r="CP11" s="97">
        <f>CP111-CO11</f>
        <v>10.011000000000001</v>
      </c>
      <c r="CQ11" s="97">
        <f>CQ111-CP11-CO11</f>
        <v>10.438000000000001</v>
      </c>
      <c r="CR11" s="98">
        <f>CR111-CQ11-CP11-CO11</f>
        <v>10.490999999999998</v>
      </c>
      <c r="CS11" s="99">
        <f>CS111</f>
        <v>10.776999999999999</v>
      </c>
      <c r="CT11" s="97">
        <f>CT111-CS11</f>
        <v>10.910000000000002</v>
      </c>
      <c r="CU11" s="97">
        <f>CU111-CT11-CS11</f>
        <v>10.992999999999997</v>
      </c>
      <c r="CV11" s="98">
        <f>$V11-CU11-CT11-CS11</f>
        <v>11.072000000000005</v>
      </c>
      <c r="CW11" s="102">
        <v>11.35</v>
      </c>
      <c r="CX11" s="102">
        <v>11.25</v>
      </c>
      <c r="CY11" s="102">
        <v>11.25</v>
      </c>
      <c r="CZ11" s="98">
        <f>$W11-CY11-CX11-CW11</f>
        <v>14.086250000000001</v>
      </c>
      <c r="DB11" s="89"/>
      <c r="DC11" s="90"/>
      <c r="DD11" s="90"/>
      <c r="DE11" s="91"/>
      <c r="DF11" s="52">
        <f t="shared" si="20"/>
        <v>7.2711534299934932</v>
      </c>
      <c r="DG11" s="53">
        <f t="shared" si="20"/>
        <v>6.2238930659983094</v>
      </c>
      <c r="DH11" s="53">
        <f t="shared" si="20"/>
        <v>4.7430830039526306</v>
      </c>
      <c r="DI11" s="64">
        <f t="shared" si="20"/>
        <v>1.7751479289940697</v>
      </c>
      <c r="DJ11" s="52">
        <f t="shared" si="20"/>
        <v>8.2307847488400263</v>
      </c>
      <c r="DK11" s="53">
        <f t="shared" si="20"/>
        <v>9.4966574911521828</v>
      </c>
      <c r="DL11" s="53">
        <f t="shared" si="20"/>
        <v>10.724925521350537</v>
      </c>
      <c r="DM11" s="64">
        <f t="shared" si="20"/>
        <v>10.74578989574977</v>
      </c>
      <c r="DN11" s="52">
        <f t="shared" si="20"/>
        <v>3.2246039142590943</v>
      </c>
      <c r="DO11" s="53">
        <f t="shared" si="20"/>
        <v>-1.4365236128568881</v>
      </c>
      <c r="DP11" s="53">
        <f t="shared" si="20"/>
        <v>-1.829596412556056</v>
      </c>
      <c r="DQ11" s="64">
        <f t="shared" si="20"/>
        <v>1.2853005068790946</v>
      </c>
      <c r="DR11" s="52">
        <f t="shared" si="20"/>
        <v>4.1531238714337171</v>
      </c>
      <c r="DS11" s="53">
        <f t="shared" si="20"/>
        <v>7.2690836217890631</v>
      </c>
      <c r="DT11" s="53">
        <f t="shared" si="20"/>
        <v>15.60387356111821</v>
      </c>
      <c r="DU11" s="64">
        <f t="shared" si="20"/>
        <v>16.693476318141197</v>
      </c>
      <c r="DV11" s="52">
        <f t="shared" si="21"/>
        <v>12.326629680998625</v>
      </c>
      <c r="DW11" s="53">
        <f t="shared" si="21"/>
        <v>9.0183423913043228</v>
      </c>
      <c r="DX11" s="53">
        <f t="shared" si="21"/>
        <v>1.9756598703967398</v>
      </c>
      <c r="DY11" s="64">
        <f t="shared" si="21"/>
        <v>0.44417215500074381</v>
      </c>
      <c r="DZ11" s="52">
        <f t="shared" si="21"/>
        <v>6.4670473838555287</v>
      </c>
      <c r="EA11" s="53">
        <f t="shared" si="21"/>
        <v>8.7241003271537831</v>
      </c>
      <c r="EB11" s="53">
        <f t="shared" si="21"/>
        <v>8.4469931804091125</v>
      </c>
      <c r="EC11" s="64">
        <f t="shared" si="21"/>
        <v>10.597743214394683</v>
      </c>
      <c r="ED11" s="52">
        <f t="shared" si="21"/>
        <v>10.075384169324453</v>
      </c>
      <c r="EE11" s="53">
        <f t="shared" si="21"/>
        <v>11.520275111047408</v>
      </c>
      <c r="EF11" s="53">
        <f t="shared" si="21"/>
        <v>15.249392596827271</v>
      </c>
      <c r="EG11" s="64">
        <f t="shared" si="21"/>
        <v>13.649524334758013</v>
      </c>
      <c r="EH11" s="52">
        <f t="shared" si="21"/>
        <v>7.7703147635980407</v>
      </c>
      <c r="EI11" s="53">
        <f t="shared" si="21"/>
        <v>8.3386868816651472</v>
      </c>
      <c r="EJ11" s="53">
        <f t="shared" si="22"/>
        <v>9.0153769841269558</v>
      </c>
      <c r="EK11" s="64">
        <f t="shared" si="22"/>
        <v>17.481499454082304</v>
      </c>
      <c r="EL11" s="52">
        <f t="shared" si="22"/>
        <v>20.762556519613828</v>
      </c>
      <c r="EM11" s="53">
        <f t="shared" si="22"/>
        <v>18.726280834914633</v>
      </c>
      <c r="EN11" s="53">
        <f t="shared" si="22"/>
        <v>18.735069957911499</v>
      </c>
      <c r="EO11" s="64">
        <f t="shared" si="22"/>
        <v>8.3333333333332593</v>
      </c>
      <c r="EP11" s="52">
        <f t="shared" si="22"/>
        <v>9.0568710787289888</v>
      </c>
      <c r="EQ11" s="53">
        <f t="shared" si="22"/>
        <v>8.9801218659474777</v>
      </c>
      <c r="ER11" s="53">
        <f t="shared" si="22"/>
        <v>5.317110557578042</v>
      </c>
      <c r="ES11" s="64">
        <f t="shared" si="22"/>
        <v>5.5380802592699174</v>
      </c>
      <c r="ET11" s="53">
        <f t="shared" si="22"/>
        <v>5.3168785376264349</v>
      </c>
      <c r="EU11" s="53">
        <f t="shared" si="22"/>
        <v>3.1164069660861493</v>
      </c>
      <c r="EV11" s="53">
        <f t="shared" si="22"/>
        <v>2.3378513599563666</v>
      </c>
      <c r="EW11" s="64">
        <f t="shared" si="22"/>
        <v>27.224078757225389</v>
      </c>
    </row>
    <row r="12" spans="2:153">
      <c r="B12" s="48" t="s">
        <v>119</v>
      </c>
      <c r="C12" s="49"/>
      <c r="D12" s="49"/>
      <c r="E12" s="49"/>
      <c r="F12" s="49"/>
      <c r="G12" s="49"/>
      <c r="H12" s="53">
        <v>2249.4650000000001</v>
      </c>
      <c r="I12" s="53">
        <v>2617.317</v>
      </c>
      <c r="J12" s="53">
        <v>2844.0770000000002</v>
      </c>
      <c r="K12" s="53">
        <v>2988.1379999999999</v>
      </c>
      <c r="L12" s="53">
        <v>3105.8820000000001</v>
      </c>
      <c r="M12" s="53">
        <v>3186.1179999999999</v>
      </c>
      <c r="N12" s="103">
        <v>3276.2959999999998</v>
      </c>
      <c r="O12" s="103">
        <f t="shared" si="3"/>
        <v>3426.4009999999998</v>
      </c>
      <c r="P12" s="103">
        <f t="shared" si="4"/>
        <v>3613.4059999999999</v>
      </c>
      <c r="Q12" s="103">
        <f t="shared" si="16"/>
        <v>3832.107</v>
      </c>
      <c r="R12" s="103">
        <f t="shared" ref="R12:R21" si="26">SUM(CC12:CF12)</f>
        <v>4612.6469999999999</v>
      </c>
      <c r="S12" s="103">
        <f t="shared" si="10"/>
        <v>5244.0550000000003</v>
      </c>
      <c r="T12" s="103">
        <f t="shared" si="11"/>
        <v>5291.6269999999995</v>
      </c>
      <c r="U12" s="103">
        <f t="shared" ref="U12:U21" si="27">SUM(CO12:CR12)</f>
        <v>5573.6040000000003</v>
      </c>
      <c r="V12" s="103">
        <f>SUM(CS12:CV12)</f>
        <v>5208.8259999999991</v>
      </c>
      <c r="W12" s="103">
        <f>W9+W11</f>
        <v>5245.0804553200005</v>
      </c>
      <c r="X12" s="103">
        <f>X9+X11</f>
        <v>5442.4287531440004</v>
      </c>
      <c r="Y12" s="104">
        <f>Y9+Y11</f>
        <v>5646.6020682541766</v>
      </c>
      <c r="AA12" s="52">
        <f t="shared" si="17"/>
        <v>16.352866125945486</v>
      </c>
      <c r="AB12" s="53">
        <f t="shared" si="17"/>
        <v>8.6638339948886589</v>
      </c>
      <c r="AC12" s="53">
        <f t="shared" si="17"/>
        <v>5.0652988649744657</v>
      </c>
      <c r="AD12" s="53">
        <f t="shared" si="17"/>
        <v>3.9403802635621377</v>
      </c>
      <c r="AE12" s="53">
        <f t="shared" si="17"/>
        <v>2.5833563541692861</v>
      </c>
      <c r="AF12" s="53">
        <f t="shared" si="17"/>
        <v>2.8303408724974943</v>
      </c>
      <c r="AG12" s="53">
        <f t="shared" si="17"/>
        <v>4.5815457455614439</v>
      </c>
      <c r="AH12" s="52">
        <f t="shared" si="17"/>
        <v>5.4577674942308363</v>
      </c>
      <c r="AI12" s="53">
        <f t="shared" si="18"/>
        <v>6.0524889813101446</v>
      </c>
      <c r="AJ12" s="53">
        <f t="shared" si="18"/>
        <v>20.368429169644784</v>
      </c>
      <c r="AK12" s="53">
        <f t="shared" si="18"/>
        <v>13.688626075223187</v>
      </c>
      <c r="AL12" s="53">
        <f t="shared" si="18"/>
        <v>0.90716058470017291</v>
      </c>
      <c r="AM12" s="52">
        <f t="shared" si="18"/>
        <v>5.3287391571628318</v>
      </c>
      <c r="AN12" s="53">
        <f t="shared" si="18"/>
        <v>-6.544741965880629</v>
      </c>
      <c r="AO12" s="53">
        <f t="shared" si="18"/>
        <v>0.69601970424815196</v>
      </c>
      <c r="AP12" s="53">
        <f t="shared" si="18"/>
        <v>3.7625409086686767</v>
      </c>
      <c r="AQ12" s="64">
        <f t="shared" si="18"/>
        <v>3.7515110325004875</v>
      </c>
      <c r="AR12" s="7"/>
      <c r="AS12" s="105">
        <f>AS9+AS11</f>
        <v>5825.5412061000006</v>
      </c>
      <c r="AT12" s="57"/>
      <c r="AU12" s="105">
        <f>AU9+AU11</f>
        <v>6090.5717979210021</v>
      </c>
      <c r="AV12" s="57"/>
      <c r="AW12" s="58"/>
      <c r="AY12" s="48" t="s">
        <v>119</v>
      </c>
      <c r="BA12" s="53"/>
      <c r="BB12" s="53"/>
      <c r="BC12" s="53"/>
      <c r="BD12" s="64"/>
      <c r="BE12" s="52">
        <v>604.74699999999996</v>
      </c>
      <c r="BF12" s="53">
        <v>928.19399999999996</v>
      </c>
      <c r="BG12" s="53">
        <v>891.16600000000005</v>
      </c>
      <c r="BH12" s="64">
        <f>+L12-BE12-BF12-BG12</f>
        <v>681.7750000000002</v>
      </c>
      <c r="BI12" s="52">
        <v>638.97699999999998</v>
      </c>
      <c r="BJ12" s="53">
        <v>922.57399999999996</v>
      </c>
      <c r="BK12" s="53">
        <v>939.02800000000002</v>
      </c>
      <c r="BL12" s="64">
        <f>+M12-BI12-BJ12-BK12</f>
        <v>685.53899999999999</v>
      </c>
      <c r="BM12" s="52">
        <v>653.53899999999999</v>
      </c>
      <c r="BN12" s="53">
        <v>965.64599999999996</v>
      </c>
      <c r="BO12" s="53">
        <v>933.69600000000003</v>
      </c>
      <c r="BP12" s="64">
        <f>+N12-BM12-BN12-BO12</f>
        <v>723.41499999999962</v>
      </c>
      <c r="BQ12" s="52">
        <v>695.74400000000003</v>
      </c>
      <c r="BR12" s="53">
        <v>1011.977</v>
      </c>
      <c r="BS12" s="53">
        <v>976.99800000000005</v>
      </c>
      <c r="BT12" s="64">
        <v>741.68200000000002</v>
      </c>
      <c r="BU12" s="52">
        <v>697.51800000000003</v>
      </c>
      <c r="BV12" s="53">
        <v>1043.8699999999999</v>
      </c>
      <c r="BW12" s="53">
        <v>1060.2239999999999</v>
      </c>
      <c r="BX12" s="64">
        <v>811.79399999999998</v>
      </c>
      <c r="BY12" s="52">
        <v>760.54100000000005</v>
      </c>
      <c r="BZ12" s="53">
        <v>1036.1859999999999</v>
      </c>
      <c r="CA12" s="53">
        <v>1162.9079999999999</v>
      </c>
      <c r="CB12" s="64">
        <v>872.47199999999998</v>
      </c>
      <c r="CC12" s="52">
        <v>841.29700000000003</v>
      </c>
      <c r="CD12" s="53">
        <v>1371.6990000000001</v>
      </c>
      <c r="CE12" s="53">
        <v>1299.905</v>
      </c>
      <c r="CF12" s="64">
        <v>1099.7460000000001</v>
      </c>
      <c r="CG12" s="52">
        <v>1073.212</v>
      </c>
      <c r="CH12" s="53">
        <v>1538.222</v>
      </c>
      <c r="CI12" s="53">
        <v>1484.9480000000001</v>
      </c>
      <c r="CJ12" s="64">
        <v>1147.673</v>
      </c>
      <c r="CK12" s="52">
        <v>1102.4839999999999</v>
      </c>
      <c r="CL12" s="53">
        <v>1440.462</v>
      </c>
      <c r="CM12" s="53">
        <v>1559.9</v>
      </c>
      <c r="CN12" s="64">
        <v>1188.7809999999999</v>
      </c>
      <c r="CO12" s="52">
        <v>1134.366</v>
      </c>
      <c r="CP12" s="53">
        <v>1559.568</v>
      </c>
      <c r="CQ12" s="53">
        <v>1593.7919999999999</v>
      </c>
      <c r="CR12" s="64">
        <v>1285.8779999999999</v>
      </c>
      <c r="CS12" s="52">
        <v>1101.463</v>
      </c>
      <c r="CT12" s="53">
        <v>1458.954</v>
      </c>
      <c r="CU12" s="53">
        <v>1498.09</v>
      </c>
      <c r="CV12" s="64">
        <v>1150.319</v>
      </c>
      <c r="CW12" s="53">
        <f>CW9+CW11</f>
        <v>1077.8386709019999</v>
      </c>
      <c r="CX12" s="53">
        <f>CX9+CX11</f>
        <v>1477.8329130010002</v>
      </c>
      <c r="CY12" s="53">
        <f>CY9+CY11</f>
        <v>1508.8075245300001</v>
      </c>
      <c r="CZ12" s="64">
        <f>$W12-CW12-CX12-CY12</f>
        <v>1180.6013468870005</v>
      </c>
      <c r="DB12" s="52"/>
      <c r="DC12" s="53"/>
      <c r="DD12" s="53"/>
      <c r="DE12" s="64"/>
      <c r="DF12" s="52">
        <f t="shared" si="20"/>
        <v>5.6602182400243395</v>
      </c>
      <c r="DG12" s="53">
        <f t="shared" si="20"/>
        <v>-0.60547687229178804</v>
      </c>
      <c r="DH12" s="53">
        <f t="shared" si="20"/>
        <v>5.3707165668348988</v>
      </c>
      <c r="DI12" s="64">
        <f t="shared" si="20"/>
        <v>0.55208829892556821</v>
      </c>
      <c r="DJ12" s="52">
        <f t="shared" si="20"/>
        <v>2.2789552675605007</v>
      </c>
      <c r="DK12" s="53">
        <f t="shared" si="20"/>
        <v>4.6686769841768783</v>
      </c>
      <c r="DL12" s="53">
        <f t="shared" si="20"/>
        <v>-0.56782119383022023</v>
      </c>
      <c r="DM12" s="64">
        <f t="shared" si="20"/>
        <v>5.5249956603489636</v>
      </c>
      <c r="DN12" s="52">
        <f t="shared" si="20"/>
        <v>6.4579160539768976</v>
      </c>
      <c r="DO12" s="53">
        <f t="shared" si="20"/>
        <v>4.7979280191705831</v>
      </c>
      <c r="DP12" s="53">
        <f t="shared" si="20"/>
        <v>4.6376979230927429</v>
      </c>
      <c r="DQ12" s="64">
        <f t="shared" si="20"/>
        <v>2.5251066123871402</v>
      </c>
      <c r="DR12" s="52">
        <f t="shared" si="20"/>
        <v>0.2549788427927524</v>
      </c>
      <c r="DS12" s="53">
        <f t="shared" si="20"/>
        <v>3.1515538396623466</v>
      </c>
      <c r="DT12" s="53">
        <f t="shared" si="20"/>
        <v>8.5185435384719241</v>
      </c>
      <c r="DU12" s="64">
        <f t="shared" si="20"/>
        <v>9.4531079357460523</v>
      </c>
      <c r="DV12" s="52">
        <f t="shared" si="21"/>
        <v>9.035322385945598</v>
      </c>
      <c r="DW12" s="53">
        <f t="shared" si="21"/>
        <v>-0.73610698650214967</v>
      </c>
      <c r="DX12" s="53">
        <f t="shared" si="21"/>
        <v>9.6851231437884877</v>
      </c>
      <c r="DY12" s="64">
        <f t="shared" si="21"/>
        <v>7.4745563529663883</v>
      </c>
      <c r="DZ12" s="52">
        <f t="shared" si="21"/>
        <v>10.618230969796505</v>
      </c>
      <c r="EA12" s="53">
        <f t="shared" si="21"/>
        <v>32.379611382512422</v>
      </c>
      <c r="EB12" s="53">
        <f t="shared" si="21"/>
        <v>11.780553577755093</v>
      </c>
      <c r="EC12" s="64">
        <f t="shared" si="21"/>
        <v>26.049431958847968</v>
      </c>
      <c r="ED12" s="52">
        <f t="shared" si="21"/>
        <v>27.566364791506448</v>
      </c>
      <c r="EE12" s="53">
        <f t="shared" si="21"/>
        <v>12.139908245176233</v>
      </c>
      <c r="EF12" s="53">
        <f t="shared" si="21"/>
        <v>14.235117181640211</v>
      </c>
      <c r="EG12" s="64">
        <f t="shared" si="21"/>
        <v>4.3580063032736538</v>
      </c>
      <c r="EH12" s="52">
        <f t="shared" si="21"/>
        <v>2.7275132965341342</v>
      </c>
      <c r="EI12" s="53">
        <f t="shared" si="21"/>
        <v>-6.3553895341504685</v>
      </c>
      <c r="EJ12" s="53">
        <f t="shared" si="22"/>
        <v>5.0474494729781716</v>
      </c>
      <c r="EK12" s="64">
        <f t="shared" si="22"/>
        <v>3.5818565044224204</v>
      </c>
      <c r="EL12" s="52">
        <f t="shared" si="22"/>
        <v>2.8918333508694882</v>
      </c>
      <c r="EM12" s="53">
        <f t="shared" si="22"/>
        <v>8.2685971584116835</v>
      </c>
      <c r="EN12" s="53">
        <f t="shared" si="22"/>
        <v>2.1727033784216809</v>
      </c>
      <c r="EO12" s="64">
        <f t="shared" si="22"/>
        <v>8.1677785900010171</v>
      </c>
      <c r="EP12" s="52">
        <f t="shared" si="22"/>
        <v>-2.9005629576344893</v>
      </c>
      <c r="EQ12" s="53">
        <f t="shared" si="22"/>
        <v>-6.4514019266873941</v>
      </c>
      <c r="ER12" s="53">
        <f t="shared" si="22"/>
        <v>-6.0046731317511925</v>
      </c>
      <c r="ES12" s="64">
        <f t="shared" si="22"/>
        <v>-10.542135412535247</v>
      </c>
      <c r="ET12" s="53">
        <f t="shared" si="22"/>
        <v>-2.1448136794427142</v>
      </c>
      <c r="EU12" s="53">
        <f t="shared" si="22"/>
        <v>1.2940033065470313</v>
      </c>
      <c r="EV12" s="53">
        <f t="shared" si="22"/>
        <v>0.71541259403642421</v>
      </c>
      <c r="EW12" s="64">
        <f t="shared" si="22"/>
        <v>2.6325173179787997</v>
      </c>
    </row>
    <row r="13" spans="2:153">
      <c r="B13" s="48" t="s">
        <v>120</v>
      </c>
      <c r="C13" s="49"/>
      <c r="D13" s="49"/>
      <c r="E13" s="49"/>
      <c r="F13" s="49"/>
      <c r="G13" s="49"/>
      <c r="H13" s="106">
        <f t="shared" ref="H13:N13" si="28">H6-H12</f>
        <v>728.29399999999987</v>
      </c>
      <c r="I13" s="106">
        <f t="shared" si="28"/>
        <v>814.39499999999998</v>
      </c>
      <c r="J13" s="106">
        <f t="shared" si="28"/>
        <v>899.2529999999997</v>
      </c>
      <c r="K13" s="106">
        <f t="shared" si="28"/>
        <v>956.40200000000004</v>
      </c>
      <c r="L13" s="106">
        <f t="shared" si="28"/>
        <v>1007.3569999999995</v>
      </c>
      <c r="M13" s="106">
        <f t="shared" si="28"/>
        <v>1034.5840000000003</v>
      </c>
      <c r="N13" s="92">
        <f t="shared" si="28"/>
        <v>1065.6590000000001</v>
      </c>
      <c r="O13" s="92">
        <f t="shared" si="3"/>
        <v>1120.252</v>
      </c>
      <c r="P13" s="92">
        <f t="shared" si="4"/>
        <v>1156.9560000000001</v>
      </c>
      <c r="Q13" s="92">
        <f t="shared" si="16"/>
        <v>1222.8209999999999</v>
      </c>
      <c r="R13" s="92">
        <f t="shared" si="26"/>
        <v>1667.5449999999998</v>
      </c>
      <c r="S13" s="92">
        <f t="shared" si="10"/>
        <v>2030.289</v>
      </c>
      <c r="T13" s="92">
        <f t="shared" si="11"/>
        <v>1992.1399999999999</v>
      </c>
      <c r="U13" s="92">
        <f t="shared" si="27"/>
        <v>2044.7130000000002</v>
      </c>
      <c r="V13" s="92">
        <f>SUM(CS13:CV13)</f>
        <v>2030.4640000000004</v>
      </c>
      <c r="W13" s="92">
        <f>W6-W12</f>
        <v>2066.6024446800002</v>
      </c>
      <c r="X13" s="92">
        <f>X6-X12</f>
        <v>2161.7214628560005</v>
      </c>
      <c r="Y13" s="93">
        <f>Y6-Y12</f>
        <v>2261.7141563858249</v>
      </c>
      <c r="AA13" s="52">
        <f t="shared" si="17"/>
        <v>11.822286054807552</v>
      </c>
      <c r="AB13" s="53">
        <f t="shared" si="17"/>
        <v>10.419759453336486</v>
      </c>
      <c r="AC13" s="53">
        <f t="shared" si="17"/>
        <v>6.3551636747389617</v>
      </c>
      <c r="AD13" s="53">
        <f t="shared" si="17"/>
        <v>5.3277805776231535</v>
      </c>
      <c r="AE13" s="53">
        <f t="shared" si="17"/>
        <v>2.7028153871964777</v>
      </c>
      <c r="AF13" s="53">
        <f t="shared" si="17"/>
        <v>3.0036227121238879</v>
      </c>
      <c r="AG13" s="53">
        <f t="shared" si="17"/>
        <v>5.1229333210717432</v>
      </c>
      <c r="AH13" s="52">
        <f t="shared" si="17"/>
        <v>3.2764056658680429</v>
      </c>
      <c r="AI13" s="53">
        <f t="shared" si="18"/>
        <v>5.6929563440614617</v>
      </c>
      <c r="AJ13" s="53">
        <f t="shared" si="18"/>
        <v>36.368691738202074</v>
      </c>
      <c r="AK13" s="53">
        <f t="shared" si="18"/>
        <v>21.753176076207858</v>
      </c>
      <c r="AL13" s="53">
        <f t="shared" si="18"/>
        <v>-1.8789935817019265</v>
      </c>
      <c r="AM13" s="52">
        <f t="shared" si="18"/>
        <v>2.639021353920934</v>
      </c>
      <c r="AN13" s="53">
        <f t="shared" si="18"/>
        <v>-0.69687041653277992</v>
      </c>
      <c r="AO13" s="53">
        <f t="shared" si="18"/>
        <v>1.779812135551273</v>
      </c>
      <c r="AP13" s="53">
        <f t="shared" si="18"/>
        <v>4.6026761664229365</v>
      </c>
      <c r="AQ13" s="64">
        <f t="shared" si="18"/>
        <v>4.6256048824031781</v>
      </c>
      <c r="AR13" s="7"/>
      <c r="AS13" s="94">
        <f>AS6-AS12</f>
        <v>2210.0706939000011</v>
      </c>
      <c r="AU13" s="94">
        <f>AU6-AU12</f>
        <v>2346.8206970789997</v>
      </c>
      <c r="AW13" s="107"/>
      <c r="AY13" s="48" t="s">
        <v>120</v>
      </c>
      <c r="BA13" s="106"/>
      <c r="BB13" s="106"/>
      <c r="BC13" s="106"/>
      <c r="BD13" s="108"/>
      <c r="BE13" s="109">
        <f t="shared" ref="BE13:BT13" si="29">+BE6-BE12</f>
        <v>204.22500000000002</v>
      </c>
      <c r="BF13" s="106">
        <f t="shared" si="29"/>
        <v>295.24500000000012</v>
      </c>
      <c r="BG13" s="106">
        <f t="shared" si="29"/>
        <v>285.84599999999989</v>
      </c>
      <c r="BH13" s="108">
        <f t="shared" si="29"/>
        <v>222.04099999999937</v>
      </c>
      <c r="BI13" s="109">
        <f t="shared" si="29"/>
        <v>212.447</v>
      </c>
      <c r="BJ13" s="106">
        <f t="shared" si="29"/>
        <v>291.86099999999999</v>
      </c>
      <c r="BK13" s="106">
        <f t="shared" si="29"/>
        <v>302.20399999999995</v>
      </c>
      <c r="BL13" s="108">
        <f t="shared" si="29"/>
        <v>228.07200000000034</v>
      </c>
      <c r="BM13" s="109">
        <f t="shared" si="29"/>
        <v>218.55600000000004</v>
      </c>
      <c r="BN13" s="106">
        <f t="shared" si="29"/>
        <v>310.27800000000002</v>
      </c>
      <c r="BO13" s="106">
        <f t="shared" si="29"/>
        <v>295.89499999999987</v>
      </c>
      <c r="BP13" s="108">
        <f t="shared" si="29"/>
        <v>240.93000000000018</v>
      </c>
      <c r="BQ13" s="109">
        <f t="shared" si="29"/>
        <v>230.83299999999997</v>
      </c>
      <c r="BR13" s="106">
        <f t="shared" si="29"/>
        <v>320.76599999999996</v>
      </c>
      <c r="BS13" s="106">
        <f t="shared" si="29"/>
        <v>319.00900000000001</v>
      </c>
      <c r="BT13" s="108">
        <f t="shared" si="29"/>
        <v>249.64400000000001</v>
      </c>
      <c r="BU13" s="109">
        <f>BU6-BU12</f>
        <v>233.76</v>
      </c>
      <c r="BV13" s="106">
        <f>BV6-BV12</f>
        <v>327.98400000000015</v>
      </c>
      <c r="BW13" s="106">
        <f>+BW6-BW12</f>
        <v>334.69100000000003</v>
      </c>
      <c r="BX13" s="108">
        <f>+BX6-BX12</f>
        <v>260.52100000000007</v>
      </c>
      <c r="BY13" s="109">
        <f>BY6-BY12</f>
        <v>247.6149999999999</v>
      </c>
      <c r="BZ13" s="106">
        <f>BZ6-BZ12</f>
        <v>319.19900000000007</v>
      </c>
      <c r="CA13" s="106">
        <f>+CA6-CA12</f>
        <v>373.76300000000015</v>
      </c>
      <c r="CB13" s="108">
        <f>+CB6-CB12</f>
        <v>282.24399999999991</v>
      </c>
      <c r="CC13" s="109">
        <f>CC6-CC12</f>
        <v>294.82099999999991</v>
      </c>
      <c r="CD13" s="106">
        <f>CD6-CD12</f>
        <v>477.94100000000003</v>
      </c>
      <c r="CE13" s="106">
        <f>+CE6-CE12</f>
        <v>482.66399999999999</v>
      </c>
      <c r="CF13" s="108">
        <f>+CF6-CF12</f>
        <v>412.11899999999991</v>
      </c>
      <c r="CG13" s="109">
        <f>CG6-CG12</f>
        <v>450.35799999999995</v>
      </c>
      <c r="CH13" s="106">
        <f>CH6-CH12</f>
        <v>595.53300000000013</v>
      </c>
      <c r="CI13" s="106">
        <f>+CI6-CI12</f>
        <v>550.84799999999996</v>
      </c>
      <c r="CJ13" s="108">
        <f>+CJ6-CJ12</f>
        <v>433.54999999999995</v>
      </c>
      <c r="CK13" s="109">
        <f>CK6-CK12</f>
        <v>448.15700000000015</v>
      </c>
      <c r="CL13" s="106">
        <f>CL6-CL12</f>
        <v>562.62200000000007</v>
      </c>
      <c r="CM13" s="106">
        <f>+CM6-CM12</f>
        <v>566.94499999999971</v>
      </c>
      <c r="CN13" s="108">
        <f>+CN6-CN12</f>
        <v>414.41599999999994</v>
      </c>
      <c r="CO13" s="109">
        <f>CO6-CO12</f>
        <v>430.625</v>
      </c>
      <c r="CP13" s="106">
        <f>CP6-CP12</f>
        <v>579.76</v>
      </c>
      <c r="CQ13" s="106">
        <f>CQ6-CQ12</f>
        <v>566.24400000000014</v>
      </c>
      <c r="CR13" s="108">
        <f>+CR6-CR12</f>
        <v>468.08400000000006</v>
      </c>
      <c r="CS13" s="109">
        <f>CS6-CS12</f>
        <v>429.62300000000005</v>
      </c>
      <c r="CT13" s="106">
        <f>CT6-CT12</f>
        <v>603.48800000000006</v>
      </c>
      <c r="CU13" s="106">
        <f>CU6-CU12</f>
        <v>568.91500000000019</v>
      </c>
      <c r="CV13" s="108">
        <f>+CV6-CV12</f>
        <v>428.4380000000001</v>
      </c>
      <c r="CW13" s="106">
        <f>CW6-CW12</f>
        <v>407.31474909799999</v>
      </c>
      <c r="CX13" s="106">
        <f>CX6-CX12</f>
        <v>605.23350699899993</v>
      </c>
      <c r="CY13" s="106">
        <f>CY6-CY12</f>
        <v>599.53757546999987</v>
      </c>
      <c r="CZ13" s="108">
        <f>+CZ6-CZ12</f>
        <v>454.51661311299995</v>
      </c>
      <c r="DB13" s="52"/>
      <c r="DC13" s="53"/>
      <c r="DD13" s="53"/>
      <c r="DE13" s="64"/>
      <c r="DF13" s="52">
        <f t="shared" si="20"/>
        <v>4.025951768882341</v>
      </c>
      <c r="DG13" s="53">
        <f t="shared" si="20"/>
        <v>-1.1461667428746103</v>
      </c>
      <c r="DH13" s="53">
        <f t="shared" si="20"/>
        <v>5.7226618528858353</v>
      </c>
      <c r="DI13" s="64">
        <f t="shared" si="20"/>
        <v>2.7161650325845166</v>
      </c>
      <c r="DJ13" s="52">
        <f t="shared" si="20"/>
        <v>2.8755407230980135</v>
      </c>
      <c r="DK13" s="53">
        <f t="shared" si="20"/>
        <v>6.3101956068128517</v>
      </c>
      <c r="DL13" s="53">
        <f t="shared" si="20"/>
        <v>-2.0876626384826458</v>
      </c>
      <c r="DM13" s="64">
        <f t="shared" si="20"/>
        <v>5.6376933599914913</v>
      </c>
      <c r="DN13" s="52">
        <f t="shared" si="20"/>
        <v>5.6173246216072448</v>
      </c>
      <c r="DO13" s="53">
        <f t="shared" si="20"/>
        <v>3.3801945352232243</v>
      </c>
      <c r="DP13" s="53">
        <f t="shared" si="20"/>
        <v>7.8115547744977532</v>
      </c>
      <c r="DQ13" s="64">
        <f t="shared" si="20"/>
        <v>3.6168181629518292</v>
      </c>
      <c r="DR13" s="52">
        <f t="shared" si="20"/>
        <v>1.268016271503658</v>
      </c>
      <c r="DS13" s="53">
        <f t="shared" si="20"/>
        <v>2.2502384916107676</v>
      </c>
      <c r="DT13" s="53">
        <f t="shared" si="20"/>
        <v>4.915848769156983</v>
      </c>
      <c r="DU13" s="64">
        <f t="shared" si="20"/>
        <v>4.3570043742289233</v>
      </c>
      <c r="DV13" s="52">
        <f t="shared" si="21"/>
        <v>5.9270191649554604</v>
      </c>
      <c r="DW13" s="53">
        <f t="shared" si="21"/>
        <v>-2.6784843163081384</v>
      </c>
      <c r="DX13" s="53">
        <f t="shared" si="21"/>
        <v>11.674051587882595</v>
      </c>
      <c r="DY13" s="64">
        <f t="shared" si="21"/>
        <v>8.338291346954696</v>
      </c>
      <c r="DZ13" s="52">
        <f t="shared" si="21"/>
        <v>19.064273166003698</v>
      </c>
      <c r="EA13" s="53">
        <f t="shared" si="21"/>
        <v>49.731358807515051</v>
      </c>
      <c r="EB13" s="53">
        <f t="shared" si="21"/>
        <v>29.136377865117691</v>
      </c>
      <c r="EC13" s="64">
        <f t="shared" si="21"/>
        <v>46.015150012046327</v>
      </c>
      <c r="ED13" s="52">
        <f t="shared" si="21"/>
        <v>52.756418301274351</v>
      </c>
      <c r="EE13" s="53">
        <f t="shared" si="21"/>
        <v>24.603873699891853</v>
      </c>
      <c r="EF13" s="53">
        <f t="shared" si="21"/>
        <v>14.126597384515938</v>
      </c>
      <c r="EG13" s="64">
        <f t="shared" si="21"/>
        <v>5.2001970304693668</v>
      </c>
      <c r="EH13" s="52">
        <f t="shared" si="21"/>
        <v>-0.48872230536590733</v>
      </c>
      <c r="EI13" s="53">
        <f t="shared" si="21"/>
        <v>-5.526310044951332</v>
      </c>
      <c r="EJ13" s="53">
        <f t="shared" si="22"/>
        <v>2.9222217381200899</v>
      </c>
      <c r="EK13" s="64">
        <f t="shared" si="22"/>
        <v>-4.4133317956406408</v>
      </c>
      <c r="EL13" s="52">
        <f t="shared" si="22"/>
        <v>-3.9120219030384762</v>
      </c>
      <c r="EM13" s="53">
        <f t="shared" si="22"/>
        <v>3.0460948914190933</v>
      </c>
      <c r="EN13" s="53">
        <f t="shared" si="22"/>
        <v>-0.12364515076410676</v>
      </c>
      <c r="EO13" s="64">
        <f t="shared" si="22"/>
        <v>12.950272190262947</v>
      </c>
      <c r="EP13" s="52">
        <f t="shared" si="22"/>
        <v>-0.23268505079824253</v>
      </c>
      <c r="EQ13" s="53">
        <f t="shared" si="22"/>
        <v>4.0927280253898246</v>
      </c>
      <c r="ER13" s="53">
        <f t="shared" si="22"/>
        <v>0.47170477744578054</v>
      </c>
      <c r="ES13" s="64">
        <f t="shared" si="22"/>
        <v>-8.4698472923663175</v>
      </c>
      <c r="ET13" s="53">
        <f t="shared" si="22"/>
        <v>-5.1925178358700697</v>
      </c>
      <c r="EU13" s="53">
        <f t="shared" si="22"/>
        <v>0.28923640552915852</v>
      </c>
      <c r="EV13" s="53">
        <f t="shared" si="22"/>
        <v>5.3826275401421375</v>
      </c>
      <c r="EW13" s="64">
        <f t="shared" si="22"/>
        <v>6.0869047827223133</v>
      </c>
    </row>
    <row r="14" spans="2:153">
      <c r="B14" s="48" t="s">
        <v>121</v>
      </c>
      <c r="C14" s="53"/>
      <c r="D14" s="53"/>
      <c r="E14" s="53"/>
      <c r="F14" s="53"/>
      <c r="G14" s="53"/>
      <c r="H14" s="53">
        <v>529.24400000000003</v>
      </c>
      <c r="I14" s="53">
        <v>589.48699999999997</v>
      </c>
      <c r="J14" s="53">
        <v>628.04399999999998</v>
      </c>
      <c r="K14" s="53">
        <v>650.65499999999997</v>
      </c>
      <c r="L14" s="53">
        <v>670.60900000000004</v>
      </c>
      <c r="M14" s="53">
        <v>688.952</v>
      </c>
      <c r="N14" s="53">
        <v>715.67100000000005</v>
      </c>
      <c r="O14" s="53">
        <f t="shared" si="3"/>
        <v>757.452</v>
      </c>
      <c r="P14" s="53">
        <f t="shared" si="4"/>
        <v>800.32799999999997</v>
      </c>
      <c r="Q14" s="53">
        <f t="shared" si="16"/>
        <v>833.05099999999993</v>
      </c>
      <c r="R14" s="53">
        <f t="shared" si="26"/>
        <v>1058.316</v>
      </c>
      <c r="S14" s="53">
        <f t="shared" si="10"/>
        <v>1217.7459999999999</v>
      </c>
      <c r="T14" s="53">
        <f t="shared" si="11"/>
        <v>1223.5070000000001</v>
      </c>
      <c r="U14" s="53">
        <f t="shared" si="27"/>
        <v>1293.4390000000001</v>
      </c>
      <c r="V14" s="110">
        <f>SUM(CS14:CV14)</f>
        <v>1337.8820000000001</v>
      </c>
      <c r="W14" s="110">
        <f>W6*W41/100</f>
        <v>1329.6295353649998</v>
      </c>
      <c r="X14" s="110">
        <f>X6*X41/100</f>
        <v>1365.7053787936002</v>
      </c>
      <c r="Y14" s="111">
        <f>Y6*Y41/100</f>
        <v>1399.3765559500482</v>
      </c>
      <c r="AA14" s="52">
        <f t="shared" si="17"/>
        <v>11.382840428989272</v>
      </c>
      <c r="AB14" s="53">
        <f t="shared" si="17"/>
        <v>6.540771891492092</v>
      </c>
      <c r="AC14" s="53">
        <f t="shared" si="17"/>
        <v>3.6002254619103002</v>
      </c>
      <c r="AD14" s="53">
        <f t="shared" si="17"/>
        <v>3.0667558076092671</v>
      </c>
      <c r="AE14" s="53">
        <f t="shared" si="17"/>
        <v>2.7352749515738628</v>
      </c>
      <c r="AF14" s="53">
        <f t="shared" si="17"/>
        <v>3.8782092221228748</v>
      </c>
      <c r="AG14" s="53">
        <f t="shared" si="17"/>
        <v>5.8380177483787765</v>
      </c>
      <c r="AH14" s="52">
        <f t="shared" si="17"/>
        <v>5.6605567085439068</v>
      </c>
      <c r="AI14" s="53">
        <f t="shared" si="18"/>
        <v>4.0886986335602282</v>
      </c>
      <c r="AJ14" s="53">
        <f t="shared" si="18"/>
        <v>27.040961477748681</v>
      </c>
      <c r="AK14" s="53">
        <f t="shared" si="18"/>
        <v>15.06449869415183</v>
      </c>
      <c r="AL14" s="53">
        <f t="shared" si="18"/>
        <v>0.47308716267597806</v>
      </c>
      <c r="AM14" s="52">
        <f t="shared" si="18"/>
        <v>5.7157008500972939</v>
      </c>
      <c r="AN14" s="53">
        <f t="shared" si="18"/>
        <v>3.4360337054936574</v>
      </c>
      <c r="AO14" s="53">
        <f t="shared" si="18"/>
        <v>-0.61683053027099533</v>
      </c>
      <c r="AP14" s="53">
        <f t="shared" si="18"/>
        <v>2.7132251855925382</v>
      </c>
      <c r="AQ14" s="64">
        <f t="shared" si="18"/>
        <v>2.4654788418708273</v>
      </c>
      <c r="AR14" s="53">
        <f>T14-S14</f>
        <v>5.7610000000001946</v>
      </c>
      <c r="AS14" s="112">
        <f>AS6*AS41/100</f>
        <v>1325.8759635000004</v>
      </c>
      <c r="AU14" s="112">
        <f>AU6*AU41/100</f>
        <v>1364.6638621413003</v>
      </c>
      <c r="AW14" s="107"/>
      <c r="AY14" s="48" t="s">
        <v>121</v>
      </c>
      <c r="BA14" s="53"/>
      <c r="BB14" s="53"/>
      <c r="BC14" s="53"/>
      <c r="BD14" s="64"/>
      <c r="BE14" s="52">
        <v>157.21700000000001</v>
      </c>
      <c r="BF14" s="53">
        <v>170.386</v>
      </c>
      <c r="BG14" s="53">
        <v>175.166</v>
      </c>
      <c r="BH14" s="64">
        <f>+L14-BE14-BF14-BG14</f>
        <v>167.84000000000009</v>
      </c>
      <c r="BI14" s="52">
        <v>161.779</v>
      </c>
      <c r="BJ14" s="53">
        <v>174.27099999999999</v>
      </c>
      <c r="BK14" s="53">
        <v>182.904</v>
      </c>
      <c r="BL14" s="64">
        <f>+M14-BI14-BJ14-BK14</f>
        <v>169.99800000000005</v>
      </c>
      <c r="BM14" s="52">
        <v>169.857</v>
      </c>
      <c r="BN14" s="53">
        <v>180.93</v>
      </c>
      <c r="BO14" s="53">
        <v>183.72800000000001</v>
      </c>
      <c r="BP14" s="64">
        <f>+N14-BM14-BN14-BO14</f>
        <v>181.15600000000006</v>
      </c>
      <c r="BQ14" s="52">
        <v>178.53399999999999</v>
      </c>
      <c r="BR14" s="53">
        <v>186.577</v>
      </c>
      <c r="BS14" s="53">
        <v>200.40799999999999</v>
      </c>
      <c r="BT14" s="111">
        <v>191.93299999999999</v>
      </c>
      <c r="BU14" s="52">
        <v>180.072</v>
      </c>
      <c r="BV14" s="110">
        <v>196.54900000000001</v>
      </c>
      <c r="BW14" s="53">
        <v>212.90199999999999</v>
      </c>
      <c r="BX14" s="111">
        <v>210.80500000000001</v>
      </c>
      <c r="BY14" s="52">
        <v>203.386</v>
      </c>
      <c r="BZ14" s="110">
        <v>194.053</v>
      </c>
      <c r="CA14" s="53">
        <v>221.03700000000001</v>
      </c>
      <c r="CB14" s="111">
        <v>214.57499999999999</v>
      </c>
      <c r="CC14" s="52">
        <v>217.61199999999999</v>
      </c>
      <c r="CD14" s="110">
        <v>266.697</v>
      </c>
      <c r="CE14" s="53">
        <v>281.92200000000003</v>
      </c>
      <c r="CF14" s="111">
        <v>292.08499999999998</v>
      </c>
      <c r="CG14" s="52">
        <v>283.35399999999998</v>
      </c>
      <c r="CH14" s="110">
        <v>314.75299999999999</v>
      </c>
      <c r="CI14" s="53">
        <v>321.52199999999999</v>
      </c>
      <c r="CJ14" s="111">
        <f>301.753-3.636</f>
        <v>298.11699999999996</v>
      </c>
      <c r="CK14" s="52">
        <v>287.05700000000002</v>
      </c>
      <c r="CL14" s="110">
        <v>304.15499999999997</v>
      </c>
      <c r="CM14" s="53">
        <v>319.834</v>
      </c>
      <c r="CN14" s="111">
        <f>312.461-0</f>
        <v>312.46100000000001</v>
      </c>
      <c r="CO14" s="52">
        <v>309.548</v>
      </c>
      <c r="CP14" s="53">
        <v>319.029</v>
      </c>
      <c r="CQ14" s="53">
        <v>326.37299999999999</v>
      </c>
      <c r="CR14" s="64">
        <v>338.48899999999998</v>
      </c>
      <c r="CS14" s="113">
        <v>322.58100000000002</v>
      </c>
      <c r="CT14" s="53">
        <v>339.00099999999998</v>
      </c>
      <c r="CU14" s="110">
        <v>343.65499999999997</v>
      </c>
      <c r="CV14" s="64">
        <v>332.64499999999998</v>
      </c>
      <c r="CW14" s="110">
        <f>CW6*CW41/100</f>
        <v>320.42185036499995</v>
      </c>
      <c r="CX14" s="110">
        <f>CX6*CX41/100</f>
        <v>337.76922000299999</v>
      </c>
      <c r="CY14" s="110">
        <f>CY6*CY41/100</f>
        <v>340.49773364999993</v>
      </c>
      <c r="CZ14" s="64">
        <f>$W14-CW14-CX14-CY14</f>
        <v>330.94073134699994</v>
      </c>
      <c r="DB14" s="52"/>
      <c r="DC14" s="53"/>
      <c r="DD14" s="53"/>
      <c r="DE14" s="64"/>
      <c r="DF14" s="52">
        <f t="shared" si="20"/>
        <v>2.9017218239757669</v>
      </c>
      <c r="DG14" s="53">
        <f t="shared" si="20"/>
        <v>2.2801169110138186</v>
      </c>
      <c r="DH14" s="53">
        <f t="shared" si="20"/>
        <v>4.4175239487115103</v>
      </c>
      <c r="DI14" s="64">
        <f t="shared" si="20"/>
        <v>1.2857483317444851</v>
      </c>
      <c r="DJ14" s="52">
        <f t="shared" si="20"/>
        <v>4.9932315071795408</v>
      </c>
      <c r="DK14" s="53">
        <f t="shared" si="20"/>
        <v>3.8210603026321177</v>
      </c>
      <c r="DL14" s="53">
        <f t="shared" si="20"/>
        <v>0.45050955692604866</v>
      </c>
      <c r="DM14" s="64">
        <f t="shared" si="20"/>
        <v>6.5636066306662411</v>
      </c>
      <c r="DN14" s="52">
        <f t="shared" si="20"/>
        <v>5.1084147253277701</v>
      </c>
      <c r="DO14" s="53">
        <f t="shared" si="20"/>
        <v>3.1210965566793814</v>
      </c>
      <c r="DP14" s="53">
        <f t="shared" si="20"/>
        <v>9.0786379865888556</v>
      </c>
      <c r="DQ14" s="64">
        <f t="shared" si="20"/>
        <v>5.9490163174280353</v>
      </c>
      <c r="DR14" s="52">
        <f t="shared" si="20"/>
        <v>0.86146056213383115</v>
      </c>
      <c r="DS14" s="53">
        <f t="shared" si="20"/>
        <v>5.3447102268768365</v>
      </c>
      <c r="DT14" s="53">
        <f t="shared" si="20"/>
        <v>6.234282064588248</v>
      </c>
      <c r="DU14" s="64">
        <f t="shared" si="20"/>
        <v>9.8325978336190278</v>
      </c>
      <c r="DV14" s="52">
        <f t="shared" si="21"/>
        <v>12.947043404860281</v>
      </c>
      <c r="DW14" s="53">
        <f t="shared" si="21"/>
        <v>-1.269912337381518</v>
      </c>
      <c r="DX14" s="53">
        <f t="shared" si="21"/>
        <v>3.8210068482212645</v>
      </c>
      <c r="DY14" s="64">
        <f t="shared" si="21"/>
        <v>1.7883826284955218</v>
      </c>
      <c r="DZ14" s="52">
        <f t="shared" si="21"/>
        <v>6.9945817312892622</v>
      </c>
      <c r="EA14" s="53">
        <f t="shared" si="21"/>
        <v>37.435133700586952</v>
      </c>
      <c r="EB14" s="53">
        <f t="shared" si="21"/>
        <v>27.545162122178656</v>
      </c>
      <c r="EC14" s="64">
        <f t="shared" si="21"/>
        <v>36.122567866713261</v>
      </c>
      <c r="ED14" s="52">
        <f t="shared" si="21"/>
        <v>30.210650147969776</v>
      </c>
      <c r="EE14" s="53">
        <f t="shared" si="21"/>
        <v>18.018950344398309</v>
      </c>
      <c r="EF14" s="53">
        <f t="shared" si="21"/>
        <v>14.046438376572222</v>
      </c>
      <c r="EG14" s="64">
        <f t="shared" si="21"/>
        <v>2.0651522673194478</v>
      </c>
      <c r="EH14" s="52">
        <f t="shared" si="21"/>
        <v>1.3068458535965721</v>
      </c>
      <c r="EI14" s="53">
        <f t="shared" si="21"/>
        <v>-3.3670846663892084</v>
      </c>
      <c r="EJ14" s="53">
        <f t="shared" si="22"/>
        <v>-0.52500295469671832</v>
      </c>
      <c r="EK14" s="64">
        <f t="shared" si="22"/>
        <v>4.8115337266912084</v>
      </c>
      <c r="EL14" s="52">
        <f t="shared" si="22"/>
        <v>7.8350292798991195</v>
      </c>
      <c r="EM14" s="53">
        <f t="shared" si="22"/>
        <v>4.8902697637717596</v>
      </c>
      <c r="EN14" s="53">
        <f t="shared" si="22"/>
        <v>2.0444980833807413</v>
      </c>
      <c r="EO14" s="64">
        <f t="shared" si="22"/>
        <v>8.3299995839480658</v>
      </c>
      <c r="EP14" s="52">
        <f t="shared" si="22"/>
        <v>4.2103324847842627</v>
      </c>
      <c r="EQ14" s="53">
        <f t="shared" si="22"/>
        <v>6.2602459337552263</v>
      </c>
      <c r="ER14" s="53">
        <f t="shared" si="22"/>
        <v>5.2951684116026687</v>
      </c>
      <c r="ES14" s="64">
        <f t="shared" si="22"/>
        <v>-1.7264962820062069</v>
      </c>
      <c r="ET14" s="53">
        <f t="shared" si="22"/>
        <v>-0.66933565058080458</v>
      </c>
      <c r="EU14" s="53">
        <f t="shared" si="22"/>
        <v>-0.36335585942224302</v>
      </c>
      <c r="EV14" s="53">
        <f t="shared" si="22"/>
        <v>-0.91873138758349349</v>
      </c>
      <c r="EW14" s="64">
        <f t="shared" si="22"/>
        <v>-0.51233857505750269</v>
      </c>
    </row>
    <row r="15" spans="2:153">
      <c r="B15" s="114" t="s">
        <v>122</v>
      </c>
      <c r="C15" s="49"/>
      <c r="D15" s="49"/>
      <c r="E15" s="49"/>
      <c r="F15" s="49"/>
      <c r="G15" s="49"/>
      <c r="H15" s="53">
        <v>0</v>
      </c>
      <c r="I15" s="53">
        <v>0</v>
      </c>
      <c r="J15" s="53">
        <v>0</v>
      </c>
      <c r="K15" s="53">
        <v>0</v>
      </c>
      <c r="L15" s="53">
        <v>0</v>
      </c>
      <c r="M15" s="53">
        <v>0</v>
      </c>
      <c r="N15" s="103">
        <v>3.8860000000000001</v>
      </c>
      <c r="O15" s="103">
        <f t="shared" si="3"/>
        <v>9.282</v>
      </c>
      <c r="P15" s="103">
        <f t="shared" si="4"/>
        <v>10.256</v>
      </c>
      <c r="Q15" s="103">
        <f t="shared" si="16"/>
        <v>11.264000000000001</v>
      </c>
      <c r="R15" s="103">
        <f t="shared" si="26"/>
        <v>19.299000000000003</v>
      </c>
      <c r="S15" s="103">
        <f t="shared" si="10"/>
        <v>22.670999999999999</v>
      </c>
      <c r="T15" s="103">
        <f t="shared" si="11"/>
        <v>26.177</v>
      </c>
      <c r="U15" s="103">
        <f t="shared" si="27"/>
        <v>30.501000000000001</v>
      </c>
      <c r="V15" s="103">
        <f>SUM(CS15:CV15)</f>
        <v>27.765000000000001</v>
      </c>
      <c r="W15" s="115">
        <v>25</v>
      </c>
      <c r="X15" s="115">
        <v>25</v>
      </c>
      <c r="Y15" s="116">
        <v>25</v>
      </c>
      <c r="AA15" s="52"/>
      <c r="AB15" s="53"/>
      <c r="AC15" s="53"/>
      <c r="AD15" s="53"/>
      <c r="AE15" s="53"/>
      <c r="AF15" s="53"/>
      <c r="AG15" s="53"/>
      <c r="AH15" s="52"/>
      <c r="AI15" s="53"/>
      <c r="AJ15" s="53"/>
      <c r="AK15" s="53"/>
      <c r="AL15" s="53"/>
      <c r="AM15" s="52"/>
      <c r="AN15" s="53"/>
      <c r="AO15" s="53"/>
      <c r="AP15" s="53"/>
      <c r="AQ15" s="64"/>
      <c r="AS15" s="117">
        <f>W15</f>
        <v>25</v>
      </c>
      <c r="AU15" s="117">
        <f>X15</f>
        <v>25</v>
      </c>
      <c r="AW15" s="107"/>
      <c r="AY15" s="114" t="s">
        <v>122</v>
      </c>
      <c r="BA15" s="53"/>
      <c r="BB15" s="53"/>
      <c r="BC15" s="53"/>
      <c r="BD15" s="64"/>
      <c r="BE15" s="52">
        <v>0</v>
      </c>
      <c r="BF15" s="53">
        <v>0</v>
      </c>
      <c r="BG15" s="53">
        <v>0</v>
      </c>
      <c r="BH15" s="64">
        <f>+L15-BE15-BF15-BG15</f>
        <v>0</v>
      </c>
      <c r="BI15" s="52">
        <v>0</v>
      </c>
      <c r="BJ15" s="53">
        <v>0</v>
      </c>
      <c r="BK15" s="53">
        <v>0</v>
      </c>
      <c r="BL15" s="64">
        <f>+M15-BI15-BJ15-BK15</f>
        <v>0</v>
      </c>
      <c r="BM15" s="52">
        <v>0</v>
      </c>
      <c r="BN15" s="53">
        <v>0</v>
      </c>
      <c r="BO15" s="53">
        <v>2.294</v>
      </c>
      <c r="BP15" s="64">
        <f>+N15-BM15-BN15-BO15</f>
        <v>1.5920000000000001</v>
      </c>
      <c r="BQ15" s="52">
        <v>1.6379999999999999</v>
      </c>
      <c r="BR15" s="53">
        <v>3.157</v>
      </c>
      <c r="BS15" s="53">
        <v>3.6960000000000002</v>
      </c>
      <c r="BT15" s="64">
        <v>0.79100000000000004</v>
      </c>
      <c r="BU15" s="52">
        <v>1.444</v>
      </c>
      <c r="BV15" s="53">
        <v>2.9649999999999999</v>
      </c>
      <c r="BW15" s="53">
        <v>3.53</v>
      </c>
      <c r="BX15" s="64">
        <v>2.3170000000000002</v>
      </c>
      <c r="BY15" s="52">
        <v>1.014</v>
      </c>
      <c r="BZ15" s="53">
        <v>4.1029999999999998</v>
      </c>
      <c r="CA15" s="53">
        <v>4.0549999999999997</v>
      </c>
      <c r="CB15" s="64">
        <v>2.0920000000000001</v>
      </c>
      <c r="CC15" s="52">
        <v>4.6710000000000003</v>
      </c>
      <c r="CD15" s="53">
        <v>5.5389999999999997</v>
      </c>
      <c r="CE15" s="53">
        <v>6.0570000000000004</v>
      </c>
      <c r="CF15" s="64">
        <v>3.032</v>
      </c>
      <c r="CG15" s="52">
        <v>4.0449999999999999</v>
      </c>
      <c r="CH15" s="53">
        <v>6.3170000000000002</v>
      </c>
      <c r="CI15" s="53">
        <v>6.9269999999999996</v>
      </c>
      <c r="CJ15" s="64">
        <v>5.3819999999999997</v>
      </c>
      <c r="CK15" s="52">
        <v>3.64</v>
      </c>
      <c r="CL15" s="53">
        <v>7.2380000000000004</v>
      </c>
      <c r="CM15" s="53">
        <v>9.5060000000000002</v>
      </c>
      <c r="CN15" s="64">
        <v>5.7930000000000001</v>
      </c>
      <c r="CO15" s="52">
        <v>5.46</v>
      </c>
      <c r="CP15" s="53">
        <v>8.0719999999999992</v>
      </c>
      <c r="CQ15" s="53">
        <v>10.375999999999999</v>
      </c>
      <c r="CR15" s="64">
        <v>6.593</v>
      </c>
      <c r="CS15" s="52">
        <v>5.1459999999999999</v>
      </c>
      <c r="CT15" s="53">
        <v>7.3819999999999997</v>
      </c>
      <c r="CU15" s="53">
        <v>9.5020000000000007</v>
      </c>
      <c r="CV15" s="64">
        <v>5.7350000000000003</v>
      </c>
      <c r="CW15" s="118">
        <v>6.2</v>
      </c>
      <c r="CX15" s="118">
        <v>6.2</v>
      </c>
      <c r="CY15" s="118">
        <v>6.2</v>
      </c>
      <c r="CZ15" s="64">
        <f>$W15-CW15-CX15-CY15</f>
        <v>6.4000000000000012</v>
      </c>
      <c r="DB15" s="52"/>
      <c r="DC15" s="53"/>
      <c r="DD15" s="53"/>
      <c r="DE15" s="64"/>
      <c r="DF15" s="52"/>
      <c r="DG15" s="53"/>
      <c r="DH15" s="53"/>
      <c r="DI15" s="64"/>
      <c r="DJ15" s="52"/>
      <c r="DK15" s="53"/>
      <c r="DL15" s="53"/>
      <c r="DM15" s="64"/>
      <c r="DN15" s="52"/>
      <c r="DO15" s="53"/>
      <c r="DP15" s="53"/>
      <c r="DQ15" s="64"/>
      <c r="DR15" s="52"/>
      <c r="DS15" s="53"/>
      <c r="DT15" s="53"/>
      <c r="DU15" s="64"/>
      <c r="DV15" s="52"/>
      <c r="DW15" s="53"/>
      <c r="DX15" s="53"/>
      <c r="DY15" s="64"/>
      <c r="DZ15" s="52"/>
      <c r="EA15" s="53"/>
      <c r="EB15" s="53"/>
      <c r="EC15" s="64"/>
      <c r="ED15" s="52"/>
      <c r="EE15" s="53"/>
      <c r="EF15" s="53"/>
      <c r="EG15" s="64"/>
      <c r="EH15" s="52"/>
      <c r="EI15" s="53"/>
      <c r="EJ15" s="53"/>
      <c r="EK15" s="64"/>
      <c r="EL15" s="52"/>
      <c r="EM15" s="53"/>
      <c r="EN15" s="53"/>
      <c r="EO15" s="64"/>
      <c r="EP15" s="52"/>
      <c r="EQ15" s="53"/>
      <c r="ER15" s="53"/>
      <c r="ES15" s="64"/>
      <c r="ET15" s="53"/>
      <c r="EU15" s="53"/>
      <c r="EV15" s="53"/>
      <c r="EW15" s="64"/>
    </row>
    <row r="16" spans="2:153">
      <c r="B16" s="48" t="s">
        <v>123</v>
      </c>
      <c r="C16" s="53"/>
      <c r="D16" s="53"/>
      <c r="E16" s="53"/>
      <c r="F16" s="53"/>
      <c r="G16" s="53"/>
      <c r="H16" s="106">
        <f t="shared" ref="H16:M16" si="30">H13-H14+H15</f>
        <v>199.04999999999984</v>
      </c>
      <c r="I16" s="106">
        <f t="shared" si="30"/>
        <v>224.90800000000002</v>
      </c>
      <c r="J16" s="106">
        <f t="shared" si="30"/>
        <v>271.20899999999972</v>
      </c>
      <c r="K16" s="106">
        <f t="shared" si="30"/>
        <v>305.74700000000007</v>
      </c>
      <c r="L16" s="106">
        <f t="shared" si="30"/>
        <v>336.74799999999948</v>
      </c>
      <c r="M16" s="106">
        <f t="shared" si="30"/>
        <v>345.63200000000029</v>
      </c>
      <c r="N16" s="92">
        <f>N13-N14+N15</f>
        <v>353.87400000000008</v>
      </c>
      <c r="O16" s="92">
        <f t="shared" si="3"/>
        <v>372.08199999999999</v>
      </c>
      <c r="P16" s="92">
        <f t="shared" si="4"/>
        <v>366.8840000000003</v>
      </c>
      <c r="Q16" s="92">
        <f t="shared" si="16"/>
        <v>401.03400000000005</v>
      </c>
      <c r="R16" s="92">
        <f t="shared" si="26"/>
        <v>628.52799999999979</v>
      </c>
      <c r="S16" s="92">
        <f t="shared" si="10"/>
        <v>835.21399999999994</v>
      </c>
      <c r="T16" s="92">
        <f t="shared" si="11"/>
        <v>794.80999999999983</v>
      </c>
      <c r="U16" s="92">
        <f t="shared" si="27"/>
        <v>781.7750000000002</v>
      </c>
      <c r="V16" s="92">
        <f t="shared" ref="V16:V25" si="31">SUM(CS16:CV16)</f>
        <v>720.34700000000055</v>
      </c>
      <c r="W16" s="92">
        <f>W13-W14+W15</f>
        <v>761.97290931500038</v>
      </c>
      <c r="X16" s="92">
        <f>X13-X14+X15</f>
        <v>821.0160840624003</v>
      </c>
      <c r="Y16" s="93">
        <f>Y13-Y14+Y15</f>
        <v>887.33760043577672</v>
      </c>
      <c r="AA16" s="52">
        <f t="shared" si="17"/>
        <v>12.990705852800911</v>
      </c>
      <c r="AB16" s="53">
        <f t="shared" si="17"/>
        <v>20.586639870524714</v>
      </c>
      <c r="AC16" s="53">
        <f t="shared" si="17"/>
        <v>12.734828121485787</v>
      </c>
      <c r="AD16" s="53">
        <f t="shared" si="17"/>
        <v>10.139429005026845</v>
      </c>
      <c r="AE16" s="53">
        <f t="shared" si="17"/>
        <v>2.6381745400123613</v>
      </c>
      <c r="AF16" s="53">
        <f t="shared" si="17"/>
        <v>2.3846171650772519</v>
      </c>
      <c r="AG16" s="53">
        <f t="shared" si="17"/>
        <v>5.1453342150030501</v>
      </c>
      <c r="AH16" s="52">
        <f t="shared" si="17"/>
        <v>-1.3970038862400447</v>
      </c>
      <c r="AI16" s="53">
        <f t="shared" si="17"/>
        <v>9.3081191875360467</v>
      </c>
      <c r="AJ16" s="53">
        <f t="shared" si="17"/>
        <v>56.726861064149105</v>
      </c>
      <c r="AK16" s="53">
        <f t="shared" si="17"/>
        <v>32.884135631189103</v>
      </c>
      <c r="AL16" s="53">
        <f t="shared" si="17"/>
        <v>-4.837562588749722</v>
      </c>
      <c r="AM16" s="52">
        <f t="shared" si="17"/>
        <v>-1.6400145946829592</v>
      </c>
      <c r="AN16" s="53">
        <f t="shared" si="17"/>
        <v>-7.8575037574749267</v>
      </c>
      <c r="AO16" s="53">
        <f t="shared" si="17"/>
        <v>5.7785913337599526</v>
      </c>
      <c r="AP16" s="53">
        <f t="shared" si="17"/>
        <v>7.748723612822217</v>
      </c>
      <c r="AQ16" s="64">
        <f t="shared" ref="AI16:AQ21" si="32">(Y16/X16-1)*100</f>
        <v>8.0779801590751497</v>
      </c>
      <c r="AS16" s="94">
        <f>AS13-AS14+AS15</f>
        <v>909.19473040000071</v>
      </c>
      <c r="AU16" s="94">
        <f>AU13-AU14+AU15</f>
        <v>1007.1568349376994</v>
      </c>
      <c r="AW16" s="107"/>
      <c r="AY16" s="48" t="s">
        <v>123</v>
      </c>
      <c r="BA16" s="106"/>
      <c r="BB16" s="106"/>
      <c r="BC16" s="106"/>
      <c r="BD16" s="108"/>
      <c r="BE16" s="109">
        <f t="shared" ref="BE16:CZ16" si="33">+BE13-BE14+BE15</f>
        <v>47.00800000000001</v>
      </c>
      <c r="BF16" s="106">
        <f t="shared" si="33"/>
        <v>124.85900000000012</v>
      </c>
      <c r="BG16" s="106">
        <f t="shared" si="33"/>
        <v>110.67999999999989</v>
      </c>
      <c r="BH16" s="108">
        <f t="shared" si="33"/>
        <v>54.200999999999283</v>
      </c>
      <c r="BI16" s="109">
        <f t="shared" si="33"/>
        <v>50.668000000000006</v>
      </c>
      <c r="BJ16" s="106">
        <f t="shared" si="33"/>
        <v>117.59</v>
      </c>
      <c r="BK16" s="106">
        <f t="shared" si="33"/>
        <v>119.29999999999995</v>
      </c>
      <c r="BL16" s="108">
        <f t="shared" si="33"/>
        <v>58.074000000000296</v>
      </c>
      <c r="BM16" s="109">
        <f t="shared" si="33"/>
        <v>48.699000000000041</v>
      </c>
      <c r="BN16" s="106">
        <f t="shared" si="33"/>
        <v>129.34800000000001</v>
      </c>
      <c r="BO16" s="106">
        <f t="shared" si="33"/>
        <v>114.46099999999986</v>
      </c>
      <c r="BP16" s="108">
        <f t="shared" si="33"/>
        <v>61.366000000000113</v>
      </c>
      <c r="BQ16" s="109">
        <f t="shared" si="33"/>
        <v>53.936999999999976</v>
      </c>
      <c r="BR16" s="106">
        <f t="shared" si="33"/>
        <v>137.34599999999998</v>
      </c>
      <c r="BS16" s="106">
        <f t="shared" si="33"/>
        <v>122.29700000000003</v>
      </c>
      <c r="BT16" s="108">
        <f t="shared" si="33"/>
        <v>58.50200000000001</v>
      </c>
      <c r="BU16" s="109">
        <f t="shared" si="33"/>
        <v>55.131999999999991</v>
      </c>
      <c r="BV16" s="106">
        <f t="shared" si="33"/>
        <v>134.40000000000015</v>
      </c>
      <c r="BW16" s="106">
        <f t="shared" si="33"/>
        <v>125.31900000000005</v>
      </c>
      <c r="BX16" s="108">
        <f t="shared" si="33"/>
        <v>52.033000000000065</v>
      </c>
      <c r="BY16" s="109">
        <f t="shared" si="33"/>
        <v>45.242999999999903</v>
      </c>
      <c r="BZ16" s="106">
        <f t="shared" si="33"/>
        <v>129.24900000000008</v>
      </c>
      <c r="CA16" s="106">
        <f t="shared" si="33"/>
        <v>156.78100000000015</v>
      </c>
      <c r="CB16" s="108">
        <f t="shared" si="33"/>
        <v>69.760999999999925</v>
      </c>
      <c r="CC16" s="109">
        <f t="shared" si="33"/>
        <v>81.879999999999924</v>
      </c>
      <c r="CD16" s="106">
        <f t="shared" si="33"/>
        <v>216.78300000000002</v>
      </c>
      <c r="CE16" s="106">
        <f t="shared" si="33"/>
        <v>206.79899999999995</v>
      </c>
      <c r="CF16" s="108">
        <f t="shared" si="33"/>
        <v>123.06599999999993</v>
      </c>
      <c r="CG16" s="109">
        <f t="shared" si="33"/>
        <v>171.04899999999995</v>
      </c>
      <c r="CH16" s="106">
        <f t="shared" si="33"/>
        <v>287.09700000000015</v>
      </c>
      <c r="CI16" s="106">
        <f t="shared" si="33"/>
        <v>236.25299999999996</v>
      </c>
      <c r="CJ16" s="108">
        <f t="shared" si="33"/>
        <v>140.815</v>
      </c>
      <c r="CK16" s="109">
        <f t="shared" si="33"/>
        <v>164.74000000000012</v>
      </c>
      <c r="CL16" s="106">
        <f t="shared" si="33"/>
        <v>265.7050000000001</v>
      </c>
      <c r="CM16" s="106">
        <f t="shared" si="33"/>
        <v>256.61699999999973</v>
      </c>
      <c r="CN16" s="108">
        <f t="shared" si="33"/>
        <v>107.74799999999993</v>
      </c>
      <c r="CO16" s="109">
        <f t="shared" si="33"/>
        <v>126.53699999999999</v>
      </c>
      <c r="CP16" s="106">
        <f t="shared" si="33"/>
        <v>268.803</v>
      </c>
      <c r="CQ16" s="106">
        <f t="shared" si="33"/>
        <v>250.24700000000016</v>
      </c>
      <c r="CR16" s="108">
        <f t="shared" si="33"/>
        <v>136.18800000000007</v>
      </c>
      <c r="CS16" s="109">
        <f t="shared" si="33"/>
        <v>112.18800000000003</v>
      </c>
      <c r="CT16" s="106">
        <f t="shared" si="33"/>
        <v>271.86900000000009</v>
      </c>
      <c r="CU16" s="106">
        <f t="shared" si="33"/>
        <v>234.76200000000023</v>
      </c>
      <c r="CV16" s="108">
        <f t="shared" si="33"/>
        <v>101.52800000000012</v>
      </c>
      <c r="CW16" s="106">
        <f t="shared" si="33"/>
        <v>93.092898733000041</v>
      </c>
      <c r="CX16" s="106">
        <f t="shared" si="33"/>
        <v>273.66428699599993</v>
      </c>
      <c r="CY16" s="106">
        <f t="shared" si="33"/>
        <v>265.23984181999992</v>
      </c>
      <c r="CZ16" s="108">
        <f t="shared" si="33"/>
        <v>129.97588176600001</v>
      </c>
      <c r="DB16" s="119"/>
      <c r="DC16" s="9"/>
      <c r="DD16" s="9"/>
      <c r="DE16" s="120"/>
      <c r="DF16" s="52">
        <f t="shared" ref="DF16:ES21" si="34">(BI16/BE16-1)*100</f>
        <v>7.7859087814839967</v>
      </c>
      <c r="DG16" s="53">
        <f t="shared" si="34"/>
        <v>-5.821766953123209</v>
      </c>
      <c r="DH16" s="53">
        <f t="shared" si="34"/>
        <v>7.7882182869534411</v>
      </c>
      <c r="DI16" s="64">
        <f t="shared" si="34"/>
        <v>7.1456246194739226</v>
      </c>
      <c r="DJ16" s="52">
        <f t="shared" si="34"/>
        <v>-3.8860819452118944</v>
      </c>
      <c r="DK16" s="53">
        <f t="shared" si="34"/>
        <v>9.9991495875499723</v>
      </c>
      <c r="DL16" s="53">
        <f t="shared" si="34"/>
        <v>-4.0561609388098052</v>
      </c>
      <c r="DM16" s="64">
        <f t="shared" si="34"/>
        <v>5.6686296793742486</v>
      </c>
      <c r="DN16" s="52">
        <f t="shared" si="34"/>
        <v>10.7558676769542</v>
      </c>
      <c r="DO16" s="53">
        <f t="shared" si="34"/>
        <v>6.1833194173856354</v>
      </c>
      <c r="DP16" s="53">
        <f t="shared" si="34"/>
        <v>6.84599994758055</v>
      </c>
      <c r="DQ16" s="64">
        <f t="shared" si="34"/>
        <v>-4.6670794902716413</v>
      </c>
      <c r="DR16" s="52">
        <f t="shared" si="34"/>
        <v>2.2155477686931269</v>
      </c>
      <c r="DS16" s="53">
        <f t="shared" si="34"/>
        <v>-2.1449477960769348</v>
      </c>
      <c r="DT16" s="53">
        <f t="shared" si="34"/>
        <v>2.4710336312419923</v>
      </c>
      <c r="DU16" s="64">
        <f t="shared" si="34"/>
        <v>-11.057741615671157</v>
      </c>
      <c r="DV16" s="52">
        <f t="shared" si="34"/>
        <v>-17.936951316839746</v>
      </c>
      <c r="DW16" s="53">
        <f t="shared" si="34"/>
        <v>-3.8325892857143273</v>
      </c>
      <c r="DX16" s="53">
        <f t="shared" si="34"/>
        <v>25.105530685690191</v>
      </c>
      <c r="DY16" s="64">
        <f t="shared" si="34"/>
        <v>34.070685910863951</v>
      </c>
      <c r="DZ16" s="52">
        <f t="shared" si="34"/>
        <v>80.978272881993021</v>
      </c>
      <c r="EA16" s="53">
        <f t="shared" si="34"/>
        <v>67.725088782118135</v>
      </c>
      <c r="EB16" s="53">
        <f t="shared" si="34"/>
        <v>31.903100503249604</v>
      </c>
      <c r="EC16" s="64">
        <f t="shared" si="34"/>
        <v>76.410888605381317</v>
      </c>
      <c r="ED16" s="52">
        <f t="shared" si="34"/>
        <v>108.90205178309733</v>
      </c>
      <c r="EE16" s="53">
        <f t="shared" si="34"/>
        <v>32.435200177135727</v>
      </c>
      <c r="EF16" s="53">
        <f t="shared" si="34"/>
        <v>14.242815487502369</v>
      </c>
      <c r="EG16" s="64">
        <f t="shared" si="34"/>
        <v>14.422342482895424</v>
      </c>
      <c r="EH16" s="52">
        <f t="shared" si="34"/>
        <v>-3.6884167694636205</v>
      </c>
      <c r="EI16" s="53">
        <f t="shared" si="34"/>
        <v>-7.4511402069683879</v>
      </c>
      <c r="EJ16" s="53">
        <f t="shared" si="34"/>
        <v>8.6195730847861363</v>
      </c>
      <c r="EK16" s="64">
        <f t="shared" si="34"/>
        <v>-23.482583531584034</v>
      </c>
      <c r="EL16" s="52">
        <f t="shared" si="34"/>
        <v>-23.189874954473776</v>
      </c>
      <c r="EM16" s="53">
        <f t="shared" si="34"/>
        <v>1.1659547242242052</v>
      </c>
      <c r="EN16" s="53">
        <f t="shared" si="34"/>
        <v>-2.4822985227009875</v>
      </c>
      <c r="EO16" s="64">
        <f t="shared" si="34"/>
        <v>26.394921483461566</v>
      </c>
      <c r="EP16" s="52">
        <f t="shared" si="34"/>
        <v>-11.33976623438201</v>
      </c>
      <c r="EQ16" s="53">
        <f t="shared" si="34"/>
        <v>1.140612269952368</v>
      </c>
      <c r="ER16" s="53">
        <f t="shared" si="34"/>
        <v>-6.1878863682681136</v>
      </c>
      <c r="ES16" s="64">
        <f t="shared" si="34"/>
        <v>-25.450113078979008</v>
      </c>
      <c r="ET16" s="53">
        <f>(CW16/CS16-1)*100</f>
        <v>-17.020627221271422</v>
      </c>
      <c r="EU16" s="53">
        <f>(CX16/CT16-1)*100</f>
        <v>0.66035002004636301</v>
      </c>
      <c r="EV16" s="53">
        <f>(CY16/CU16-1)*100</f>
        <v>12.982442567365959</v>
      </c>
      <c r="EW16" s="64">
        <f t="shared" ref="EW16:EW21" si="35">(CZ16/CV16-1)*100</f>
        <v>28.019740136710915</v>
      </c>
    </row>
    <row r="17" spans="2:153">
      <c r="B17" s="48" t="s">
        <v>124</v>
      </c>
      <c r="C17" s="53"/>
      <c r="D17" s="53"/>
      <c r="E17" s="53"/>
      <c r="F17" s="53"/>
      <c r="G17" s="53"/>
      <c r="H17" s="53">
        <v>4.4580000000000002</v>
      </c>
      <c r="I17" s="53">
        <v>4.665</v>
      </c>
      <c r="J17" s="53">
        <v>5.83</v>
      </c>
      <c r="K17" s="53">
        <v>5.2060000000000004</v>
      </c>
      <c r="L17" s="53">
        <v>5.5469999999999997</v>
      </c>
      <c r="M17" s="53">
        <v>3.7130000000000001</v>
      </c>
      <c r="N17" s="103">
        <v>6.3630000000000004</v>
      </c>
      <c r="O17" s="103">
        <f t="shared" si="3"/>
        <v>2.74</v>
      </c>
      <c r="P17" s="103">
        <f t="shared" si="4"/>
        <v>4.032</v>
      </c>
      <c r="Q17" s="103">
        <f t="shared" si="16"/>
        <v>1.2390000000000001</v>
      </c>
      <c r="R17" s="103">
        <f t="shared" si="26"/>
        <v>0.996</v>
      </c>
      <c r="S17" s="103">
        <f t="shared" si="10"/>
        <v>2.165</v>
      </c>
      <c r="T17" s="103">
        <f t="shared" si="11"/>
        <v>4.92</v>
      </c>
      <c r="U17" s="103">
        <f t="shared" si="27"/>
        <v>-20.869</v>
      </c>
      <c r="V17" s="103">
        <f t="shared" si="31"/>
        <v>-17.329000000000001</v>
      </c>
      <c r="W17" s="115">
        <v>-20</v>
      </c>
      <c r="X17" s="115">
        <v>-20</v>
      </c>
      <c r="Y17" s="116">
        <v>-20</v>
      </c>
      <c r="AA17" s="52">
        <f t="shared" si="17"/>
        <v>4.643337819650073</v>
      </c>
      <c r="AB17" s="53">
        <f t="shared" si="17"/>
        <v>24.973204715969999</v>
      </c>
      <c r="AC17" s="53">
        <f t="shared" si="17"/>
        <v>-10.703259005145792</v>
      </c>
      <c r="AD17" s="53">
        <f t="shared" si="17"/>
        <v>6.5501344602381772</v>
      </c>
      <c r="AE17" s="53">
        <f t="shared" si="17"/>
        <v>-33.062916892013696</v>
      </c>
      <c r="AF17" s="53">
        <f t="shared" si="17"/>
        <v>71.370859143549708</v>
      </c>
      <c r="AG17" s="53">
        <f t="shared" si="17"/>
        <v>-56.938550997956938</v>
      </c>
      <c r="AH17" s="52">
        <f t="shared" si="17"/>
        <v>47.153284671532838</v>
      </c>
      <c r="AI17" s="53">
        <f t="shared" si="32"/>
        <v>-69.270833333333329</v>
      </c>
      <c r="AJ17" s="53">
        <f t="shared" si="32"/>
        <v>-19.61259079903148</v>
      </c>
      <c r="AK17" s="53">
        <f t="shared" si="32"/>
        <v>117.36947791164658</v>
      </c>
      <c r="AL17" s="53">
        <f t="shared" si="32"/>
        <v>127.25173210161662</v>
      </c>
      <c r="AM17" s="52">
        <f t="shared" si="32"/>
        <v>-524.16666666666663</v>
      </c>
      <c r="AN17" s="53">
        <f t="shared" si="32"/>
        <v>-16.962959413484114</v>
      </c>
      <c r="AO17" s="53">
        <f t="shared" si="32"/>
        <v>15.41346875180334</v>
      </c>
      <c r="AP17" s="53">
        <f t="shared" si="32"/>
        <v>0</v>
      </c>
      <c r="AQ17" s="64">
        <f t="shared" si="32"/>
        <v>0</v>
      </c>
      <c r="AS17" s="117">
        <f>W17</f>
        <v>-20</v>
      </c>
      <c r="AU17" s="117">
        <f>X17</f>
        <v>-20</v>
      </c>
      <c r="AW17" s="107"/>
      <c r="AY17" s="48" t="s">
        <v>124</v>
      </c>
      <c r="BA17" s="53"/>
      <c r="BB17" s="53"/>
      <c r="BC17" s="53"/>
      <c r="BD17" s="64"/>
      <c r="BE17" s="52">
        <v>1.377</v>
      </c>
      <c r="BF17" s="53">
        <v>1.63</v>
      </c>
      <c r="BG17" s="53">
        <v>1.5189999999999999</v>
      </c>
      <c r="BH17" s="64">
        <f>+L17-BE17-BF17-BG17</f>
        <v>1.0210000000000001</v>
      </c>
      <c r="BI17" s="52">
        <v>0.98599999999999999</v>
      </c>
      <c r="BJ17" s="53">
        <v>1.054</v>
      </c>
      <c r="BK17" s="53">
        <v>0.996</v>
      </c>
      <c r="BL17" s="64">
        <f>+M17-BI17-BJ17-BK17</f>
        <v>0.67700000000000027</v>
      </c>
      <c r="BM17" s="52">
        <v>1.2549999999999999</v>
      </c>
      <c r="BN17" s="53">
        <v>1.647</v>
      </c>
      <c r="BO17" s="53">
        <v>2.117</v>
      </c>
      <c r="BP17" s="64">
        <f>+N17-BM17-BN17-BO17</f>
        <v>1.3440000000000003</v>
      </c>
      <c r="BQ17" s="52">
        <v>0.56499999999999995</v>
      </c>
      <c r="BR17" s="53">
        <v>0.76300000000000001</v>
      </c>
      <c r="BS17" s="53">
        <v>1.0469999999999999</v>
      </c>
      <c r="BT17" s="64">
        <v>0.36499999999999999</v>
      </c>
      <c r="BU17" s="52">
        <v>0.77600000000000002</v>
      </c>
      <c r="BV17" s="53">
        <v>1.212</v>
      </c>
      <c r="BW17" s="53">
        <v>1.4339999999999999</v>
      </c>
      <c r="BX17" s="104">
        <v>0.61</v>
      </c>
      <c r="BY17" s="52">
        <v>0.79</v>
      </c>
      <c r="BZ17" s="53">
        <v>0.28299999999999997</v>
      </c>
      <c r="CA17" s="53">
        <v>0.108</v>
      </c>
      <c r="CB17" s="104">
        <v>5.8000000000000003E-2</v>
      </c>
      <c r="CC17" s="52">
        <v>8.7999999999999995E-2</v>
      </c>
      <c r="CD17" s="53">
        <v>0.44800000000000001</v>
      </c>
      <c r="CE17" s="53">
        <v>0.221</v>
      </c>
      <c r="CF17" s="104">
        <v>0.23899999999999999</v>
      </c>
      <c r="CG17" s="52">
        <v>0.55800000000000005</v>
      </c>
      <c r="CH17" s="53">
        <v>1.1100000000000001</v>
      </c>
      <c r="CI17" s="53">
        <v>0.48299999999999998</v>
      </c>
      <c r="CJ17" s="104">
        <v>1.4E-2</v>
      </c>
      <c r="CK17" s="52">
        <v>0.61499999999999999</v>
      </c>
      <c r="CL17" s="53">
        <v>3.415</v>
      </c>
      <c r="CM17" s="53">
        <v>1.89</v>
      </c>
      <c r="CN17" s="104">
        <v>-1</v>
      </c>
      <c r="CO17" s="52">
        <v>-2.4700000000000002</v>
      </c>
      <c r="CP17" s="53">
        <v>-4.9130000000000003</v>
      </c>
      <c r="CQ17" s="53">
        <v>-6.7729999999999997</v>
      </c>
      <c r="CR17" s="64">
        <v>-6.7130000000000001</v>
      </c>
      <c r="CS17" s="52">
        <v>-5.4169999999999998</v>
      </c>
      <c r="CT17" s="53">
        <v>-2.3290000000000002</v>
      </c>
      <c r="CU17" s="53">
        <v>-3.7330000000000001</v>
      </c>
      <c r="CV17" s="64">
        <v>-5.85</v>
      </c>
      <c r="CW17" s="121">
        <v>-5</v>
      </c>
      <c r="CX17" s="121">
        <v>-5</v>
      </c>
      <c r="CY17" s="121">
        <v>-5</v>
      </c>
      <c r="CZ17" s="64">
        <f>$W17-CW17-CX17-CY17</f>
        <v>-5</v>
      </c>
      <c r="DB17" s="119"/>
      <c r="DC17" s="9"/>
      <c r="DD17" s="9"/>
      <c r="DE17" s="120"/>
      <c r="DF17" s="52">
        <f t="shared" si="34"/>
        <v>-28.395061728395067</v>
      </c>
      <c r="DG17" s="53">
        <f t="shared" si="34"/>
        <v>-35.337423312883431</v>
      </c>
      <c r="DH17" s="53">
        <f t="shared" si="34"/>
        <v>-34.43054641211323</v>
      </c>
      <c r="DI17" s="64">
        <f t="shared" si="34"/>
        <v>-33.692458374142973</v>
      </c>
      <c r="DJ17" s="52">
        <f t="shared" si="34"/>
        <v>27.281947261663287</v>
      </c>
      <c r="DK17" s="53">
        <f t="shared" si="34"/>
        <v>56.261859582542684</v>
      </c>
      <c r="DL17" s="53">
        <f t="shared" si="34"/>
        <v>112.55020080321283</v>
      </c>
      <c r="DM17" s="64">
        <f t="shared" si="34"/>
        <v>98.522895125553873</v>
      </c>
      <c r="DN17" s="52">
        <f t="shared" si="34"/>
        <v>-54.980079681274894</v>
      </c>
      <c r="DO17" s="53">
        <f t="shared" si="34"/>
        <v>-53.673345476624171</v>
      </c>
      <c r="DP17" s="53">
        <f t="shared" si="34"/>
        <v>-50.543221539914974</v>
      </c>
      <c r="DQ17" s="64">
        <f t="shared" si="34"/>
        <v>-72.842261904761912</v>
      </c>
      <c r="DR17" s="52">
        <f t="shared" si="34"/>
        <v>37.345132743362839</v>
      </c>
      <c r="DS17" s="53">
        <f t="shared" si="34"/>
        <v>58.846657929226723</v>
      </c>
      <c r="DT17" s="53">
        <f t="shared" si="34"/>
        <v>36.962750716332373</v>
      </c>
      <c r="DU17" s="64">
        <f t="shared" si="34"/>
        <v>67.123287671232873</v>
      </c>
      <c r="DV17" s="52">
        <f t="shared" si="34"/>
        <v>1.8041237113401998</v>
      </c>
      <c r="DW17" s="53">
        <f t="shared" si="34"/>
        <v>-76.650165016501646</v>
      </c>
      <c r="DX17" s="53">
        <f t="shared" si="34"/>
        <v>-92.468619246861934</v>
      </c>
      <c r="DY17" s="64">
        <f t="shared" si="34"/>
        <v>-90.491803278688522</v>
      </c>
      <c r="DZ17" s="52">
        <f t="shared" si="34"/>
        <v>-88.860759493670898</v>
      </c>
      <c r="EA17" s="53">
        <f t="shared" si="34"/>
        <v>58.303886925795069</v>
      </c>
      <c r="EB17" s="53">
        <f t="shared" si="34"/>
        <v>104.62962962962963</v>
      </c>
      <c r="EC17" s="64">
        <f t="shared" si="34"/>
        <v>312.06896551724139</v>
      </c>
      <c r="ED17" s="52">
        <f t="shared" si="34"/>
        <v>534.09090909090912</v>
      </c>
      <c r="EE17" s="53">
        <f t="shared" si="34"/>
        <v>147.76785714285717</v>
      </c>
      <c r="EF17" s="53">
        <f t="shared" si="34"/>
        <v>118.552036199095</v>
      </c>
      <c r="EG17" s="64">
        <f t="shared" si="34"/>
        <v>-94.142259414225933</v>
      </c>
      <c r="EH17" s="52">
        <f t="shared" si="34"/>
        <v>10.215053763440851</v>
      </c>
      <c r="EI17" s="53">
        <f t="shared" si="34"/>
        <v>207.65765765765764</v>
      </c>
      <c r="EJ17" s="53">
        <f t="shared" si="34"/>
        <v>291.30434782608694</v>
      </c>
      <c r="EK17" s="64">
        <f t="shared" si="34"/>
        <v>-7242.8571428571431</v>
      </c>
      <c r="EL17" s="52"/>
      <c r="EM17" s="53"/>
      <c r="EN17" s="53"/>
      <c r="EO17" s="64"/>
      <c r="EP17" s="52"/>
      <c r="EQ17" s="53"/>
      <c r="ER17" s="53"/>
      <c r="ES17" s="64"/>
      <c r="ET17" s="53"/>
      <c r="EU17" s="53"/>
      <c r="EV17" s="53"/>
      <c r="EW17" s="64"/>
    </row>
    <row r="18" spans="2:153">
      <c r="B18" s="48" t="s">
        <v>125</v>
      </c>
      <c r="C18" s="53"/>
      <c r="D18" s="53"/>
      <c r="E18" s="53"/>
      <c r="F18" s="53"/>
      <c r="G18" s="53"/>
      <c r="H18" s="106">
        <f t="shared" ref="H18:M18" si="36">H16-H17</f>
        <v>194.59199999999984</v>
      </c>
      <c r="I18" s="106">
        <f t="shared" si="36"/>
        <v>220.24300000000002</v>
      </c>
      <c r="J18" s="106">
        <f t="shared" si="36"/>
        <v>265.37899999999973</v>
      </c>
      <c r="K18" s="106">
        <f t="shared" si="36"/>
        <v>300.54100000000005</v>
      </c>
      <c r="L18" s="106">
        <f t="shared" si="36"/>
        <v>331.20099999999945</v>
      </c>
      <c r="M18" s="106">
        <f t="shared" si="36"/>
        <v>341.91900000000027</v>
      </c>
      <c r="N18" s="92">
        <f>N16-N17</f>
        <v>347.51100000000008</v>
      </c>
      <c r="O18" s="92">
        <f t="shared" si="3"/>
        <v>369.34199999999998</v>
      </c>
      <c r="P18" s="92">
        <f t="shared" si="4"/>
        <v>362.85200000000026</v>
      </c>
      <c r="Q18" s="92">
        <f t="shared" si="16"/>
        <v>399.79500000000002</v>
      </c>
      <c r="R18" s="92">
        <f t="shared" si="26"/>
        <v>627.53199999999981</v>
      </c>
      <c r="S18" s="92">
        <f t="shared" si="10"/>
        <v>833.04899999999998</v>
      </c>
      <c r="T18" s="92">
        <f t="shared" si="11"/>
        <v>789.88999999999987</v>
      </c>
      <c r="U18" s="92">
        <f t="shared" si="27"/>
        <v>802.64400000000023</v>
      </c>
      <c r="V18" s="92">
        <f t="shared" si="31"/>
        <v>737.6760000000005</v>
      </c>
      <c r="W18" s="92">
        <f>W16-W17</f>
        <v>781.97290931500038</v>
      </c>
      <c r="X18" s="92">
        <f>X16-X17</f>
        <v>841.0160840624003</v>
      </c>
      <c r="Y18" s="93">
        <f>Y16-Y17</f>
        <v>907.33760043577672</v>
      </c>
      <c r="AA18" s="52">
        <f t="shared" si="17"/>
        <v>13.181939648084295</v>
      </c>
      <c r="AB18" s="53">
        <f t="shared" si="17"/>
        <v>20.49372738293598</v>
      </c>
      <c r="AC18" s="53">
        <f t="shared" si="17"/>
        <v>13.249729631960472</v>
      </c>
      <c r="AD18" s="53">
        <f t="shared" si="17"/>
        <v>10.201603109059798</v>
      </c>
      <c r="AE18" s="53">
        <f t="shared" si="17"/>
        <v>3.2361013402739891</v>
      </c>
      <c r="AF18" s="53">
        <f t="shared" si="17"/>
        <v>1.6354750686565556</v>
      </c>
      <c r="AG18" s="53">
        <f t="shared" si="17"/>
        <v>6.2821033003271465</v>
      </c>
      <c r="AH18" s="52">
        <f t="shared" si="17"/>
        <v>-1.7571789831645757</v>
      </c>
      <c r="AI18" s="53">
        <f t="shared" si="32"/>
        <v>10.181286033975212</v>
      </c>
      <c r="AJ18" s="53">
        <f t="shared" si="32"/>
        <v>56.96344376492948</v>
      </c>
      <c r="AK18" s="53">
        <f t="shared" si="32"/>
        <v>32.750043025694353</v>
      </c>
      <c r="AL18" s="53">
        <f t="shared" si="32"/>
        <v>-5.180847705237035</v>
      </c>
      <c r="AM18" s="52">
        <f t="shared" si="32"/>
        <v>1.6146552051552021</v>
      </c>
      <c r="AN18" s="53">
        <f t="shared" si="32"/>
        <v>-8.0942485086787812</v>
      </c>
      <c r="AO18" s="53">
        <f t="shared" si="32"/>
        <v>6.0049275447486172</v>
      </c>
      <c r="AP18" s="53">
        <f t="shared" si="32"/>
        <v>7.5505396726749829</v>
      </c>
      <c r="AQ18" s="64">
        <f t="shared" si="32"/>
        <v>7.8858796674875054</v>
      </c>
      <c r="AS18" s="94">
        <f>AS16-AS17</f>
        <v>929.19473040000071</v>
      </c>
      <c r="AU18" s="94">
        <f>AU16-AU17</f>
        <v>1027.1568349376994</v>
      </c>
      <c r="AW18" s="107"/>
      <c r="AY18" s="48" t="s">
        <v>125</v>
      </c>
      <c r="BA18" s="106"/>
      <c r="BB18" s="106"/>
      <c r="BC18" s="106"/>
      <c r="BD18" s="108"/>
      <c r="BE18" s="109">
        <f t="shared" ref="BE18:CZ18" si="37">+BE16-BE17</f>
        <v>45.631000000000007</v>
      </c>
      <c r="BF18" s="106">
        <f t="shared" si="37"/>
        <v>123.22900000000013</v>
      </c>
      <c r="BG18" s="106">
        <f t="shared" si="37"/>
        <v>109.16099999999989</v>
      </c>
      <c r="BH18" s="108">
        <f t="shared" si="37"/>
        <v>53.179999999999282</v>
      </c>
      <c r="BI18" s="109">
        <f t="shared" si="37"/>
        <v>49.682000000000009</v>
      </c>
      <c r="BJ18" s="106">
        <f t="shared" si="37"/>
        <v>116.536</v>
      </c>
      <c r="BK18" s="106">
        <f t="shared" si="37"/>
        <v>118.30399999999996</v>
      </c>
      <c r="BL18" s="108">
        <f t="shared" si="37"/>
        <v>57.397000000000297</v>
      </c>
      <c r="BM18" s="109">
        <f t="shared" si="37"/>
        <v>47.444000000000038</v>
      </c>
      <c r="BN18" s="106">
        <f t="shared" si="37"/>
        <v>127.70100000000001</v>
      </c>
      <c r="BO18" s="106">
        <f t="shared" si="37"/>
        <v>112.34399999999985</v>
      </c>
      <c r="BP18" s="108">
        <f t="shared" si="37"/>
        <v>60.022000000000112</v>
      </c>
      <c r="BQ18" s="109">
        <f t="shared" si="37"/>
        <v>53.371999999999979</v>
      </c>
      <c r="BR18" s="106">
        <f t="shared" si="37"/>
        <v>136.58299999999997</v>
      </c>
      <c r="BS18" s="106">
        <f t="shared" si="37"/>
        <v>121.25000000000003</v>
      </c>
      <c r="BT18" s="108">
        <f t="shared" si="37"/>
        <v>58.137000000000008</v>
      </c>
      <c r="BU18" s="109">
        <f t="shared" si="37"/>
        <v>54.355999999999987</v>
      </c>
      <c r="BV18" s="106">
        <f t="shared" si="37"/>
        <v>133.18800000000016</v>
      </c>
      <c r="BW18" s="106">
        <f t="shared" si="37"/>
        <v>123.88500000000005</v>
      </c>
      <c r="BX18" s="108">
        <f t="shared" si="37"/>
        <v>51.423000000000066</v>
      </c>
      <c r="BY18" s="109">
        <f t="shared" si="37"/>
        <v>44.452999999999903</v>
      </c>
      <c r="BZ18" s="106">
        <f t="shared" si="37"/>
        <v>128.96600000000009</v>
      </c>
      <c r="CA18" s="106">
        <f t="shared" si="37"/>
        <v>156.67300000000014</v>
      </c>
      <c r="CB18" s="108">
        <f t="shared" si="37"/>
        <v>69.702999999999918</v>
      </c>
      <c r="CC18" s="109">
        <f t="shared" si="37"/>
        <v>81.791999999999931</v>
      </c>
      <c r="CD18" s="106">
        <f t="shared" si="37"/>
        <v>216.33500000000001</v>
      </c>
      <c r="CE18" s="106">
        <f t="shared" si="37"/>
        <v>206.57799999999995</v>
      </c>
      <c r="CF18" s="108">
        <f t="shared" si="37"/>
        <v>122.82699999999993</v>
      </c>
      <c r="CG18" s="109">
        <f t="shared" si="37"/>
        <v>170.49099999999996</v>
      </c>
      <c r="CH18" s="106">
        <f t="shared" si="37"/>
        <v>285.98700000000014</v>
      </c>
      <c r="CI18" s="106">
        <f t="shared" si="37"/>
        <v>235.76999999999995</v>
      </c>
      <c r="CJ18" s="108">
        <f t="shared" si="37"/>
        <v>140.80099999999999</v>
      </c>
      <c r="CK18" s="109">
        <f t="shared" si="37"/>
        <v>164.12500000000011</v>
      </c>
      <c r="CL18" s="106">
        <f t="shared" si="37"/>
        <v>262.29000000000008</v>
      </c>
      <c r="CM18" s="106">
        <f t="shared" si="37"/>
        <v>254.72699999999975</v>
      </c>
      <c r="CN18" s="108">
        <f t="shared" si="37"/>
        <v>108.74799999999993</v>
      </c>
      <c r="CO18" s="109">
        <f t="shared" si="37"/>
        <v>129.00700000000001</v>
      </c>
      <c r="CP18" s="106">
        <f t="shared" si="37"/>
        <v>273.71600000000001</v>
      </c>
      <c r="CQ18" s="106">
        <f t="shared" si="37"/>
        <v>257.02000000000015</v>
      </c>
      <c r="CR18" s="108">
        <f t="shared" si="37"/>
        <v>142.90100000000007</v>
      </c>
      <c r="CS18" s="109">
        <f t="shared" si="37"/>
        <v>117.60500000000003</v>
      </c>
      <c r="CT18" s="106">
        <f t="shared" si="37"/>
        <v>274.19800000000009</v>
      </c>
      <c r="CU18" s="106">
        <f t="shared" si="37"/>
        <v>238.49500000000023</v>
      </c>
      <c r="CV18" s="108">
        <f t="shared" si="37"/>
        <v>107.37800000000011</v>
      </c>
      <c r="CW18" s="106">
        <f t="shared" si="37"/>
        <v>98.092898733000041</v>
      </c>
      <c r="CX18" s="106">
        <f t="shared" si="37"/>
        <v>278.66428699599993</v>
      </c>
      <c r="CY18" s="106">
        <f t="shared" si="37"/>
        <v>270.23984181999992</v>
      </c>
      <c r="CZ18" s="108">
        <f t="shared" si="37"/>
        <v>134.97588176600001</v>
      </c>
      <c r="DB18" s="119"/>
      <c r="DC18" s="9"/>
      <c r="DD18" s="9"/>
      <c r="DE18" s="120"/>
      <c r="DF18" s="52">
        <f t="shared" si="34"/>
        <v>8.8777366264162438</v>
      </c>
      <c r="DG18" s="53">
        <f t="shared" si="34"/>
        <v>-5.4313513864432172</v>
      </c>
      <c r="DH18" s="53">
        <f t="shared" si="34"/>
        <v>8.3757019448338568</v>
      </c>
      <c r="DI18" s="64">
        <f t="shared" si="34"/>
        <v>7.929672809328836</v>
      </c>
      <c r="DJ18" s="52">
        <f t="shared" si="34"/>
        <v>-4.5046495712732337</v>
      </c>
      <c r="DK18" s="53">
        <f t="shared" si="34"/>
        <v>9.5807304180682387</v>
      </c>
      <c r="DL18" s="53">
        <f t="shared" si="34"/>
        <v>-5.0378685420612186</v>
      </c>
      <c r="DM18" s="64">
        <f t="shared" si="34"/>
        <v>4.5734097600916401</v>
      </c>
      <c r="DN18" s="52">
        <f t="shared" si="34"/>
        <v>12.494730629794981</v>
      </c>
      <c r="DO18" s="53">
        <f t="shared" si="34"/>
        <v>6.9553096686791438</v>
      </c>
      <c r="DP18" s="53">
        <f t="shared" si="34"/>
        <v>7.9274371573027302</v>
      </c>
      <c r="DQ18" s="64">
        <f t="shared" si="34"/>
        <v>-3.140515144447209</v>
      </c>
      <c r="DR18" s="52">
        <f t="shared" si="34"/>
        <v>1.8436633440755523</v>
      </c>
      <c r="DS18" s="53">
        <f t="shared" si="34"/>
        <v>-2.4856680553215327</v>
      </c>
      <c r="DT18" s="53">
        <f t="shared" si="34"/>
        <v>2.1731958762886805</v>
      </c>
      <c r="DU18" s="64">
        <f t="shared" si="34"/>
        <v>-11.548583518241296</v>
      </c>
      <c r="DV18" s="52">
        <f t="shared" si="34"/>
        <v>-18.218779895503879</v>
      </c>
      <c r="DW18" s="53">
        <f t="shared" si="34"/>
        <v>-3.1699552512238771</v>
      </c>
      <c r="DX18" s="53">
        <f t="shared" si="34"/>
        <v>26.46648101061475</v>
      </c>
      <c r="DY18" s="64">
        <f t="shared" si="34"/>
        <v>35.548295509790997</v>
      </c>
      <c r="DZ18" s="52">
        <f t="shared" si="34"/>
        <v>83.996580658223536</v>
      </c>
      <c r="EA18" s="53">
        <f t="shared" si="34"/>
        <v>67.745762449017462</v>
      </c>
      <c r="EB18" s="53">
        <f t="shared" si="34"/>
        <v>31.852967645988617</v>
      </c>
      <c r="EC18" s="64">
        <f t="shared" si="34"/>
        <v>76.21479706755818</v>
      </c>
      <c r="ED18" s="52">
        <f t="shared" si="34"/>
        <v>108.44459115805959</v>
      </c>
      <c r="EE18" s="53">
        <f t="shared" si="34"/>
        <v>32.19636212355843</v>
      </c>
      <c r="EF18" s="53">
        <f t="shared" si="34"/>
        <v>14.131224041282241</v>
      </c>
      <c r="EG18" s="64">
        <f t="shared" si="34"/>
        <v>14.633590334372792</v>
      </c>
      <c r="EH18" s="52">
        <f t="shared" si="34"/>
        <v>-3.7339214386682307</v>
      </c>
      <c r="EI18" s="53">
        <f t="shared" si="34"/>
        <v>-8.2860409738904401</v>
      </c>
      <c r="EJ18" s="53">
        <f t="shared" si="34"/>
        <v>8.0404631632522428</v>
      </c>
      <c r="EK18" s="64">
        <f t="shared" si="34"/>
        <v>-22.764753091242284</v>
      </c>
      <c r="EL18" s="52">
        <f t="shared" si="34"/>
        <v>-21.397105864432653</v>
      </c>
      <c r="EM18" s="53">
        <f t="shared" si="34"/>
        <v>4.3562469022837114</v>
      </c>
      <c r="EN18" s="53">
        <f t="shared" si="34"/>
        <v>0.90017940775826144</v>
      </c>
      <c r="EO18" s="64">
        <f t="shared" si="34"/>
        <v>31.405635046161919</v>
      </c>
      <c r="EP18" s="52">
        <f t="shared" si="34"/>
        <v>-8.8382800933282439</v>
      </c>
      <c r="EQ18" s="53">
        <f t="shared" si="34"/>
        <v>0.17609493051193859</v>
      </c>
      <c r="ER18" s="53">
        <f t="shared" si="34"/>
        <v>-7.2076103027001404</v>
      </c>
      <c r="ES18" s="64">
        <f t="shared" si="34"/>
        <v>-24.858468450185743</v>
      </c>
      <c r="ET18" s="53">
        <f t="shared" ref="ET18:EV21" si="38">(CW18/CS18-1)*100</f>
        <v>-16.591217437183779</v>
      </c>
      <c r="EU18" s="53">
        <f t="shared" si="38"/>
        <v>1.6288546947825333</v>
      </c>
      <c r="EV18" s="53">
        <f t="shared" si="38"/>
        <v>13.310485259648907</v>
      </c>
      <c r="EW18" s="64">
        <f t="shared" si="35"/>
        <v>25.701616500586599</v>
      </c>
    </row>
    <row r="19" spans="2:153">
      <c r="B19" s="48" t="s">
        <v>126</v>
      </c>
      <c r="C19" s="122"/>
      <c r="D19" s="122"/>
      <c r="E19" s="122"/>
      <c r="F19" s="122"/>
      <c r="G19" s="122"/>
      <c r="H19" s="53">
        <v>56.85</v>
      </c>
      <c r="I19" s="53">
        <v>62.642000000000003</v>
      </c>
      <c r="J19" s="53">
        <v>77.66</v>
      </c>
      <c r="K19" s="53">
        <v>91.838999999999999</v>
      </c>
      <c r="L19" s="53">
        <v>104.67700000000001</v>
      </c>
      <c r="M19" s="53">
        <v>105.93600000000001</v>
      </c>
      <c r="N19" s="53">
        <v>90.221000000000004</v>
      </c>
      <c r="O19" s="53">
        <f t="shared" si="3"/>
        <v>72.813000000000002</v>
      </c>
      <c r="P19" s="53">
        <f t="shared" si="4"/>
        <v>67.076999999999998</v>
      </c>
      <c r="Q19" s="53">
        <f t="shared" si="16"/>
        <v>76.623000000000005</v>
      </c>
      <c r="R19" s="53">
        <f t="shared" si="26"/>
        <v>128.797</v>
      </c>
      <c r="S19" s="53">
        <f t="shared" si="10"/>
        <v>172.70036109999998</v>
      </c>
      <c r="T19" s="53">
        <f t="shared" si="11"/>
        <v>155.751</v>
      </c>
      <c r="U19" s="53">
        <f t="shared" si="27"/>
        <v>166.904</v>
      </c>
      <c r="V19" s="53">
        <f t="shared" si="31"/>
        <v>150.08799999999999</v>
      </c>
      <c r="W19" s="53">
        <f>W18*W46/100</f>
        <v>164.21431095615009</v>
      </c>
      <c r="X19" s="53">
        <f>X18*X46/100</f>
        <v>176.61337765310407</v>
      </c>
      <c r="Y19" s="64">
        <f>Y18*Y46/100</f>
        <v>190.5408960915131</v>
      </c>
      <c r="AA19" s="52">
        <f t="shared" si="17"/>
        <v>10.188214599824107</v>
      </c>
      <c r="AB19" s="53">
        <f t="shared" si="17"/>
        <v>23.97433032150953</v>
      </c>
      <c r="AC19" s="53">
        <f t="shared" si="17"/>
        <v>18.257790368271955</v>
      </c>
      <c r="AD19" s="53">
        <f t="shared" si="17"/>
        <v>13.978810744890513</v>
      </c>
      <c r="AE19" s="53">
        <f t="shared" si="17"/>
        <v>1.2027474994506848</v>
      </c>
      <c r="AF19" s="53">
        <f t="shared" si="17"/>
        <v>-14.834428334088512</v>
      </c>
      <c r="AG19" s="53">
        <f t="shared" si="17"/>
        <v>-19.294842664124758</v>
      </c>
      <c r="AH19" s="52">
        <f t="shared" si="17"/>
        <v>-7.8777141444522307</v>
      </c>
      <c r="AI19" s="53">
        <f t="shared" si="32"/>
        <v>14.231405697929244</v>
      </c>
      <c r="AJ19" s="53">
        <f t="shared" si="32"/>
        <v>68.091826214061044</v>
      </c>
      <c r="AK19" s="53">
        <f t="shared" si="32"/>
        <v>34.08725443915619</v>
      </c>
      <c r="AL19" s="53">
        <f t="shared" si="32"/>
        <v>-9.8143171166768184</v>
      </c>
      <c r="AM19" s="52">
        <f t="shared" si="32"/>
        <v>7.1607886947756327</v>
      </c>
      <c r="AN19" s="53">
        <f t="shared" si="32"/>
        <v>-10.075252839955906</v>
      </c>
      <c r="AO19" s="53">
        <f t="shared" si="32"/>
        <v>9.4120189196671866</v>
      </c>
      <c r="AP19" s="53">
        <f t="shared" si="32"/>
        <v>7.5505396726749829</v>
      </c>
      <c r="AQ19" s="64">
        <f t="shared" si="32"/>
        <v>7.8858796674875054</v>
      </c>
      <c r="AS19" s="96">
        <f>AS18*AS46/100</f>
        <v>195.13089338400016</v>
      </c>
      <c r="AU19" s="96">
        <f>AU18*AU46/100</f>
        <v>215.70293533691685</v>
      </c>
      <c r="AW19" s="107"/>
      <c r="AY19" s="48" t="s">
        <v>126</v>
      </c>
      <c r="BA19" s="53"/>
      <c r="BB19" s="53"/>
      <c r="BC19" s="53"/>
      <c r="BD19" s="64"/>
      <c r="BE19" s="52">
        <v>14.331</v>
      </c>
      <c r="BF19" s="53">
        <v>38.988</v>
      </c>
      <c r="BG19" s="53">
        <v>34.517000000000003</v>
      </c>
      <c r="BH19" s="64">
        <f>+L19-BE19-BF19-BG19</f>
        <v>16.841000000000001</v>
      </c>
      <c r="BI19" s="52">
        <v>15.507999999999999</v>
      </c>
      <c r="BJ19" s="53">
        <v>35.112000000000002</v>
      </c>
      <c r="BK19" s="53">
        <v>37.786000000000001</v>
      </c>
      <c r="BL19" s="64">
        <f>+M19-BI19-BJ19-BK19</f>
        <v>17.530000000000008</v>
      </c>
      <c r="BM19" s="52">
        <v>13.676</v>
      </c>
      <c r="BN19" s="53">
        <v>36.853999999999999</v>
      </c>
      <c r="BO19" s="53">
        <v>32.325000000000003</v>
      </c>
      <c r="BP19" s="64">
        <f>+N19-BM19-BN19-BO19+10</f>
        <v>17.366</v>
      </c>
      <c r="BQ19" s="52">
        <v>10.994999999999999</v>
      </c>
      <c r="BR19" s="53">
        <v>28.318999999999999</v>
      </c>
      <c r="BS19" s="53">
        <v>24.364000000000001</v>
      </c>
      <c r="BT19" s="64">
        <v>9.1349999999999998</v>
      </c>
      <c r="BU19" s="52">
        <v>10.552</v>
      </c>
      <c r="BV19" s="53">
        <v>25.277999999999999</v>
      </c>
      <c r="BW19" s="53">
        <v>24.23</v>
      </c>
      <c r="BX19" s="64">
        <v>7.0170000000000003</v>
      </c>
      <c r="BY19" s="52">
        <v>8.2059999999999995</v>
      </c>
      <c r="BZ19" s="53">
        <v>24.724</v>
      </c>
      <c r="CA19" s="53">
        <v>30.466999999999999</v>
      </c>
      <c r="CB19" s="64">
        <v>13.226000000000001</v>
      </c>
      <c r="CC19" s="52">
        <v>15.664999999999999</v>
      </c>
      <c r="CD19" s="53">
        <v>44.201999999999998</v>
      </c>
      <c r="CE19" s="53">
        <v>41.734000000000002</v>
      </c>
      <c r="CF19" s="64">
        <v>27.196000000000002</v>
      </c>
      <c r="CG19" s="52">
        <v>35.600999999999999</v>
      </c>
      <c r="CH19" s="53">
        <v>60.481000000000002</v>
      </c>
      <c r="CI19" s="53">
        <v>49.6</v>
      </c>
      <c r="CJ19" s="64">
        <f>-19.965+(CJ31*1.3)</f>
        <v>27.018361100000003</v>
      </c>
      <c r="CK19" s="52">
        <v>33.753999999999998</v>
      </c>
      <c r="CL19" s="53">
        <v>56.887</v>
      </c>
      <c r="CM19" s="53">
        <v>54.103000000000002</v>
      </c>
      <c r="CN19" s="64">
        <v>11.007</v>
      </c>
      <c r="CO19" s="52">
        <v>24.745000000000001</v>
      </c>
      <c r="CP19" s="53">
        <v>59.064999999999998</v>
      </c>
      <c r="CQ19" s="53">
        <v>55.372999999999998</v>
      </c>
      <c r="CR19" s="64">
        <v>27.721</v>
      </c>
      <c r="CS19" s="52">
        <v>23.065000000000001</v>
      </c>
      <c r="CT19" s="53">
        <v>57.43</v>
      </c>
      <c r="CU19" s="53">
        <v>49.265000000000001</v>
      </c>
      <c r="CV19" s="64">
        <v>20.327999999999999</v>
      </c>
      <c r="CW19" s="53">
        <f>CW18*CW46/100</f>
        <v>20.599508733930012</v>
      </c>
      <c r="CX19" s="53">
        <f>CX18*CX46/100</f>
        <v>58.519500269159991</v>
      </c>
      <c r="CY19" s="53">
        <f>CY18*CY46/100</f>
        <v>56.750366782199983</v>
      </c>
      <c r="CZ19" s="64">
        <f>$W19-CW19-CX19-CY19</f>
        <v>28.344935170860104</v>
      </c>
      <c r="DB19" s="52"/>
      <c r="DC19" s="53"/>
      <c r="DD19" s="53"/>
      <c r="DE19" s="64"/>
      <c r="DF19" s="52">
        <f t="shared" si="34"/>
        <v>8.2129649012629979</v>
      </c>
      <c r="DG19" s="53">
        <f t="shared" si="34"/>
        <v>-9.9415204678362521</v>
      </c>
      <c r="DH19" s="53">
        <f t="shared" si="34"/>
        <v>9.4706955992699182</v>
      </c>
      <c r="DI19" s="64">
        <f t="shared" si="34"/>
        <v>4.0912059853928318</v>
      </c>
      <c r="DJ19" s="52">
        <f t="shared" si="34"/>
        <v>-11.813257673458855</v>
      </c>
      <c r="DK19" s="53">
        <f t="shared" si="34"/>
        <v>4.9612668033720553</v>
      </c>
      <c r="DL19" s="53">
        <f t="shared" si="34"/>
        <v>-14.452442703646851</v>
      </c>
      <c r="DM19" s="64">
        <f t="shared" si="34"/>
        <v>-0.93553907586998442</v>
      </c>
      <c r="DN19" s="52">
        <f t="shared" si="34"/>
        <v>-19.603685288095939</v>
      </c>
      <c r="DO19" s="53">
        <f t="shared" si="34"/>
        <v>-23.158951538503281</v>
      </c>
      <c r="DP19" s="53">
        <f t="shared" si="34"/>
        <v>-24.627996906419181</v>
      </c>
      <c r="DQ19" s="64">
        <f t="shared" si="34"/>
        <v>-47.397212944834735</v>
      </c>
      <c r="DR19" s="52">
        <f t="shared" si="34"/>
        <v>-4.0291041382446551</v>
      </c>
      <c r="DS19" s="53">
        <f t="shared" si="34"/>
        <v>-10.738373530138778</v>
      </c>
      <c r="DT19" s="53">
        <f t="shared" si="34"/>
        <v>-0.54999179116729247</v>
      </c>
      <c r="DU19" s="64">
        <f t="shared" si="34"/>
        <v>-23.185550082101802</v>
      </c>
      <c r="DV19" s="52">
        <f t="shared" si="34"/>
        <v>-22.232752084912811</v>
      </c>
      <c r="DW19" s="53">
        <f t="shared" si="34"/>
        <v>-2.1916290845794717</v>
      </c>
      <c r="DX19" s="53">
        <f t="shared" si="34"/>
        <v>25.740817168799012</v>
      </c>
      <c r="DY19" s="64">
        <f t="shared" si="34"/>
        <v>88.48510759583867</v>
      </c>
      <c r="DZ19" s="52">
        <f t="shared" si="34"/>
        <v>90.896904703875208</v>
      </c>
      <c r="EA19" s="53">
        <f t="shared" si="34"/>
        <v>78.781750525804867</v>
      </c>
      <c r="EB19" s="53">
        <f t="shared" si="34"/>
        <v>36.980995831555475</v>
      </c>
      <c r="EC19" s="64">
        <f t="shared" si="34"/>
        <v>105.6252835324361</v>
      </c>
      <c r="ED19" s="52">
        <f t="shared" si="34"/>
        <v>127.2646026172997</v>
      </c>
      <c r="EE19" s="53">
        <f t="shared" si="34"/>
        <v>36.828650287317323</v>
      </c>
      <c r="EF19" s="53">
        <f t="shared" si="34"/>
        <v>18.847941726170504</v>
      </c>
      <c r="EG19" s="64">
        <f t="shared" si="34"/>
        <v>-0.6531802470951531</v>
      </c>
      <c r="EH19" s="52">
        <f t="shared" si="34"/>
        <v>-5.1880565152664264</v>
      </c>
      <c r="EI19" s="53">
        <f t="shared" si="34"/>
        <v>-5.9423620641193109</v>
      </c>
      <c r="EJ19" s="53">
        <f t="shared" si="34"/>
        <v>9.0786290322580676</v>
      </c>
      <c r="EK19" s="64">
        <f t="shared" si="34"/>
        <v>-59.261037487577298</v>
      </c>
      <c r="EL19" s="52">
        <f t="shared" si="34"/>
        <v>-26.690170053919527</v>
      </c>
      <c r="EM19" s="53">
        <f t="shared" si="34"/>
        <v>3.8286427479037322</v>
      </c>
      <c r="EN19" s="53">
        <f t="shared" si="34"/>
        <v>2.3473744524333151</v>
      </c>
      <c r="EO19" s="64">
        <f t="shared" si="34"/>
        <v>151.84882347596985</v>
      </c>
      <c r="EP19" s="52">
        <f t="shared" si="34"/>
        <v>-6.789250353606791</v>
      </c>
      <c r="EQ19" s="53">
        <f t="shared" si="34"/>
        <v>-2.7681367984423888</v>
      </c>
      <c r="ER19" s="53">
        <f t="shared" si="34"/>
        <v>-11.030646705072867</v>
      </c>
      <c r="ES19" s="64">
        <f t="shared" si="34"/>
        <v>-26.669312073879013</v>
      </c>
      <c r="ET19" s="53">
        <f t="shared" si="38"/>
        <v>-10.689318300758677</v>
      </c>
      <c r="EU19" s="53">
        <f t="shared" si="38"/>
        <v>1.8970925808114103</v>
      </c>
      <c r="EV19" s="53">
        <f t="shared" si="38"/>
        <v>15.194086637978256</v>
      </c>
      <c r="EW19" s="64">
        <f t="shared" si="35"/>
        <v>39.437894386364157</v>
      </c>
    </row>
    <row r="20" spans="2:153">
      <c r="B20" s="48" t="s">
        <v>127</v>
      </c>
      <c r="C20" s="53"/>
      <c r="D20" s="53"/>
      <c r="E20" s="53"/>
      <c r="F20" s="53"/>
      <c r="G20" s="53"/>
      <c r="H20" s="53">
        <v>47.292000000000002</v>
      </c>
      <c r="I20" s="53">
        <v>54.267000000000003</v>
      </c>
      <c r="J20" s="53">
        <v>59.996000000000002</v>
      </c>
      <c r="K20" s="53">
        <v>57.314999999999998</v>
      </c>
      <c r="L20" s="53">
        <v>53.594999999999999</v>
      </c>
      <c r="M20" s="53">
        <v>53.173000000000002</v>
      </c>
      <c r="N20" s="53">
        <v>49.069000000000003</v>
      </c>
      <c r="O20" s="53">
        <f t="shared" si="3"/>
        <v>53.596999999999994</v>
      </c>
      <c r="P20" s="53">
        <f t="shared" si="4"/>
        <v>49.825000000000003</v>
      </c>
      <c r="Q20" s="53">
        <f t="shared" si="16"/>
        <v>53.593000000000004</v>
      </c>
      <c r="R20" s="53">
        <f t="shared" si="26"/>
        <v>79.790000000000006</v>
      </c>
      <c r="S20" s="53">
        <f t="shared" si="10"/>
        <v>102.529</v>
      </c>
      <c r="T20" s="53">
        <f t="shared" si="11"/>
        <v>97.802000000000007</v>
      </c>
      <c r="U20" s="9">
        <f t="shared" si="27"/>
        <v>99.453999999999994</v>
      </c>
      <c r="V20" s="9">
        <f t="shared" si="31"/>
        <v>90.593999999999994</v>
      </c>
      <c r="W20" s="57">
        <v>95</v>
      </c>
      <c r="X20" s="57">
        <v>95</v>
      </c>
      <c r="Y20" s="123">
        <v>95</v>
      </c>
      <c r="AA20" s="52">
        <f t="shared" si="17"/>
        <v>14.748794722151736</v>
      </c>
      <c r="AB20" s="53">
        <f t="shared" si="17"/>
        <v>10.557060460316592</v>
      </c>
      <c r="AC20" s="53">
        <f t="shared" si="17"/>
        <v>-4.46863124208281</v>
      </c>
      <c r="AD20" s="53">
        <f t="shared" si="17"/>
        <v>-6.490447526825438</v>
      </c>
      <c r="AE20" s="53">
        <f t="shared" si="17"/>
        <v>-0.78738688310475702</v>
      </c>
      <c r="AF20" s="53">
        <f t="shared" si="17"/>
        <v>-7.7182028473097191</v>
      </c>
      <c r="AG20" s="53">
        <f t="shared" si="17"/>
        <v>9.2278220465059171</v>
      </c>
      <c r="AH20" s="52">
        <f t="shared" si="17"/>
        <v>-7.0377073343657166</v>
      </c>
      <c r="AI20" s="53">
        <f t="shared" si="32"/>
        <v>7.5624686402408381</v>
      </c>
      <c r="AJ20" s="53">
        <f t="shared" si="32"/>
        <v>48.881383762804845</v>
      </c>
      <c r="AK20" s="53">
        <f t="shared" si="32"/>
        <v>28.498558716631138</v>
      </c>
      <c r="AL20" s="53">
        <f t="shared" si="32"/>
        <v>-4.610402910396072</v>
      </c>
      <c r="AM20" s="52">
        <f t="shared" si="32"/>
        <v>1.6891270117175283</v>
      </c>
      <c r="AN20" s="53">
        <f t="shared" si="32"/>
        <v>-8.9086411808474324</v>
      </c>
      <c r="AO20" s="53">
        <f t="shared" si="32"/>
        <v>4.8634567410645424</v>
      </c>
      <c r="AP20" s="53">
        <f t="shared" si="32"/>
        <v>0</v>
      </c>
      <c r="AQ20" s="64">
        <f t="shared" si="32"/>
        <v>0</v>
      </c>
      <c r="AS20" s="124">
        <f>W20</f>
        <v>95</v>
      </c>
      <c r="AU20" s="124">
        <f>X20</f>
        <v>95</v>
      </c>
      <c r="AW20" s="107"/>
      <c r="AY20" s="48" t="s">
        <v>127</v>
      </c>
      <c r="BA20" s="53"/>
      <c r="BB20" s="53"/>
      <c r="BC20" s="53"/>
      <c r="BD20" s="64"/>
      <c r="BE20" s="52">
        <v>8.2520000000000007</v>
      </c>
      <c r="BF20" s="53">
        <v>18.818000000000001</v>
      </c>
      <c r="BG20" s="53">
        <v>16.675999999999998</v>
      </c>
      <c r="BH20" s="64">
        <f>+L20-BE20-BF20-BG20</f>
        <v>9.8489999999999966</v>
      </c>
      <c r="BI20" s="52">
        <v>8.6370000000000005</v>
      </c>
      <c r="BJ20" s="53">
        <v>16.803000000000001</v>
      </c>
      <c r="BK20" s="53">
        <v>17.419</v>
      </c>
      <c r="BL20" s="64">
        <f>+M20-BI20-BJ20-BK20</f>
        <v>10.314</v>
      </c>
      <c r="BM20" s="52">
        <v>7.5869999999999997</v>
      </c>
      <c r="BN20" s="53">
        <v>17.091000000000001</v>
      </c>
      <c r="BO20" s="53">
        <v>14.99</v>
      </c>
      <c r="BP20" s="64">
        <f>+N20-BM20-BN20-BO20</f>
        <v>9.400999999999998</v>
      </c>
      <c r="BQ20" s="52">
        <v>8.1579999999999995</v>
      </c>
      <c r="BR20" s="53">
        <v>18.306999999999999</v>
      </c>
      <c r="BS20" s="53">
        <v>17.722999999999999</v>
      </c>
      <c r="BT20" s="64">
        <v>9.4090000000000007</v>
      </c>
      <c r="BU20" s="52">
        <v>8.7669999999999995</v>
      </c>
      <c r="BV20" s="53">
        <v>17.754999999999999</v>
      </c>
      <c r="BW20" s="53">
        <v>16.175000000000001</v>
      </c>
      <c r="BX20" s="64">
        <v>7.1280000000000001</v>
      </c>
      <c r="BY20" s="52">
        <v>5.7450000000000001</v>
      </c>
      <c r="BZ20" s="53">
        <v>17.664000000000001</v>
      </c>
      <c r="CA20" s="53">
        <v>19.716999999999999</v>
      </c>
      <c r="CB20" s="64">
        <v>10.467000000000001</v>
      </c>
      <c r="CC20" s="52">
        <v>11.035</v>
      </c>
      <c r="CD20" s="53">
        <v>28.030999999999999</v>
      </c>
      <c r="CE20" s="53">
        <v>23.978999999999999</v>
      </c>
      <c r="CF20" s="64">
        <v>16.745000000000001</v>
      </c>
      <c r="CG20" s="52">
        <v>21.591999999999999</v>
      </c>
      <c r="CH20" s="53">
        <v>32.948999999999998</v>
      </c>
      <c r="CI20" s="53">
        <v>28.529</v>
      </c>
      <c r="CJ20" s="64">
        <v>19.459</v>
      </c>
      <c r="CK20" s="52">
        <v>20.297999999999998</v>
      </c>
      <c r="CL20" s="53">
        <v>32.639000000000003</v>
      </c>
      <c r="CM20" s="53">
        <v>29.670999999999999</v>
      </c>
      <c r="CN20" s="64">
        <v>15.194000000000001</v>
      </c>
      <c r="CO20" s="52">
        <v>17.257999999999999</v>
      </c>
      <c r="CP20" s="53">
        <v>33.241</v>
      </c>
      <c r="CQ20" s="53">
        <v>30.616</v>
      </c>
      <c r="CR20" s="64">
        <v>18.338999999999999</v>
      </c>
      <c r="CS20" s="52">
        <v>14.478999999999999</v>
      </c>
      <c r="CT20" s="53">
        <v>33.155000000000001</v>
      </c>
      <c r="CU20" s="53">
        <v>27.655000000000001</v>
      </c>
      <c r="CV20" s="64">
        <v>15.305</v>
      </c>
      <c r="CW20" s="118">
        <v>15</v>
      </c>
      <c r="CX20" s="118">
        <v>35</v>
      </c>
      <c r="CY20" s="118">
        <v>30</v>
      </c>
      <c r="CZ20" s="64">
        <f>$W20-CW20-CX20-CY20</f>
        <v>15</v>
      </c>
      <c r="DB20" s="119"/>
      <c r="DC20" s="9"/>
      <c r="DD20" s="9"/>
      <c r="DE20" s="120"/>
      <c r="DF20" s="52">
        <f t="shared" si="34"/>
        <v>4.6655356277266025</v>
      </c>
      <c r="DG20" s="53">
        <f t="shared" si="34"/>
        <v>-10.70783292592199</v>
      </c>
      <c r="DH20" s="53">
        <f t="shared" si="34"/>
        <v>4.4555049172463557</v>
      </c>
      <c r="DI20" s="64">
        <f t="shared" si="34"/>
        <v>4.7212915016753287</v>
      </c>
      <c r="DJ20" s="52">
        <f t="shared" si="34"/>
        <v>-12.156998957971521</v>
      </c>
      <c r="DK20" s="53">
        <f t="shared" si="34"/>
        <v>1.7139796464916923</v>
      </c>
      <c r="DL20" s="53">
        <f t="shared" si="34"/>
        <v>-13.944543314771229</v>
      </c>
      <c r="DM20" s="64">
        <f t="shared" si="34"/>
        <v>-8.8520457630405502</v>
      </c>
      <c r="DN20" s="52">
        <f t="shared" si="34"/>
        <v>7.5260313694477388</v>
      </c>
      <c r="DO20" s="53">
        <f t="shared" si="34"/>
        <v>7.11485577204376</v>
      </c>
      <c r="DP20" s="53">
        <f t="shared" si="34"/>
        <v>18.232154769846566</v>
      </c>
      <c r="DQ20" s="64">
        <f t="shared" si="34"/>
        <v>8.5097330071293165E-2</v>
      </c>
      <c r="DR20" s="52">
        <f t="shared" si="34"/>
        <v>7.4650649669036451</v>
      </c>
      <c r="DS20" s="53">
        <f t="shared" si="34"/>
        <v>-3.0152400721035644</v>
      </c>
      <c r="DT20" s="53">
        <f t="shared" si="34"/>
        <v>-8.7344129097782446</v>
      </c>
      <c r="DU20" s="64">
        <f t="shared" si="34"/>
        <v>-24.242746306727604</v>
      </c>
      <c r="DV20" s="52">
        <f t="shared" si="34"/>
        <v>-34.470172236797069</v>
      </c>
      <c r="DW20" s="53">
        <f t="shared" si="34"/>
        <v>-0.51253168121654369</v>
      </c>
      <c r="DX20" s="53">
        <f t="shared" si="34"/>
        <v>21.897990726429661</v>
      </c>
      <c r="DY20" s="64">
        <f t="shared" si="34"/>
        <v>46.843434343434339</v>
      </c>
      <c r="DZ20" s="52">
        <f t="shared" si="34"/>
        <v>92.080069625761539</v>
      </c>
      <c r="EA20" s="53">
        <f t="shared" si="34"/>
        <v>58.689990942028956</v>
      </c>
      <c r="EB20" s="53">
        <f t="shared" si="34"/>
        <v>21.615864482426339</v>
      </c>
      <c r="EC20" s="64">
        <f t="shared" si="34"/>
        <v>59.978981561096781</v>
      </c>
      <c r="ED20" s="52">
        <f t="shared" si="34"/>
        <v>95.66832804712277</v>
      </c>
      <c r="EE20" s="53">
        <f t="shared" si="34"/>
        <v>17.544861046698301</v>
      </c>
      <c r="EF20" s="53">
        <f t="shared" si="34"/>
        <v>18.974936402685682</v>
      </c>
      <c r="EG20" s="64">
        <f t="shared" si="34"/>
        <v>16.207823230815155</v>
      </c>
      <c r="EH20" s="52">
        <f t="shared" si="34"/>
        <v>-5.992960355687293</v>
      </c>
      <c r="EI20" s="53">
        <f t="shared" si="34"/>
        <v>-0.94084797717683966</v>
      </c>
      <c r="EJ20" s="53">
        <f t="shared" si="34"/>
        <v>4.0029443723929914</v>
      </c>
      <c r="EK20" s="64">
        <f t="shared" si="34"/>
        <v>-21.917878616578445</v>
      </c>
      <c r="EL20" s="52">
        <f t="shared" si="34"/>
        <v>-14.976845009360529</v>
      </c>
      <c r="EM20" s="53">
        <f t="shared" si="34"/>
        <v>1.844419253040841</v>
      </c>
      <c r="EN20" s="53">
        <f t="shared" si="34"/>
        <v>3.1849280442182604</v>
      </c>
      <c r="EO20" s="64">
        <f t="shared" si="34"/>
        <v>20.698960115835185</v>
      </c>
      <c r="EP20" s="52">
        <f t="shared" si="34"/>
        <v>-16.10267701935334</v>
      </c>
      <c r="EQ20" s="53">
        <f t="shared" si="34"/>
        <v>-0.25871664510693781</v>
      </c>
      <c r="ER20" s="53">
        <f t="shared" si="34"/>
        <v>-9.6714136399268291</v>
      </c>
      <c r="ES20" s="64">
        <f t="shared" si="34"/>
        <v>-16.543977316102286</v>
      </c>
      <c r="ET20" s="53">
        <f t="shared" si="38"/>
        <v>3.5983148007459054</v>
      </c>
      <c r="EU20" s="53">
        <f t="shared" si="38"/>
        <v>5.5647715276730514</v>
      </c>
      <c r="EV20" s="53">
        <f t="shared" si="38"/>
        <v>8.4794792984993705</v>
      </c>
      <c r="EW20" s="64">
        <f t="shared" si="35"/>
        <v>-1.9928128062724593</v>
      </c>
    </row>
    <row r="21" spans="2:153">
      <c r="B21" s="48" t="s">
        <v>128</v>
      </c>
      <c r="C21" s="53"/>
      <c r="D21" s="53"/>
      <c r="E21" s="53"/>
      <c r="F21" s="53"/>
      <c r="G21" s="53"/>
      <c r="H21" s="106">
        <f t="shared" ref="H21:M21" si="39">H18-H19-H20</f>
        <v>90.449999999999847</v>
      </c>
      <c r="I21" s="106">
        <f t="shared" si="39"/>
        <v>103.33400000000003</v>
      </c>
      <c r="J21" s="106">
        <f t="shared" si="39"/>
        <v>127.72299999999973</v>
      </c>
      <c r="K21" s="106">
        <f t="shared" si="39"/>
        <v>151.38700000000006</v>
      </c>
      <c r="L21" s="106">
        <f t="shared" si="39"/>
        <v>172.92899999999943</v>
      </c>
      <c r="M21" s="106">
        <f t="shared" si="39"/>
        <v>182.81000000000026</v>
      </c>
      <c r="N21" s="106">
        <f>N18-N19-N20</f>
        <v>208.22100000000006</v>
      </c>
      <c r="O21" s="106">
        <f t="shared" si="3"/>
        <v>242.93199999999999</v>
      </c>
      <c r="P21" s="106">
        <f t="shared" si="4"/>
        <v>245.95000000000027</v>
      </c>
      <c r="Q21" s="106">
        <f t="shared" si="16"/>
        <v>269.57900000000006</v>
      </c>
      <c r="R21" s="106">
        <f t="shared" si="26"/>
        <v>418.94499999999977</v>
      </c>
      <c r="S21" s="106">
        <f t="shared" si="10"/>
        <v>557.81963889999997</v>
      </c>
      <c r="T21" s="106">
        <f t="shared" si="11"/>
        <v>536.33699999999988</v>
      </c>
      <c r="U21" s="106">
        <f t="shared" si="27"/>
        <v>536.28600000000029</v>
      </c>
      <c r="V21" s="106">
        <f t="shared" si="31"/>
        <v>496.99400000000048</v>
      </c>
      <c r="W21" s="106">
        <f>W18-W19-W20</f>
        <v>522.75859835885035</v>
      </c>
      <c r="X21" s="106">
        <f>X18-X19-X20</f>
        <v>569.40270640929623</v>
      </c>
      <c r="Y21" s="108">
        <f>Y18-Y19-Y20</f>
        <v>621.79670434426362</v>
      </c>
      <c r="AA21" s="52">
        <f t="shared" si="17"/>
        <v>14.24433388612516</v>
      </c>
      <c r="AB21" s="53">
        <f t="shared" si="17"/>
        <v>23.602105792865547</v>
      </c>
      <c r="AC21" s="53">
        <f t="shared" si="17"/>
        <v>18.527594873280751</v>
      </c>
      <c r="AD21" s="53">
        <f t="shared" si="17"/>
        <v>14.229755527224519</v>
      </c>
      <c r="AE21" s="53">
        <f t="shared" si="17"/>
        <v>5.7139057069669486</v>
      </c>
      <c r="AF21" s="53">
        <f t="shared" si="17"/>
        <v>13.900224276571183</v>
      </c>
      <c r="AG21" s="53">
        <f t="shared" si="17"/>
        <v>16.670268608833851</v>
      </c>
      <c r="AH21" s="52">
        <f t="shared" si="17"/>
        <v>1.2423229545717618</v>
      </c>
      <c r="AI21" s="53">
        <f t="shared" si="32"/>
        <v>9.6072372433420483</v>
      </c>
      <c r="AJ21" s="53">
        <f t="shared" si="32"/>
        <v>55.407134828751367</v>
      </c>
      <c r="AK21" s="53">
        <f t="shared" si="32"/>
        <v>33.148656482354546</v>
      </c>
      <c r="AL21" s="53">
        <f t="shared" si="32"/>
        <v>-3.8511800951223418</v>
      </c>
      <c r="AM21" s="52">
        <f t="shared" si="32"/>
        <v>-9.5089468001630095E-3</v>
      </c>
      <c r="AN21" s="53">
        <f t="shared" si="32"/>
        <v>-7.3266876256325553</v>
      </c>
      <c r="AO21" s="53">
        <f t="shared" si="32"/>
        <v>5.1840863992019814</v>
      </c>
      <c r="AP21" s="53">
        <f t="shared" si="32"/>
        <v>8.9226859580847631</v>
      </c>
      <c r="AQ21" s="64">
        <f t="shared" si="32"/>
        <v>9.2015716372984215</v>
      </c>
      <c r="AR21" s="7"/>
      <c r="AS21" s="125">
        <f>AS18-AS19-AS20</f>
        <v>639.06383701600055</v>
      </c>
      <c r="AU21" s="125">
        <f>AU18-AU19-AU20</f>
        <v>716.45389960078251</v>
      </c>
      <c r="AW21" s="58">
        <f>RATE(3,0,-V21,Y21)</f>
        <v>7.7537574821436639E-2</v>
      </c>
      <c r="AY21" s="48" t="s">
        <v>128</v>
      </c>
      <c r="BA21" s="106"/>
      <c r="BB21" s="106"/>
      <c r="BC21" s="106"/>
      <c r="BD21" s="108"/>
      <c r="BE21" s="109">
        <f>BE18-BE19-BE20</f>
        <v>23.048000000000009</v>
      </c>
      <c r="BF21" s="106">
        <f t="shared" ref="BF21:CZ21" si="40">BF18-BF19-BF20</f>
        <v>65.42300000000013</v>
      </c>
      <c r="BG21" s="106">
        <f t="shared" si="40"/>
        <v>57.96799999999989</v>
      </c>
      <c r="BH21" s="108">
        <f t="shared" si="40"/>
        <v>26.489999999999284</v>
      </c>
      <c r="BI21" s="109">
        <f t="shared" si="40"/>
        <v>25.537000000000006</v>
      </c>
      <c r="BJ21" s="106">
        <f t="shared" si="40"/>
        <v>64.621000000000009</v>
      </c>
      <c r="BK21" s="106">
        <f t="shared" si="40"/>
        <v>63.098999999999961</v>
      </c>
      <c r="BL21" s="108">
        <f t="shared" si="40"/>
        <v>29.553000000000289</v>
      </c>
      <c r="BM21" s="109">
        <f t="shared" si="40"/>
        <v>26.181000000000036</v>
      </c>
      <c r="BN21" s="106">
        <f t="shared" si="40"/>
        <v>73.756</v>
      </c>
      <c r="BO21" s="106">
        <f t="shared" si="40"/>
        <v>65.028999999999854</v>
      </c>
      <c r="BP21" s="108">
        <f t="shared" si="40"/>
        <v>33.255000000000116</v>
      </c>
      <c r="BQ21" s="109">
        <f t="shared" si="40"/>
        <v>34.21899999999998</v>
      </c>
      <c r="BR21" s="106">
        <f t="shared" si="40"/>
        <v>89.956999999999965</v>
      </c>
      <c r="BS21" s="106">
        <f t="shared" si="40"/>
        <v>79.163000000000025</v>
      </c>
      <c r="BT21" s="108">
        <f t="shared" si="40"/>
        <v>39.593000000000011</v>
      </c>
      <c r="BU21" s="109">
        <f t="shared" si="40"/>
        <v>35.036999999999992</v>
      </c>
      <c r="BV21" s="106">
        <f t="shared" si="40"/>
        <v>90.155000000000172</v>
      </c>
      <c r="BW21" s="106">
        <f t="shared" si="40"/>
        <v>83.480000000000047</v>
      </c>
      <c r="BX21" s="108">
        <f t="shared" si="40"/>
        <v>37.278000000000063</v>
      </c>
      <c r="BY21" s="109">
        <f t="shared" si="40"/>
        <v>30.501999999999899</v>
      </c>
      <c r="BZ21" s="106">
        <f t="shared" si="40"/>
        <v>86.578000000000088</v>
      </c>
      <c r="CA21" s="106">
        <f t="shared" si="40"/>
        <v>106.48900000000015</v>
      </c>
      <c r="CB21" s="108">
        <f t="shared" si="40"/>
        <v>46.00999999999992</v>
      </c>
      <c r="CC21" s="109">
        <f t="shared" si="40"/>
        <v>55.091999999999928</v>
      </c>
      <c r="CD21" s="106">
        <f t="shared" si="40"/>
        <v>144.102</v>
      </c>
      <c r="CE21" s="106">
        <f t="shared" si="40"/>
        <v>140.86499999999995</v>
      </c>
      <c r="CF21" s="108">
        <f t="shared" si="40"/>
        <v>78.885999999999925</v>
      </c>
      <c r="CG21" s="109">
        <f t="shared" si="40"/>
        <v>113.29799999999996</v>
      </c>
      <c r="CH21" s="106">
        <f t="shared" si="40"/>
        <v>192.55700000000013</v>
      </c>
      <c r="CI21" s="106">
        <f t="shared" si="40"/>
        <v>157.64099999999996</v>
      </c>
      <c r="CJ21" s="108">
        <f t="shared" si="40"/>
        <v>94.323638899999978</v>
      </c>
      <c r="CK21" s="109">
        <f t="shared" si="40"/>
        <v>110.07300000000012</v>
      </c>
      <c r="CL21" s="106">
        <f t="shared" si="40"/>
        <v>172.76400000000007</v>
      </c>
      <c r="CM21" s="106">
        <f t="shared" si="40"/>
        <v>170.95299999999975</v>
      </c>
      <c r="CN21" s="108">
        <f t="shared" si="40"/>
        <v>82.546999999999926</v>
      </c>
      <c r="CO21" s="109">
        <f t="shared" si="40"/>
        <v>87.004000000000005</v>
      </c>
      <c r="CP21" s="106">
        <f t="shared" si="40"/>
        <v>181.41000000000003</v>
      </c>
      <c r="CQ21" s="106">
        <f t="shared" si="40"/>
        <v>171.03100000000018</v>
      </c>
      <c r="CR21" s="108">
        <f t="shared" si="40"/>
        <v>96.841000000000065</v>
      </c>
      <c r="CS21" s="109">
        <f t="shared" si="40"/>
        <v>80.061000000000035</v>
      </c>
      <c r="CT21" s="106">
        <f t="shared" si="40"/>
        <v>183.61300000000008</v>
      </c>
      <c r="CU21" s="106">
        <f t="shared" si="40"/>
        <v>161.57500000000024</v>
      </c>
      <c r="CV21" s="108">
        <f t="shared" si="40"/>
        <v>71.745000000000118</v>
      </c>
      <c r="CW21" s="106">
        <f t="shared" si="40"/>
        <v>62.493389999070033</v>
      </c>
      <c r="CX21" s="106">
        <f t="shared" si="40"/>
        <v>185.14478672683992</v>
      </c>
      <c r="CY21" s="106">
        <f t="shared" si="40"/>
        <v>183.48947503779993</v>
      </c>
      <c r="CZ21" s="108">
        <f t="shared" si="40"/>
        <v>91.630946595139903</v>
      </c>
      <c r="DB21" s="119"/>
      <c r="DC21" s="9"/>
      <c r="DD21" s="9"/>
      <c r="DE21" s="120"/>
      <c r="DF21" s="52">
        <f t="shared" si="34"/>
        <v>10.799201666088143</v>
      </c>
      <c r="DG21" s="53">
        <f t="shared" si="34"/>
        <v>-1.2258685783289036</v>
      </c>
      <c r="DH21" s="53">
        <f t="shared" si="34"/>
        <v>8.8514352746344116</v>
      </c>
      <c r="DI21" s="64">
        <f t="shared" si="34"/>
        <v>11.562853907138869</v>
      </c>
      <c r="DJ21" s="52">
        <f t="shared" si="34"/>
        <v>2.521831068645608</v>
      </c>
      <c r="DK21" s="53">
        <f t="shared" si="34"/>
        <v>14.136271490691854</v>
      </c>
      <c r="DL21" s="53">
        <f t="shared" si="34"/>
        <v>3.0586855576156369</v>
      </c>
      <c r="DM21" s="64">
        <f t="shared" si="34"/>
        <v>12.526647040908845</v>
      </c>
      <c r="DN21" s="52">
        <f t="shared" si="34"/>
        <v>30.701653871127665</v>
      </c>
      <c r="DO21" s="53">
        <f t="shared" si="34"/>
        <v>21.965670589511312</v>
      </c>
      <c r="DP21" s="53">
        <f t="shared" si="34"/>
        <v>21.734918267234924</v>
      </c>
      <c r="DQ21" s="64">
        <f t="shared" si="34"/>
        <v>19.058788152157181</v>
      </c>
      <c r="DR21" s="52">
        <f t="shared" si="34"/>
        <v>2.3904848183757821</v>
      </c>
      <c r="DS21" s="53">
        <f t="shared" si="34"/>
        <v>0.22010516135508862</v>
      </c>
      <c r="DT21" s="53">
        <f t="shared" si="34"/>
        <v>5.453305205714809</v>
      </c>
      <c r="DU21" s="64">
        <f t="shared" si="34"/>
        <v>-5.8469931553556069</v>
      </c>
      <c r="DV21" s="52">
        <f t="shared" si="34"/>
        <v>-12.943459771099386</v>
      </c>
      <c r="DW21" s="53">
        <f t="shared" si="34"/>
        <v>-3.9676113360324727</v>
      </c>
      <c r="DX21" s="53">
        <f t="shared" si="34"/>
        <v>27.562290368950748</v>
      </c>
      <c r="DY21" s="64">
        <f t="shared" si="34"/>
        <v>23.424003433660179</v>
      </c>
      <c r="DZ21" s="52">
        <f t="shared" si="34"/>
        <v>80.61766441544853</v>
      </c>
      <c r="EA21" s="53">
        <f t="shared" si="34"/>
        <v>66.441821247891909</v>
      </c>
      <c r="EB21" s="53">
        <f t="shared" si="34"/>
        <v>32.281268487824796</v>
      </c>
      <c r="EC21" s="64">
        <f t="shared" si="34"/>
        <v>71.454031732232266</v>
      </c>
      <c r="ED21" s="52">
        <f t="shared" si="34"/>
        <v>105.65236331953844</v>
      </c>
      <c r="EE21" s="53">
        <f t="shared" si="34"/>
        <v>33.625487501908459</v>
      </c>
      <c r="EF21" s="53">
        <f t="shared" si="34"/>
        <v>11.909274837610484</v>
      </c>
      <c r="EG21" s="64">
        <f t="shared" si="34"/>
        <v>19.56955467383321</v>
      </c>
      <c r="EH21" s="52">
        <f t="shared" si="34"/>
        <v>-2.8464756659427715</v>
      </c>
      <c r="EI21" s="53">
        <f t="shared" si="34"/>
        <v>-10.279034259985377</v>
      </c>
      <c r="EJ21" s="53">
        <f t="shared" si="34"/>
        <v>8.4445036506998647</v>
      </c>
      <c r="EK21" s="64">
        <f t="shared" si="34"/>
        <v>-12.485352598075028</v>
      </c>
      <c r="EL21" s="52">
        <f t="shared" si="34"/>
        <v>-20.957909750801829</v>
      </c>
      <c r="EM21" s="53">
        <f t="shared" si="34"/>
        <v>5.0045148294783459</v>
      </c>
      <c r="EN21" s="53">
        <f t="shared" si="34"/>
        <v>4.5626575725732366E-2</v>
      </c>
      <c r="EO21" s="64">
        <f t="shared" si="34"/>
        <v>17.31619562188833</v>
      </c>
      <c r="EP21" s="52">
        <f t="shared" si="34"/>
        <v>-7.9800928692933315</v>
      </c>
      <c r="EQ21" s="53">
        <f t="shared" si="34"/>
        <v>1.214376274736817</v>
      </c>
      <c r="ER21" s="53">
        <f t="shared" si="34"/>
        <v>-5.5288222602919435</v>
      </c>
      <c r="ES21" s="64">
        <f t="shared" si="34"/>
        <v>-25.91464359104091</v>
      </c>
      <c r="ET21" s="53">
        <f t="shared" si="38"/>
        <v>-21.942781130550447</v>
      </c>
      <c r="EU21" s="53">
        <f t="shared" si="38"/>
        <v>0.83424742629325532</v>
      </c>
      <c r="EV21" s="53">
        <f t="shared" si="38"/>
        <v>13.563035765310016</v>
      </c>
      <c r="EW21" s="64">
        <f t="shared" si="35"/>
        <v>27.717536546295563</v>
      </c>
    </row>
    <row r="22" spans="2:153">
      <c r="B22" s="48" t="s">
        <v>129</v>
      </c>
      <c r="C22" s="53"/>
      <c r="D22" s="53"/>
      <c r="E22" s="53"/>
      <c r="F22" s="53"/>
      <c r="G22" s="53"/>
      <c r="H22" s="53">
        <v>6.04</v>
      </c>
      <c r="I22" s="53">
        <v>17.655999999999999</v>
      </c>
      <c r="J22" s="53">
        <v>9.0530000000000008</v>
      </c>
      <c r="K22" s="53">
        <v>11.435</v>
      </c>
      <c r="L22" s="53">
        <v>13.625999999999999</v>
      </c>
      <c r="M22" s="53">
        <v>14.801</v>
      </c>
      <c r="N22" s="53">
        <v>17.427</v>
      </c>
      <c r="O22" s="53">
        <v>19.788</v>
      </c>
      <c r="P22" s="53">
        <v>20.411000000000001</v>
      </c>
      <c r="Q22" s="53">
        <v>23.14</v>
      </c>
      <c r="R22" s="53">
        <v>37.222000000000001</v>
      </c>
      <c r="S22" s="53">
        <f t="shared" si="10"/>
        <v>51.625</v>
      </c>
      <c r="T22" s="53">
        <v>36.932000000000002</v>
      </c>
      <c r="U22" s="9">
        <v>37.369</v>
      </c>
      <c r="V22" s="9">
        <f t="shared" si="31"/>
        <v>38.031999999999996</v>
      </c>
      <c r="W22" s="57">
        <v>44</v>
      </c>
      <c r="X22" s="57">
        <v>45</v>
      </c>
      <c r="Y22" s="123">
        <v>45</v>
      </c>
      <c r="AA22" s="52"/>
      <c r="AB22" s="53"/>
      <c r="AC22" s="53"/>
      <c r="AD22" s="53"/>
      <c r="AE22" s="53"/>
      <c r="AF22" s="53"/>
      <c r="AG22" s="53"/>
      <c r="AH22" s="52"/>
      <c r="AI22" s="53"/>
      <c r="AJ22" s="53"/>
      <c r="AK22" s="53"/>
      <c r="AL22" s="53"/>
      <c r="AM22" s="52"/>
      <c r="AN22" s="53"/>
      <c r="AO22" s="53"/>
      <c r="AP22" s="53"/>
      <c r="AQ22" s="64"/>
      <c r="AR22" s="7"/>
      <c r="AS22" s="124">
        <f>W22</f>
        <v>44</v>
      </c>
      <c r="AU22" s="124">
        <f>X22</f>
        <v>45</v>
      </c>
      <c r="AW22" s="107"/>
      <c r="AY22" s="48" t="s">
        <v>129</v>
      </c>
      <c r="BA22" s="53"/>
      <c r="BB22" s="53"/>
      <c r="BC22" s="53"/>
      <c r="BD22" s="64"/>
      <c r="BE22" s="52">
        <v>1.8680000000000001</v>
      </c>
      <c r="BF22" s="53">
        <v>5.1790000000000003</v>
      </c>
      <c r="BG22" s="53">
        <v>4.5919999999999996</v>
      </c>
      <c r="BH22" s="64">
        <f>+L22-BE22-BF22-BG22</f>
        <v>1.9869999999999992</v>
      </c>
      <c r="BI22" s="52">
        <v>2.4129999999999998</v>
      </c>
      <c r="BJ22" s="53">
        <v>5.2510000000000003</v>
      </c>
      <c r="BK22" s="53">
        <v>5.0780000000000003</v>
      </c>
      <c r="BL22" s="64">
        <f>+M22-BI22-BJ22-BK22</f>
        <v>2.0589999999999993</v>
      </c>
      <c r="BM22" s="52">
        <v>3.12</v>
      </c>
      <c r="BN22" s="53">
        <v>6.1859999999999999</v>
      </c>
      <c r="BO22" s="53">
        <v>5.468</v>
      </c>
      <c r="BP22" s="64">
        <f>+N22-BM22-BN22-BO22</f>
        <v>2.6529999999999987</v>
      </c>
      <c r="BQ22" s="52">
        <v>3.7749999999999999</v>
      </c>
      <c r="BR22" s="53">
        <v>7.3739999999999997</v>
      </c>
      <c r="BS22" s="53">
        <v>6.4480000000000004</v>
      </c>
      <c r="BT22" s="64">
        <v>4.3940000000000001</v>
      </c>
      <c r="BU22" s="52">
        <v>4.9240000000000004</v>
      </c>
      <c r="BV22" s="53">
        <v>7.5110000000000001</v>
      </c>
      <c r="BW22" s="53">
        <v>6.9710000000000001</v>
      </c>
      <c r="BX22" s="64">
        <v>5.0579999999999998</v>
      </c>
      <c r="BY22" s="52">
        <v>5.2329999999999997</v>
      </c>
      <c r="BZ22" s="53">
        <v>7.4390000000000001</v>
      </c>
      <c r="CA22" s="53">
        <v>9.1349999999999998</v>
      </c>
      <c r="CB22" s="64">
        <v>5.8689999999999998</v>
      </c>
      <c r="CC22" s="52">
        <v>6.0540000000000003</v>
      </c>
      <c r="CD22" s="53">
        <v>12.747999999999999</v>
      </c>
      <c r="CE22" s="53">
        <v>12.563000000000001</v>
      </c>
      <c r="CF22" s="64">
        <v>7.0919999999999996</v>
      </c>
      <c r="CG22" s="52">
        <v>10.297000000000001</v>
      </c>
      <c r="CH22" s="53">
        <v>17.57</v>
      </c>
      <c r="CI22" s="53">
        <v>14.368</v>
      </c>
      <c r="CJ22" s="64">
        <v>9.39</v>
      </c>
      <c r="CK22" s="52">
        <v>7.4109999999999996</v>
      </c>
      <c r="CL22" s="53">
        <v>11.916</v>
      </c>
      <c r="CM22" s="53">
        <v>11.903</v>
      </c>
      <c r="CN22" s="64">
        <v>6.7069999999999999</v>
      </c>
      <c r="CO22" s="52">
        <v>6.8360000000000003</v>
      </c>
      <c r="CP22" s="53">
        <v>12.608000000000001</v>
      </c>
      <c r="CQ22" s="53">
        <v>11.885999999999999</v>
      </c>
      <c r="CR22" s="64">
        <v>7.5780000000000003</v>
      </c>
      <c r="CS22" s="52">
        <v>7.1719999999999997</v>
      </c>
      <c r="CT22" s="53">
        <v>12.159000000000001</v>
      </c>
      <c r="CU22" s="53">
        <v>10.702999999999999</v>
      </c>
      <c r="CV22" s="64">
        <v>7.9980000000000002</v>
      </c>
      <c r="CW22" s="118">
        <v>11</v>
      </c>
      <c r="CX22" s="118">
        <v>11</v>
      </c>
      <c r="CY22" s="118">
        <v>11</v>
      </c>
      <c r="CZ22" s="64">
        <f>$W22-CW22-CX22-CY22</f>
        <v>11</v>
      </c>
      <c r="DB22" s="119"/>
      <c r="DC22" s="9"/>
      <c r="DD22" s="9"/>
      <c r="DE22" s="120"/>
      <c r="DF22" s="52"/>
      <c r="DG22" s="53"/>
      <c r="DH22" s="53"/>
      <c r="DI22" s="64"/>
      <c r="DJ22" s="52"/>
      <c r="DK22" s="53"/>
      <c r="DL22" s="53"/>
      <c r="DM22" s="64"/>
      <c r="DN22" s="52"/>
      <c r="DO22" s="53"/>
      <c r="DP22" s="53"/>
      <c r="DQ22" s="64"/>
      <c r="DR22" s="52"/>
      <c r="DS22" s="53"/>
      <c r="DT22" s="53"/>
      <c r="DU22" s="64"/>
      <c r="DV22" s="52"/>
      <c r="DW22" s="53"/>
      <c r="DX22" s="53"/>
      <c r="DY22" s="64"/>
      <c r="DZ22" s="52"/>
      <c r="EA22" s="53"/>
      <c r="EB22" s="53"/>
      <c r="EC22" s="64"/>
      <c r="ED22" s="52"/>
      <c r="EE22" s="53"/>
      <c r="EF22" s="53"/>
      <c r="EG22" s="64"/>
      <c r="EH22" s="52"/>
      <c r="EI22" s="53"/>
      <c r="EJ22" s="53"/>
      <c r="EK22" s="64"/>
      <c r="EL22" s="52"/>
      <c r="EM22" s="53"/>
      <c r="EN22" s="53"/>
      <c r="EO22" s="64"/>
      <c r="EP22" s="52"/>
      <c r="EQ22" s="53"/>
      <c r="ER22" s="53"/>
      <c r="ES22" s="64"/>
      <c r="ET22" s="53"/>
      <c r="EU22" s="53"/>
      <c r="EV22" s="53"/>
      <c r="EW22" s="64"/>
    </row>
    <row r="23" spans="2:153">
      <c r="B23" s="48" t="s">
        <v>130</v>
      </c>
      <c r="C23" s="53"/>
      <c r="D23" s="53"/>
      <c r="E23" s="53"/>
      <c r="F23" s="53"/>
      <c r="G23" s="53"/>
      <c r="H23" s="106">
        <f t="shared" ref="H23:M23" si="41">H21-H22</f>
        <v>84.40999999999984</v>
      </c>
      <c r="I23" s="106">
        <f t="shared" si="41"/>
        <v>85.678000000000026</v>
      </c>
      <c r="J23" s="106">
        <f t="shared" si="41"/>
        <v>118.66999999999973</v>
      </c>
      <c r="K23" s="106">
        <f t="shared" si="41"/>
        <v>139.95200000000006</v>
      </c>
      <c r="L23" s="106">
        <f t="shared" si="41"/>
        <v>159.30299999999943</v>
      </c>
      <c r="M23" s="106">
        <f t="shared" si="41"/>
        <v>168.00900000000027</v>
      </c>
      <c r="N23" s="106">
        <f>N21-N22</f>
        <v>190.79400000000007</v>
      </c>
      <c r="O23" s="106">
        <f t="shared" ref="O23:T23" si="42">O21-O22</f>
        <v>223.14399999999998</v>
      </c>
      <c r="P23" s="106">
        <f t="shared" si="42"/>
        <v>225.53900000000027</v>
      </c>
      <c r="Q23" s="106">
        <f t="shared" si="42"/>
        <v>246.43900000000008</v>
      </c>
      <c r="R23" s="106">
        <f t="shared" si="42"/>
        <v>381.72299999999979</v>
      </c>
      <c r="S23" s="106">
        <f t="shared" si="42"/>
        <v>506.19463889999997</v>
      </c>
      <c r="T23" s="106">
        <f t="shared" si="42"/>
        <v>499.40499999999986</v>
      </c>
      <c r="U23" s="106">
        <f>U21-U22</f>
        <v>498.91700000000026</v>
      </c>
      <c r="V23" s="106">
        <f t="shared" si="31"/>
        <v>458.9620000000005</v>
      </c>
      <c r="W23" s="106">
        <f>W21-W22</f>
        <v>478.75859835885035</v>
      </c>
      <c r="X23" s="106">
        <f>X21-X22</f>
        <v>524.40270640929623</v>
      </c>
      <c r="Y23" s="108">
        <f>Y21-Y22</f>
        <v>576.79670434426362</v>
      </c>
      <c r="AA23" s="52"/>
      <c r="AB23" s="53"/>
      <c r="AC23" s="53"/>
      <c r="AD23" s="53"/>
      <c r="AE23" s="53"/>
      <c r="AF23" s="53"/>
      <c r="AG23" s="53"/>
      <c r="AH23" s="52"/>
      <c r="AI23" s="53"/>
      <c r="AJ23" s="53"/>
      <c r="AK23" s="53"/>
      <c r="AL23" s="53"/>
      <c r="AM23" s="52"/>
      <c r="AN23" s="53"/>
      <c r="AO23" s="53"/>
      <c r="AP23" s="53"/>
      <c r="AQ23" s="64"/>
      <c r="AR23" s="7"/>
      <c r="AS23" s="125">
        <f>AS21-AS22</f>
        <v>595.06383701600055</v>
      </c>
      <c r="AU23" s="125">
        <f>AU21-AU22</f>
        <v>671.45389960078251</v>
      </c>
      <c r="AW23" s="58">
        <f>RATE(3,0,-V23,Y23)</f>
        <v>7.9150493399989655E-2</v>
      </c>
      <c r="AY23" s="48" t="s">
        <v>130</v>
      </c>
      <c r="BA23" s="106"/>
      <c r="BB23" s="106"/>
      <c r="BC23" s="106"/>
      <c r="BD23" s="108"/>
      <c r="BE23" s="109">
        <f>BE21-BE22</f>
        <v>21.18000000000001</v>
      </c>
      <c r="BF23" s="106">
        <f t="shared" ref="BF23:CZ23" si="43">BF21-BF22</f>
        <v>60.244000000000128</v>
      </c>
      <c r="BG23" s="106">
        <f t="shared" si="43"/>
        <v>53.375999999999891</v>
      </c>
      <c r="BH23" s="108">
        <f t="shared" si="43"/>
        <v>24.502999999999286</v>
      </c>
      <c r="BI23" s="109">
        <f t="shared" si="43"/>
        <v>23.124000000000006</v>
      </c>
      <c r="BJ23" s="106">
        <f t="shared" si="43"/>
        <v>59.370000000000012</v>
      </c>
      <c r="BK23" s="106">
        <f t="shared" si="43"/>
        <v>58.020999999999958</v>
      </c>
      <c r="BL23" s="108">
        <f t="shared" si="43"/>
        <v>27.494000000000291</v>
      </c>
      <c r="BM23" s="109">
        <f t="shared" si="43"/>
        <v>23.061000000000035</v>
      </c>
      <c r="BN23" s="106">
        <f t="shared" si="43"/>
        <v>67.569999999999993</v>
      </c>
      <c r="BO23" s="106">
        <f t="shared" si="43"/>
        <v>59.560999999999851</v>
      </c>
      <c r="BP23" s="108">
        <f t="shared" si="43"/>
        <v>30.602000000000118</v>
      </c>
      <c r="BQ23" s="109">
        <f t="shared" si="43"/>
        <v>30.443999999999981</v>
      </c>
      <c r="BR23" s="106">
        <f t="shared" si="43"/>
        <v>82.58299999999997</v>
      </c>
      <c r="BS23" s="106">
        <f t="shared" si="43"/>
        <v>72.715000000000032</v>
      </c>
      <c r="BT23" s="108">
        <f t="shared" si="43"/>
        <v>35.199000000000012</v>
      </c>
      <c r="BU23" s="109">
        <f t="shared" si="43"/>
        <v>30.112999999999992</v>
      </c>
      <c r="BV23" s="106">
        <f t="shared" si="43"/>
        <v>82.644000000000176</v>
      </c>
      <c r="BW23" s="106">
        <f t="shared" si="43"/>
        <v>76.509000000000043</v>
      </c>
      <c r="BX23" s="108">
        <f t="shared" si="43"/>
        <v>32.220000000000063</v>
      </c>
      <c r="BY23" s="109">
        <f t="shared" si="43"/>
        <v>25.268999999999899</v>
      </c>
      <c r="BZ23" s="106">
        <f t="shared" si="43"/>
        <v>79.139000000000095</v>
      </c>
      <c r="CA23" s="106">
        <f t="shared" si="43"/>
        <v>97.354000000000141</v>
      </c>
      <c r="CB23" s="108">
        <f t="shared" si="43"/>
        <v>40.14099999999992</v>
      </c>
      <c r="CC23" s="109">
        <f t="shared" si="43"/>
        <v>49.037999999999926</v>
      </c>
      <c r="CD23" s="106">
        <f t="shared" si="43"/>
        <v>131.35400000000001</v>
      </c>
      <c r="CE23" s="106">
        <f t="shared" si="43"/>
        <v>128.30199999999996</v>
      </c>
      <c r="CF23" s="108">
        <f t="shared" si="43"/>
        <v>71.793999999999926</v>
      </c>
      <c r="CG23" s="109">
        <f t="shared" si="43"/>
        <v>103.00099999999996</v>
      </c>
      <c r="CH23" s="106">
        <f t="shared" si="43"/>
        <v>174.98700000000014</v>
      </c>
      <c r="CI23" s="106">
        <f t="shared" si="43"/>
        <v>143.27299999999997</v>
      </c>
      <c r="CJ23" s="108">
        <f t="shared" si="43"/>
        <v>84.933638899999977</v>
      </c>
      <c r="CK23" s="109">
        <f t="shared" si="43"/>
        <v>102.66200000000012</v>
      </c>
      <c r="CL23" s="106">
        <f t="shared" si="43"/>
        <v>160.84800000000007</v>
      </c>
      <c r="CM23" s="106">
        <f t="shared" si="43"/>
        <v>159.04999999999976</v>
      </c>
      <c r="CN23" s="108">
        <f t="shared" si="43"/>
        <v>75.839999999999932</v>
      </c>
      <c r="CO23" s="109">
        <f t="shared" si="43"/>
        <v>80.168000000000006</v>
      </c>
      <c r="CP23" s="106">
        <f t="shared" si="43"/>
        <v>168.80200000000002</v>
      </c>
      <c r="CQ23" s="106">
        <f t="shared" si="43"/>
        <v>159.14500000000018</v>
      </c>
      <c r="CR23" s="108">
        <f t="shared" si="43"/>
        <v>89.263000000000062</v>
      </c>
      <c r="CS23" s="109">
        <f t="shared" si="43"/>
        <v>72.889000000000038</v>
      </c>
      <c r="CT23" s="106">
        <f t="shared" si="43"/>
        <v>171.45400000000009</v>
      </c>
      <c r="CU23" s="106">
        <f t="shared" si="43"/>
        <v>150.87200000000024</v>
      </c>
      <c r="CV23" s="108">
        <f t="shared" si="43"/>
        <v>63.747000000000121</v>
      </c>
      <c r="CW23" s="106">
        <f t="shared" si="43"/>
        <v>51.493389999070033</v>
      </c>
      <c r="CX23" s="106">
        <f t="shared" si="43"/>
        <v>174.14478672683992</v>
      </c>
      <c r="CY23" s="106">
        <f t="shared" si="43"/>
        <v>172.48947503779993</v>
      </c>
      <c r="CZ23" s="108">
        <f t="shared" si="43"/>
        <v>80.630946595139903</v>
      </c>
      <c r="DB23" s="119"/>
      <c r="DC23" s="9"/>
      <c r="DD23" s="9"/>
      <c r="DE23" s="120"/>
      <c r="DF23" s="52"/>
      <c r="DG23" s="53"/>
      <c r="DH23" s="53"/>
      <c r="DI23" s="64"/>
      <c r="DJ23" s="52"/>
      <c r="DK23" s="53"/>
      <c r="DL23" s="53"/>
      <c r="DM23" s="64"/>
      <c r="DN23" s="52"/>
      <c r="DO23" s="53"/>
      <c r="DP23" s="53"/>
      <c r="DQ23" s="64"/>
      <c r="DR23" s="52"/>
      <c r="DS23" s="53"/>
      <c r="DT23" s="53"/>
      <c r="DU23" s="64"/>
      <c r="DV23" s="52"/>
      <c r="DW23" s="53"/>
      <c r="DX23" s="53"/>
      <c r="DY23" s="64"/>
      <c r="DZ23" s="52"/>
      <c r="EA23" s="53"/>
      <c r="EB23" s="53"/>
      <c r="EC23" s="64"/>
      <c r="ED23" s="52"/>
      <c r="EE23" s="53"/>
      <c r="EF23" s="53"/>
      <c r="EG23" s="64"/>
      <c r="EH23" s="52"/>
      <c r="EI23" s="53"/>
      <c r="EJ23" s="53"/>
      <c r="EK23" s="64"/>
      <c r="EL23" s="52"/>
      <c r="EM23" s="53"/>
      <c r="EN23" s="53"/>
      <c r="EO23" s="64"/>
      <c r="EP23" s="52"/>
      <c r="EQ23" s="53"/>
      <c r="ER23" s="53"/>
      <c r="ES23" s="64"/>
      <c r="ET23" s="53"/>
      <c r="EU23" s="53"/>
      <c r="EV23" s="53"/>
      <c r="EW23" s="64"/>
    </row>
    <row r="24" spans="2:153">
      <c r="B24" s="126" t="s">
        <v>131</v>
      </c>
      <c r="C24" s="53"/>
      <c r="D24" s="53"/>
      <c r="E24" s="53"/>
      <c r="F24" s="53"/>
      <c r="G24" s="53"/>
      <c r="H24" s="127"/>
      <c r="I24" s="82"/>
      <c r="J24" s="82"/>
      <c r="K24" s="82"/>
      <c r="L24" s="82"/>
      <c r="M24" s="82"/>
      <c r="N24" s="82"/>
      <c r="O24" s="82"/>
      <c r="P24" s="82"/>
      <c r="Q24" s="82"/>
      <c r="R24" s="82"/>
      <c r="S24" s="82"/>
      <c r="T24" s="82"/>
      <c r="U24" s="97"/>
      <c r="V24" s="97"/>
      <c r="W24" s="128"/>
      <c r="X24" s="128"/>
      <c r="Y24" s="129"/>
      <c r="AA24" s="52"/>
      <c r="AB24" s="53"/>
      <c r="AC24" s="53"/>
      <c r="AD24" s="53"/>
      <c r="AE24" s="53"/>
      <c r="AF24" s="53"/>
      <c r="AG24" s="53"/>
      <c r="AH24" s="52"/>
      <c r="AI24" s="53"/>
      <c r="AJ24" s="53"/>
      <c r="AK24" s="53"/>
      <c r="AL24" s="53"/>
      <c r="AM24" s="52"/>
      <c r="AN24" s="53"/>
      <c r="AO24" s="53"/>
      <c r="AP24" s="53"/>
      <c r="AQ24" s="64"/>
      <c r="AR24" s="7"/>
      <c r="AS24" s="130"/>
      <c r="AU24" s="130"/>
      <c r="AW24" s="107"/>
      <c r="AY24" s="126" t="s">
        <v>131</v>
      </c>
      <c r="BA24" s="82"/>
      <c r="BB24" s="82"/>
      <c r="BC24" s="82"/>
      <c r="BD24" s="64"/>
      <c r="BE24" s="88"/>
      <c r="BF24" s="82"/>
      <c r="BG24" s="82"/>
      <c r="BH24" s="64"/>
      <c r="BI24" s="88"/>
      <c r="BJ24" s="82"/>
      <c r="BK24" s="82"/>
      <c r="BL24" s="83"/>
      <c r="BM24" s="88"/>
      <c r="BN24" s="82"/>
      <c r="BO24" s="82"/>
      <c r="BP24" s="83">
        <v>-10</v>
      </c>
      <c r="BQ24" s="88"/>
      <c r="BR24" s="82"/>
      <c r="BS24" s="82"/>
      <c r="BT24" s="83"/>
      <c r="BU24" s="88"/>
      <c r="BV24" s="82"/>
      <c r="BW24" s="82"/>
      <c r="BX24" s="83"/>
      <c r="BY24" s="88"/>
      <c r="BZ24" s="82"/>
      <c r="CA24" s="82"/>
      <c r="CB24" s="83"/>
      <c r="CC24" s="88"/>
      <c r="CD24" s="82"/>
      <c r="CE24" s="82"/>
      <c r="CF24" s="83"/>
      <c r="CG24" s="88"/>
      <c r="CH24" s="82"/>
      <c r="CI24" s="82"/>
      <c r="CJ24" s="83"/>
      <c r="CK24" s="88"/>
      <c r="CL24" s="82"/>
      <c r="CM24" s="82"/>
      <c r="CN24" s="83"/>
      <c r="CO24" s="88"/>
      <c r="CP24" s="82"/>
      <c r="CQ24" s="82"/>
      <c r="CR24" s="83"/>
      <c r="CS24" s="88"/>
      <c r="CT24" s="82"/>
      <c r="CU24" s="82"/>
      <c r="CV24" s="83"/>
      <c r="CW24" s="82"/>
      <c r="CX24" s="82"/>
      <c r="CY24" s="82"/>
      <c r="CZ24" s="83"/>
      <c r="DB24" s="119"/>
      <c r="DC24" s="9"/>
      <c r="DD24" s="9"/>
      <c r="DE24" s="120"/>
      <c r="DF24" s="52"/>
      <c r="DG24" s="53"/>
      <c r="DH24" s="53"/>
      <c r="DI24" s="64"/>
      <c r="DJ24" s="52"/>
      <c r="DK24" s="53"/>
      <c r="DL24" s="53"/>
      <c r="DM24" s="64"/>
      <c r="DN24" s="52"/>
      <c r="DO24" s="53"/>
      <c r="DP24" s="53"/>
      <c r="DQ24" s="64"/>
      <c r="DR24" s="52"/>
      <c r="DS24" s="53"/>
      <c r="DT24" s="53"/>
      <c r="DU24" s="64"/>
      <c r="DV24" s="52"/>
      <c r="DW24" s="53"/>
      <c r="DX24" s="53"/>
      <c r="DY24" s="64"/>
      <c r="DZ24" s="52"/>
      <c r="EA24" s="53"/>
      <c r="EB24" s="53"/>
      <c r="EC24" s="64"/>
      <c r="ED24" s="52"/>
      <c r="EE24" s="53"/>
      <c r="EF24" s="53"/>
      <c r="EG24" s="64"/>
      <c r="EH24" s="52"/>
      <c r="EI24" s="53"/>
      <c r="EJ24" s="53"/>
      <c r="EK24" s="64"/>
      <c r="EL24" s="52"/>
      <c r="EM24" s="53"/>
      <c r="EN24" s="53"/>
      <c r="EO24" s="64"/>
      <c r="EP24" s="52"/>
      <c r="EQ24" s="53"/>
      <c r="ER24" s="53"/>
      <c r="ES24" s="64"/>
      <c r="ET24" s="53"/>
      <c r="EU24" s="53"/>
      <c r="EV24" s="53"/>
      <c r="EW24" s="64"/>
    </row>
    <row r="25" spans="2:153">
      <c r="B25" s="48" t="s">
        <v>132</v>
      </c>
      <c r="C25" s="53"/>
      <c r="D25" s="53"/>
      <c r="E25" s="53"/>
      <c r="F25" s="53"/>
      <c r="G25" s="53"/>
      <c r="H25" s="106">
        <f t="shared" ref="H25:M25" si="44">H23-H24</f>
        <v>84.40999999999984</v>
      </c>
      <c r="I25" s="106">
        <f t="shared" si="44"/>
        <v>85.678000000000026</v>
      </c>
      <c r="J25" s="106">
        <f t="shared" si="44"/>
        <v>118.66999999999973</v>
      </c>
      <c r="K25" s="106">
        <f t="shared" si="44"/>
        <v>139.95200000000006</v>
      </c>
      <c r="L25" s="106">
        <f t="shared" si="44"/>
        <v>159.30299999999943</v>
      </c>
      <c r="M25" s="106">
        <f t="shared" si="44"/>
        <v>168.00900000000027</v>
      </c>
      <c r="N25" s="106">
        <f>N23-N24</f>
        <v>190.79400000000007</v>
      </c>
      <c r="O25" s="106">
        <f t="shared" ref="O25:T25" si="45">O23-O24</f>
        <v>223.14399999999998</v>
      </c>
      <c r="P25" s="106">
        <f t="shared" si="45"/>
        <v>225.53900000000027</v>
      </c>
      <c r="Q25" s="106">
        <f t="shared" si="45"/>
        <v>246.43900000000008</v>
      </c>
      <c r="R25" s="106">
        <f t="shared" si="45"/>
        <v>381.72299999999979</v>
      </c>
      <c r="S25" s="106">
        <f t="shared" si="45"/>
        <v>506.19463889999997</v>
      </c>
      <c r="T25" s="106">
        <f t="shared" si="45"/>
        <v>499.40499999999986</v>
      </c>
      <c r="U25" s="106">
        <f>U23-U24</f>
        <v>498.91700000000026</v>
      </c>
      <c r="V25" s="106">
        <f t="shared" si="31"/>
        <v>458.9620000000005</v>
      </c>
      <c r="W25" s="106">
        <f>W23-W24</f>
        <v>478.75859835885035</v>
      </c>
      <c r="X25" s="106">
        <f>X23-X24</f>
        <v>524.40270640929623</v>
      </c>
      <c r="Y25" s="108">
        <f>Y23-Y24</f>
        <v>576.79670434426362</v>
      </c>
      <c r="AA25" s="52">
        <f t="shared" si="17"/>
        <v>1.5021916834500493</v>
      </c>
      <c r="AB25" s="53">
        <f t="shared" si="17"/>
        <v>38.506967949765048</v>
      </c>
      <c r="AC25" s="53">
        <f t="shared" si="17"/>
        <v>17.933765905452415</v>
      </c>
      <c r="AD25" s="53">
        <f t="shared" si="17"/>
        <v>13.826883502914832</v>
      </c>
      <c r="AE25" s="53">
        <f t="shared" si="17"/>
        <v>5.4650571552330218</v>
      </c>
      <c r="AF25" s="53">
        <f t="shared" si="17"/>
        <v>13.561773476420758</v>
      </c>
      <c r="AG25" s="53">
        <f t="shared" si="17"/>
        <v>16.955459815298113</v>
      </c>
      <c r="AH25" s="52">
        <f t="shared" si="17"/>
        <v>1.073297960061792</v>
      </c>
      <c r="AI25" s="53">
        <f t="shared" si="17"/>
        <v>9.2666900181342484</v>
      </c>
      <c r="AJ25" s="53">
        <f t="shared" si="17"/>
        <v>54.895531957198209</v>
      </c>
      <c r="AK25" s="53">
        <f t="shared" si="17"/>
        <v>32.607843619588081</v>
      </c>
      <c r="AL25" s="53">
        <f t="shared" si="17"/>
        <v>-1.3413099188001154</v>
      </c>
      <c r="AM25" s="52">
        <f t="shared" si="17"/>
        <v>-9.7716282375948094E-2</v>
      </c>
      <c r="AN25" s="53">
        <f t="shared" si="17"/>
        <v>-8.0083460776040347</v>
      </c>
      <c r="AO25" s="53">
        <f t="shared" si="17"/>
        <v>4.3133414877157161</v>
      </c>
      <c r="AP25" s="53">
        <f t="shared" si="17"/>
        <v>9.53384611929906</v>
      </c>
      <c r="AQ25" s="64">
        <f t="shared" ref="AQ25" si="46">(Y25/X25-1)*100</f>
        <v>9.9911761122899012</v>
      </c>
      <c r="AS25" s="125">
        <f>AS23-AS24</f>
        <v>595.06383701600055</v>
      </c>
      <c r="AU25" s="125">
        <f>AU23-AU24</f>
        <v>671.45389960078251</v>
      </c>
      <c r="AW25" s="58">
        <f>RATE(3,0,-V25,Y25)</f>
        <v>7.9150493399989655E-2</v>
      </c>
      <c r="AY25" s="48" t="s">
        <v>133</v>
      </c>
      <c r="BA25" s="106"/>
      <c r="BB25" s="106"/>
      <c r="BC25" s="106"/>
      <c r="BD25" s="108"/>
      <c r="BE25" s="109">
        <f>BE23-BE24</f>
        <v>21.18000000000001</v>
      </c>
      <c r="BF25" s="106">
        <f t="shared" ref="BF25:CZ25" si="47">BF23-BF24</f>
        <v>60.244000000000128</v>
      </c>
      <c r="BG25" s="106">
        <f t="shared" si="47"/>
        <v>53.375999999999891</v>
      </c>
      <c r="BH25" s="108">
        <f t="shared" si="47"/>
        <v>24.502999999999286</v>
      </c>
      <c r="BI25" s="109">
        <f t="shared" si="47"/>
        <v>23.124000000000006</v>
      </c>
      <c r="BJ25" s="106">
        <f t="shared" si="47"/>
        <v>59.370000000000012</v>
      </c>
      <c r="BK25" s="106">
        <f t="shared" si="47"/>
        <v>58.020999999999958</v>
      </c>
      <c r="BL25" s="108">
        <f t="shared" si="47"/>
        <v>27.494000000000291</v>
      </c>
      <c r="BM25" s="109">
        <f t="shared" si="47"/>
        <v>23.061000000000035</v>
      </c>
      <c r="BN25" s="106">
        <f t="shared" si="47"/>
        <v>67.569999999999993</v>
      </c>
      <c r="BO25" s="106">
        <f t="shared" si="47"/>
        <v>59.560999999999851</v>
      </c>
      <c r="BP25" s="108">
        <f t="shared" si="47"/>
        <v>40.602000000000118</v>
      </c>
      <c r="BQ25" s="109">
        <f t="shared" si="47"/>
        <v>30.443999999999981</v>
      </c>
      <c r="BR25" s="106">
        <f t="shared" si="47"/>
        <v>82.58299999999997</v>
      </c>
      <c r="BS25" s="106">
        <f t="shared" si="47"/>
        <v>72.715000000000032</v>
      </c>
      <c r="BT25" s="108">
        <f t="shared" si="47"/>
        <v>35.199000000000012</v>
      </c>
      <c r="BU25" s="109">
        <f t="shared" si="47"/>
        <v>30.112999999999992</v>
      </c>
      <c r="BV25" s="106">
        <f t="shared" si="47"/>
        <v>82.644000000000176</v>
      </c>
      <c r="BW25" s="106">
        <f t="shared" si="47"/>
        <v>76.509000000000043</v>
      </c>
      <c r="BX25" s="108">
        <f t="shared" si="47"/>
        <v>32.220000000000063</v>
      </c>
      <c r="BY25" s="109">
        <f t="shared" si="47"/>
        <v>25.268999999999899</v>
      </c>
      <c r="BZ25" s="106">
        <f t="shared" si="47"/>
        <v>79.139000000000095</v>
      </c>
      <c r="CA25" s="106">
        <f t="shared" si="47"/>
        <v>97.354000000000141</v>
      </c>
      <c r="CB25" s="108">
        <f t="shared" si="47"/>
        <v>40.14099999999992</v>
      </c>
      <c r="CC25" s="109">
        <f t="shared" si="47"/>
        <v>49.037999999999926</v>
      </c>
      <c r="CD25" s="106">
        <f t="shared" si="47"/>
        <v>131.35400000000001</v>
      </c>
      <c r="CE25" s="106">
        <f t="shared" si="47"/>
        <v>128.30199999999996</v>
      </c>
      <c r="CF25" s="108">
        <f t="shared" si="47"/>
        <v>71.793999999999926</v>
      </c>
      <c r="CG25" s="109">
        <f t="shared" si="47"/>
        <v>103.00099999999996</v>
      </c>
      <c r="CH25" s="106">
        <f t="shared" si="47"/>
        <v>174.98700000000014</v>
      </c>
      <c r="CI25" s="106">
        <f t="shared" si="47"/>
        <v>143.27299999999997</v>
      </c>
      <c r="CJ25" s="108">
        <f t="shared" si="47"/>
        <v>84.933638899999977</v>
      </c>
      <c r="CK25" s="109">
        <f t="shared" si="47"/>
        <v>102.66200000000012</v>
      </c>
      <c r="CL25" s="106">
        <f t="shared" si="47"/>
        <v>160.84800000000007</v>
      </c>
      <c r="CM25" s="106">
        <f t="shared" si="47"/>
        <v>159.04999999999976</v>
      </c>
      <c r="CN25" s="108">
        <f t="shared" si="47"/>
        <v>75.839999999999932</v>
      </c>
      <c r="CO25" s="109">
        <f t="shared" si="47"/>
        <v>80.168000000000006</v>
      </c>
      <c r="CP25" s="106">
        <f t="shared" si="47"/>
        <v>168.80200000000002</v>
      </c>
      <c r="CQ25" s="106">
        <f t="shared" si="47"/>
        <v>159.14500000000018</v>
      </c>
      <c r="CR25" s="108">
        <f t="shared" si="47"/>
        <v>89.263000000000062</v>
      </c>
      <c r="CS25" s="109">
        <f t="shared" si="47"/>
        <v>72.889000000000038</v>
      </c>
      <c r="CT25" s="106">
        <f t="shared" si="47"/>
        <v>171.45400000000009</v>
      </c>
      <c r="CU25" s="106">
        <f t="shared" si="47"/>
        <v>150.87200000000024</v>
      </c>
      <c r="CV25" s="108">
        <f t="shared" si="47"/>
        <v>63.747000000000121</v>
      </c>
      <c r="CW25" s="106">
        <f t="shared" si="47"/>
        <v>51.493389999070033</v>
      </c>
      <c r="CX25" s="106">
        <f t="shared" si="47"/>
        <v>174.14478672683992</v>
      </c>
      <c r="CY25" s="106">
        <f t="shared" si="47"/>
        <v>172.48947503779993</v>
      </c>
      <c r="CZ25" s="108">
        <f t="shared" si="47"/>
        <v>80.630946595139903</v>
      </c>
      <c r="DB25" s="119"/>
      <c r="DC25" s="9"/>
      <c r="DD25" s="9"/>
      <c r="DE25" s="120"/>
      <c r="DF25" s="52">
        <f t="shared" ref="DF25:EW25" si="48">(BI25/BE25-1)*100</f>
        <v>9.1784702549574817</v>
      </c>
      <c r="DG25" s="53">
        <f t="shared" si="48"/>
        <v>-1.4507668813493746</v>
      </c>
      <c r="DH25" s="53">
        <f t="shared" si="48"/>
        <v>8.7024130695445123</v>
      </c>
      <c r="DI25" s="64">
        <f t="shared" si="48"/>
        <v>12.206668571199831</v>
      </c>
      <c r="DJ25" s="52">
        <f t="shared" si="48"/>
        <v>-0.27244421380371309</v>
      </c>
      <c r="DK25" s="53">
        <f t="shared" si="48"/>
        <v>13.811689405423589</v>
      </c>
      <c r="DL25" s="53">
        <f t="shared" si="48"/>
        <v>2.6542114062148014</v>
      </c>
      <c r="DM25" s="64">
        <f t="shared" si="48"/>
        <v>47.675856550518979</v>
      </c>
      <c r="DN25" s="52">
        <f t="shared" si="48"/>
        <v>32.015090412384261</v>
      </c>
      <c r="DO25" s="53">
        <f t="shared" si="48"/>
        <v>22.21844013615506</v>
      </c>
      <c r="DP25" s="53">
        <f t="shared" si="48"/>
        <v>22.084921341146412</v>
      </c>
      <c r="DQ25" s="64">
        <f t="shared" si="48"/>
        <v>-13.307226245012782</v>
      </c>
      <c r="DR25" s="52">
        <f t="shared" si="48"/>
        <v>-1.0872421495203954</v>
      </c>
      <c r="DS25" s="53">
        <f t="shared" si="48"/>
        <v>7.3865081191293314E-2</v>
      </c>
      <c r="DT25" s="53">
        <f t="shared" si="48"/>
        <v>5.2176304751426983</v>
      </c>
      <c r="DU25" s="64">
        <f t="shared" si="48"/>
        <v>-8.4633086167219211</v>
      </c>
      <c r="DV25" s="52">
        <f t="shared" si="48"/>
        <v>-16.086075781224373</v>
      </c>
      <c r="DW25" s="53">
        <f t="shared" si="48"/>
        <v>-4.2410822322250574</v>
      </c>
      <c r="DX25" s="53">
        <f t="shared" si="48"/>
        <v>27.245160700048476</v>
      </c>
      <c r="DY25" s="64">
        <f t="shared" si="48"/>
        <v>24.584109248913233</v>
      </c>
      <c r="DZ25" s="52">
        <f t="shared" si="48"/>
        <v>94.063872729431793</v>
      </c>
      <c r="EA25" s="53">
        <f t="shared" si="48"/>
        <v>65.978847344545485</v>
      </c>
      <c r="EB25" s="53">
        <f t="shared" si="48"/>
        <v>31.789140661914029</v>
      </c>
      <c r="EC25" s="64">
        <f t="shared" si="48"/>
        <v>78.854537754415873</v>
      </c>
      <c r="ED25" s="52">
        <f t="shared" si="48"/>
        <v>110.0432317794366</v>
      </c>
      <c r="EE25" s="53">
        <f t="shared" si="48"/>
        <v>33.217869269302881</v>
      </c>
      <c r="EF25" s="53">
        <f t="shared" si="48"/>
        <v>11.668563233620688</v>
      </c>
      <c r="EG25" s="64">
        <f t="shared" si="48"/>
        <v>18.301862133325987</v>
      </c>
      <c r="EH25" s="52">
        <f t="shared" si="48"/>
        <v>-0.32912301822297652</v>
      </c>
      <c r="EI25" s="53">
        <f t="shared" si="48"/>
        <v>-8.0800288021396156</v>
      </c>
      <c r="EJ25" s="53">
        <f t="shared" si="48"/>
        <v>11.011844520600377</v>
      </c>
      <c r="EK25" s="64">
        <f t="shared" si="48"/>
        <v>-10.70675767313679</v>
      </c>
      <c r="EL25" s="52">
        <f t="shared" si="48"/>
        <v>-21.910736202294988</v>
      </c>
      <c r="EM25" s="53">
        <f t="shared" si="48"/>
        <v>4.9450412812095612</v>
      </c>
      <c r="EN25" s="53">
        <f t="shared" si="48"/>
        <v>5.9729644766060019E-2</v>
      </c>
      <c r="EO25" s="64">
        <f t="shared" si="48"/>
        <v>17.699103375527603</v>
      </c>
      <c r="EP25" s="52">
        <f t="shared" si="48"/>
        <v>-9.0796826664005117</v>
      </c>
      <c r="EQ25" s="53">
        <f t="shared" si="48"/>
        <v>1.5710714328029729</v>
      </c>
      <c r="ER25" s="53">
        <f t="shared" si="48"/>
        <v>-5.1984039712211665</v>
      </c>
      <c r="ES25" s="64">
        <f t="shared" si="48"/>
        <v>-28.585192072863251</v>
      </c>
      <c r="ET25" s="53">
        <f t="shared" si="48"/>
        <v>-29.353688486506869</v>
      </c>
      <c r="EU25" s="53">
        <f t="shared" si="48"/>
        <v>1.5693927973916111</v>
      </c>
      <c r="EV25" s="53">
        <f t="shared" si="48"/>
        <v>14.328354524232246</v>
      </c>
      <c r="EW25" s="64">
        <f t="shared" si="48"/>
        <v>26.485868503835075</v>
      </c>
    </row>
    <row r="26" spans="2:153" ht="13.15">
      <c r="B26" s="131" t="s">
        <v>134</v>
      </c>
      <c r="C26" s="53"/>
      <c r="D26" s="53"/>
      <c r="E26" s="53"/>
      <c r="F26" s="53"/>
      <c r="G26" s="53"/>
      <c r="O26" s="132"/>
      <c r="P26" s="132"/>
      <c r="Q26" s="132"/>
      <c r="R26" s="132"/>
      <c r="S26" s="132"/>
      <c r="T26" s="132"/>
      <c r="U26" s="133"/>
      <c r="V26" s="133"/>
      <c r="W26" s="133"/>
      <c r="X26" s="133"/>
      <c r="Y26" s="134"/>
      <c r="AA26" s="52"/>
      <c r="AB26" s="53"/>
      <c r="AC26" s="53"/>
      <c r="AD26" s="53"/>
      <c r="AE26" s="53"/>
      <c r="AF26" s="53"/>
      <c r="AG26" s="53"/>
      <c r="AH26" s="52"/>
      <c r="AI26" s="53"/>
      <c r="AJ26" s="53"/>
      <c r="AK26" s="53"/>
      <c r="AL26" s="53"/>
      <c r="AM26" s="52"/>
      <c r="AN26" s="53"/>
      <c r="AO26" s="53"/>
      <c r="AP26" s="53"/>
      <c r="AQ26" s="64"/>
      <c r="AS26" s="135"/>
      <c r="AU26" s="135"/>
      <c r="AW26" s="107"/>
      <c r="AY26" s="131" t="s">
        <v>134</v>
      </c>
      <c r="BD26" s="120"/>
      <c r="BE26" s="119"/>
      <c r="BH26" s="120"/>
      <c r="BI26" s="119"/>
      <c r="BL26" s="120"/>
      <c r="BM26" s="136"/>
      <c r="BN26" s="137"/>
      <c r="BO26" s="137"/>
      <c r="BP26" s="138"/>
      <c r="BQ26" s="136"/>
      <c r="BR26" s="137"/>
      <c r="BS26" s="137"/>
      <c r="BT26" s="138"/>
      <c r="BU26" s="139"/>
      <c r="BV26" s="137"/>
      <c r="BW26" s="137"/>
      <c r="BX26" s="138"/>
      <c r="BY26" s="140"/>
      <c r="BZ26" s="141"/>
      <c r="CA26" s="137"/>
      <c r="CB26" s="142"/>
      <c r="CC26" s="143"/>
      <c r="CD26" s="141"/>
      <c r="CE26" s="141"/>
      <c r="CF26" s="142"/>
      <c r="CG26" s="143"/>
      <c r="CH26" s="141"/>
      <c r="CI26" s="141"/>
      <c r="CJ26" s="142"/>
      <c r="CK26" s="143"/>
      <c r="CL26" s="141"/>
      <c r="CM26" s="144"/>
      <c r="CN26" s="142"/>
      <c r="CO26" s="145"/>
      <c r="CP26" s="133"/>
      <c r="CQ26" s="133"/>
      <c r="CR26" s="134"/>
      <c r="CS26" s="145"/>
      <c r="CT26" s="133"/>
      <c r="CU26" s="133"/>
      <c r="CV26" s="134"/>
      <c r="CW26" s="133"/>
      <c r="CX26" s="133"/>
      <c r="CY26" s="133"/>
      <c r="CZ26" s="134"/>
      <c r="DB26" s="52"/>
      <c r="DC26" s="53"/>
      <c r="DD26" s="53"/>
      <c r="DE26" s="64"/>
      <c r="DF26" s="52"/>
      <c r="DG26" s="53"/>
      <c r="DH26" s="53"/>
      <c r="DI26" s="64"/>
      <c r="DJ26" s="52"/>
      <c r="DK26" s="53"/>
      <c r="DL26" s="53"/>
      <c r="DM26" s="64"/>
      <c r="DN26" s="52"/>
      <c r="DO26" s="53"/>
      <c r="DP26" s="53"/>
      <c r="DQ26" s="64"/>
      <c r="DR26" s="52"/>
      <c r="DS26" s="53"/>
      <c r="DT26" s="53"/>
      <c r="DU26" s="64"/>
      <c r="DV26" s="52"/>
      <c r="DW26" s="53"/>
      <c r="DX26" s="53"/>
      <c r="DY26" s="64"/>
      <c r="DZ26" s="52"/>
      <c r="EA26" s="53"/>
      <c r="EB26" s="53"/>
      <c r="EC26" s="64"/>
      <c r="ED26" s="52"/>
      <c r="EE26" s="53"/>
      <c r="EF26" s="53"/>
      <c r="EG26" s="64"/>
      <c r="EH26" s="52"/>
      <c r="EI26" s="53"/>
      <c r="EJ26" s="53"/>
      <c r="EK26" s="64"/>
      <c r="EL26" s="52"/>
      <c r="EM26" s="53"/>
      <c r="EN26" s="53"/>
      <c r="EO26" s="64"/>
      <c r="EP26" s="52"/>
      <c r="EQ26" s="53"/>
      <c r="ER26" s="53"/>
      <c r="ES26" s="64"/>
      <c r="ET26" s="53"/>
      <c r="EU26" s="53"/>
      <c r="EV26" s="53"/>
      <c r="EW26" s="64"/>
    </row>
    <row r="27" spans="2:153" s="84" customFormat="1" ht="13.15">
      <c r="B27" s="131" t="s">
        <v>135</v>
      </c>
      <c r="C27" s="90"/>
      <c r="D27" s="90"/>
      <c r="E27" s="90"/>
      <c r="F27" s="90"/>
      <c r="G27" s="90"/>
      <c r="H27" s="146">
        <f t="shared" ref="H27:Y27" si="49">H23/H31</f>
        <v>2.7447468955436296</v>
      </c>
      <c r="I27" s="146">
        <f t="shared" si="49"/>
        <v>2.6989958134031777</v>
      </c>
      <c r="J27" s="146">
        <f t="shared" si="49"/>
        <v>3.6787696026928742</v>
      </c>
      <c r="K27" s="146">
        <f t="shared" si="49"/>
        <v>4.3249986541550589</v>
      </c>
      <c r="L27" s="146">
        <f t="shared" si="49"/>
        <v>4.9045952575150169</v>
      </c>
      <c r="M27" s="146">
        <f t="shared" si="49"/>
        <v>5.1510425519546876</v>
      </c>
      <c r="N27" s="146">
        <f t="shared" si="49"/>
        <v>5.8058038137114591</v>
      </c>
      <c r="O27" s="146">
        <f>O23/O31</f>
        <v>6.4915998650036748</v>
      </c>
      <c r="P27" s="146">
        <f>P23/P31</f>
        <v>6.5042489048724512</v>
      </c>
      <c r="Q27" s="146">
        <f t="shared" si="49"/>
        <v>7.010952965742721</v>
      </c>
      <c r="R27" s="146">
        <f t="shared" si="49"/>
        <v>10.775879225734935</v>
      </c>
      <c r="S27" s="146">
        <f t="shared" si="49"/>
        <v>14.185624673204529</v>
      </c>
      <c r="T27" s="146">
        <f t="shared" si="49"/>
        <v>13.670462431199784</v>
      </c>
      <c r="U27" s="146">
        <f t="shared" si="49"/>
        <v>13.300788700030708</v>
      </c>
      <c r="V27" s="146">
        <f t="shared" si="49"/>
        <v>12.109860355944873</v>
      </c>
      <c r="W27" s="146">
        <f t="shared" si="49"/>
        <v>12.500224500231081</v>
      </c>
      <c r="X27" s="146">
        <f t="shared" si="49"/>
        <v>13.550457529955974</v>
      </c>
      <c r="Y27" s="147">
        <f t="shared" si="49"/>
        <v>14.751833870697279</v>
      </c>
      <c r="AA27" s="89">
        <f t="shared" si="17"/>
        <v>-1.6668597827629639</v>
      </c>
      <c r="AB27" s="90">
        <f t="shared" si="17"/>
        <v>36.301419380650856</v>
      </c>
      <c r="AC27" s="90">
        <f t="shared" si="17"/>
        <v>17.566445340560133</v>
      </c>
      <c r="AD27" s="90">
        <f t="shared" si="17"/>
        <v>13.401081704456374</v>
      </c>
      <c r="AE27" s="90">
        <f t="shared" si="17"/>
        <v>5.0248243025161843</v>
      </c>
      <c r="AF27" s="90">
        <f t="shared" si="17"/>
        <v>12.711237679609265</v>
      </c>
      <c r="AG27" s="90">
        <f t="shared" si="17"/>
        <v>11.812249833047828</v>
      </c>
      <c r="AH27" s="89">
        <f t="shared" si="17"/>
        <v>0.19485242670251868</v>
      </c>
      <c r="AI27" s="90">
        <f t="shared" si="17"/>
        <v>7.790354709376035</v>
      </c>
      <c r="AJ27" s="90">
        <f t="shared" si="17"/>
        <v>53.700634969148851</v>
      </c>
      <c r="AK27" s="90">
        <f t="shared" si="17"/>
        <v>31.642387373147685</v>
      </c>
      <c r="AL27" s="90">
        <f t="shared" si="17"/>
        <v>-3.6315795311985366</v>
      </c>
      <c r="AM27" s="89">
        <f t="shared" si="17"/>
        <v>-2.7041786847340155</v>
      </c>
      <c r="AN27" s="90">
        <f t="shared" si="17"/>
        <v>-8.9538174836435438</v>
      </c>
      <c r="AO27" s="90">
        <f t="shared" si="17"/>
        <v>3.2235230862474262</v>
      </c>
      <c r="AP27" s="90">
        <f t="shared" si="17"/>
        <v>8.4017133428721849</v>
      </c>
      <c r="AQ27" s="91">
        <f t="shared" ref="AQ27" si="50">(Y27/X27-1)*100</f>
        <v>8.8659466891462877</v>
      </c>
      <c r="AS27" s="148">
        <f>AS23/AS31</f>
        <v>15.536914804595316</v>
      </c>
      <c r="AT27" s="149"/>
      <c r="AU27" s="148">
        <f>AU23/AU31</f>
        <v>17.350229963844509</v>
      </c>
      <c r="AV27" s="149"/>
      <c r="AW27" s="150"/>
      <c r="AY27" s="131" t="s">
        <v>135</v>
      </c>
      <c r="BA27" s="146"/>
      <c r="BB27" s="146"/>
      <c r="BC27" s="146"/>
      <c r="BD27" s="147"/>
      <c r="BE27" s="151">
        <f t="shared" ref="BE27:CZ27" si="51">BE23/BE31</f>
        <v>0.65307729373279866</v>
      </c>
      <c r="BF27" s="146">
        <f t="shared" si="51"/>
        <v>1.8549593250810406</v>
      </c>
      <c r="BG27" s="146">
        <f t="shared" si="51"/>
        <v>1.6423962233502516</v>
      </c>
      <c r="BH27" s="147">
        <f t="shared" si="51"/>
        <v>0.7536342020195258</v>
      </c>
      <c r="BI27" s="151">
        <f t="shared" si="51"/>
        <v>0.71069367470643263</v>
      </c>
      <c r="BJ27" s="146">
        <f t="shared" si="51"/>
        <v>1.8208117587943649</v>
      </c>
      <c r="BK27" s="146">
        <f t="shared" si="51"/>
        <v>1.7770513969720128</v>
      </c>
      <c r="BL27" s="147">
        <f t="shared" si="51"/>
        <v>0.84176452630876308</v>
      </c>
      <c r="BM27" s="151">
        <f t="shared" si="51"/>
        <v>0.70566514378941037</v>
      </c>
      <c r="BN27" s="146">
        <f t="shared" si="51"/>
        <v>2.0658146472953969</v>
      </c>
      <c r="BO27" s="146">
        <f t="shared" si="51"/>
        <v>1.8188583124002171</v>
      </c>
      <c r="BP27" s="147">
        <f t="shared" si="51"/>
        <v>0.91870132702237139</v>
      </c>
      <c r="BQ27" s="151">
        <f t="shared" si="51"/>
        <v>0.88706009392160989</v>
      </c>
      <c r="BR27" s="146">
        <f t="shared" si="51"/>
        <v>2.4021213992939616</v>
      </c>
      <c r="BS27" s="146">
        <f t="shared" si="51"/>
        <v>2.1138456848753924</v>
      </c>
      <c r="BT27" s="147">
        <f t="shared" si="51"/>
        <v>1.0233082221285006</v>
      </c>
      <c r="BU27" s="151">
        <f t="shared" si="51"/>
        <v>0.87531169880696791</v>
      </c>
      <c r="BV27" s="146">
        <f t="shared" si="51"/>
        <v>2.3980528660335669</v>
      </c>
      <c r="BW27" s="146">
        <f t="shared" si="51"/>
        <v>2.1992324862876749</v>
      </c>
      <c r="BX27" s="147">
        <f t="shared" si="51"/>
        <v>0.92083568210260291</v>
      </c>
      <c r="BY27" s="151">
        <f t="shared" si="51"/>
        <v>0.72147692828477927</v>
      </c>
      <c r="BZ27" s="146">
        <f t="shared" si="51"/>
        <v>2.2569414588929617</v>
      </c>
      <c r="CA27" s="146">
        <f t="shared" si="51"/>
        <v>2.7628327955750667</v>
      </c>
      <c r="CB27" s="147">
        <f t="shared" si="51"/>
        <v>1.1379688504805126</v>
      </c>
      <c r="CC27" s="151">
        <f t="shared" si="51"/>
        <v>1.3880053894394162</v>
      </c>
      <c r="CD27" s="146">
        <f t="shared" si="51"/>
        <v>3.7076618934360948</v>
      </c>
      <c r="CE27" s="146">
        <f t="shared" si="51"/>
        <v>3.6200575487067899</v>
      </c>
      <c r="CF27" s="147">
        <f t="shared" si="51"/>
        <v>2.0227182071291145</v>
      </c>
      <c r="CG27" s="151">
        <f t="shared" si="51"/>
        <v>2.9010786838130951</v>
      </c>
      <c r="CH27" s="146">
        <f t="shared" si="51"/>
        <v>4.9262745141537208</v>
      </c>
      <c r="CI27" s="146">
        <f t="shared" si="51"/>
        <v>4.0287906134265548</v>
      </c>
      <c r="CJ27" s="147">
        <f t="shared" si="51"/>
        <v>2.3500602763389775</v>
      </c>
      <c r="CK27" s="151">
        <f t="shared" si="51"/>
        <v>2.8280118565930099</v>
      </c>
      <c r="CL27" s="146">
        <f t="shared" si="51"/>
        <v>4.4152697821025617</v>
      </c>
      <c r="CM27" s="146">
        <f t="shared" si="51"/>
        <v>4.3480747419422361</v>
      </c>
      <c r="CN27" s="147">
        <f t="shared" si="51"/>
        <v>2.060340259325768</v>
      </c>
      <c r="CO27" s="151">
        <f t="shared" si="51"/>
        <v>2.1667291719347492</v>
      </c>
      <c r="CP27" s="146">
        <f t="shared" si="51"/>
        <v>4.4861174779590867</v>
      </c>
      <c r="CQ27" s="146">
        <f t="shared" si="51"/>
        <v>4.2245181482400973</v>
      </c>
      <c r="CR27" s="147">
        <f t="shared" si="51"/>
        <v>2.3653275933537024</v>
      </c>
      <c r="CS27" s="151">
        <f t="shared" si="51"/>
        <v>1.9255675634763785</v>
      </c>
      <c r="CT27" s="146">
        <f t="shared" si="51"/>
        <v>4.5239202805952514</v>
      </c>
      <c r="CU27" s="146">
        <f t="shared" si="51"/>
        <v>3.9788607069624748</v>
      </c>
      <c r="CV27" s="147">
        <f t="shared" si="51"/>
        <v>1.6807664339233945</v>
      </c>
      <c r="CW27" s="146">
        <f t="shared" si="51"/>
        <v>1.3515325459073499</v>
      </c>
      <c r="CX27" s="146">
        <f t="shared" si="51"/>
        <v>4.5468612722412516</v>
      </c>
      <c r="CY27" s="146">
        <f t="shared" si="51"/>
        <v>4.4977698836453701</v>
      </c>
      <c r="CZ27" s="147">
        <f t="shared" si="51"/>
        <v>2.0970337215901149</v>
      </c>
      <c r="DB27" s="89"/>
      <c r="DC27" s="90"/>
      <c r="DD27" s="90"/>
      <c r="DE27" s="91"/>
      <c r="DF27" s="89">
        <f t="shared" ref="DF27:EW27" si="52">(BI27/BE27-1)*100</f>
        <v>8.8222912550389943</v>
      </c>
      <c r="DG27" s="90">
        <f t="shared" si="52"/>
        <v>-1.8408795182171311</v>
      </c>
      <c r="DH27" s="90">
        <f t="shared" si="52"/>
        <v>8.1987020980286864</v>
      </c>
      <c r="DI27" s="91">
        <f t="shared" si="52"/>
        <v>11.69404520828181</v>
      </c>
      <c r="DJ27" s="89">
        <f t="shared" si="52"/>
        <v>-0.70755250763971933</v>
      </c>
      <c r="DK27" s="90">
        <f t="shared" si="52"/>
        <v>13.455695643313437</v>
      </c>
      <c r="DL27" s="90">
        <f t="shared" si="52"/>
        <v>2.3526002398940538</v>
      </c>
      <c r="DM27" s="91">
        <f t="shared" si="52"/>
        <v>9.1399433343889225</v>
      </c>
      <c r="DN27" s="89">
        <f t="shared" si="52"/>
        <v>25.705527859589552</v>
      </c>
      <c r="DO27" s="90">
        <f t="shared" si="52"/>
        <v>16.279618911544837</v>
      </c>
      <c r="DP27" s="90">
        <f t="shared" si="52"/>
        <v>16.218271124478157</v>
      </c>
      <c r="DQ27" s="91">
        <f t="shared" si="52"/>
        <v>11.386387722457481</v>
      </c>
      <c r="DR27" s="89">
        <f t="shared" si="52"/>
        <v>-1.3244193031729634</v>
      </c>
      <c r="DS27" s="90">
        <f t="shared" si="52"/>
        <v>-0.16937250805020287</v>
      </c>
      <c r="DT27" s="90">
        <f t="shared" si="52"/>
        <v>4.0394056209129614</v>
      </c>
      <c r="DU27" s="91">
        <f t="shared" si="52"/>
        <v>-10.01384898606139</v>
      </c>
      <c r="DV27" s="89">
        <f t="shared" si="52"/>
        <v>-17.574855989227878</v>
      </c>
      <c r="DW27" s="90">
        <f t="shared" si="52"/>
        <v>-5.8844160251565576</v>
      </c>
      <c r="DX27" s="90">
        <f t="shared" si="52"/>
        <v>25.627136412428797</v>
      </c>
      <c r="DY27" s="91">
        <f t="shared" si="52"/>
        <v>23.580012438496702</v>
      </c>
      <c r="DZ27" s="89">
        <f t="shared" si="52"/>
        <v>92.383891296319703</v>
      </c>
      <c r="EA27" s="90">
        <f t="shared" si="52"/>
        <v>64.278159667230227</v>
      </c>
      <c r="EB27" s="90">
        <f t="shared" si="52"/>
        <v>31.027022500407853</v>
      </c>
      <c r="EC27" s="91">
        <f t="shared" si="52"/>
        <v>77.748117294688029</v>
      </c>
      <c r="ED27" s="89">
        <f t="shared" si="52"/>
        <v>109.01062098791812</v>
      </c>
      <c r="EE27" s="90">
        <f t="shared" si="52"/>
        <v>32.867414983955577</v>
      </c>
      <c r="EF27" s="90">
        <f t="shared" si="52"/>
        <v>11.290789144105684</v>
      </c>
      <c r="EG27" s="91">
        <f t="shared" si="52"/>
        <v>16.183275952930011</v>
      </c>
      <c r="EH27" s="89">
        <f t="shared" si="52"/>
        <v>-2.5186089445891291</v>
      </c>
      <c r="EI27" s="90">
        <f t="shared" si="52"/>
        <v>-10.373046215410586</v>
      </c>
      <c r="EJ27" s="90">
        <f t="shared" si="52"/>
        <v>7.9250613683326865</v>
      </c>
      <c r="EK27" s="91">
        <f t="shared" si="52"/>
        <v>-12.328195150149401</v>
      </c>
      <c r="EL27" s="89">
        <f t="shared" si="52"/>
        <v>-23.383306654694426</v>
      </c>
      <c r="EM27" s="90">
        <f t="shared" si="52"/>
        <v>1.6046062721627674</v>
      </c>
      <c r="EN27" s="90">
        <f t="shared" si="52"/>
        <v>-2.8416391399690433</v>
      </c>
      <c r="EO27" s="91">
        <f t="shared" si="52"/>
        <v>14.802765351376435</v>
      </c>
      <c r="EP27" s="89">
        <f t="shared" si="52"/>
        <v>-11.130214684054351</v>
      </c>
      <c r="EQ27" s="90">
        <f t="shared" si="52"/>
        <v>0.84266189688289028</v>
      </c>
      <c r="ER27" s="90">
        <f t="shared" si="52"/>
        <v>-5.8150405006535788</v>
      </c>
      <c r="ES27" s="91">
        <f t="shared" si="52"/>
        <v>-28.941494673035805</v>
      </c>
      <c r="ET27" s="90">
        <f t="shared" si="52"/>
        <v>-29.811211429666894</v>
      </c>
      <c r="EU27" s="90">
        <f t="shared" si="52"/>
        <v>0.50710424196469539</v>
      </c>
      <c r="EV27" s="90">
        <f t="shared" si="52"/>
        <v>13.041652244193248</v>
      </c>
      <c r="EW27" s="91">
        <f t="shared" si="52"/>
        <v>24.766515993244354</v>
      </c>
    </row>
    <row r="28" spans="2:153">
      <c r="B28" s="48" t="s">
        <v>136</v>
      </c>
      <c r="C28" s="53">
        <f>Model!GK98</f>
        <v>0</v>
      </c>
      <c r="D28" s="53"/>
      <c r="E28" s="53"/>
      <c r="F28" s="53">
        <v>1556</v>
      </c>
      <c r="G28" s="53"/>
      <c r="H28" s="152">
        <f t="shared" ref="H28:Y28" si="53">H24/H31</f>
        <v>0</v>
      </c>
      <c r="I28" s="152">
        <f t="shared" si="53"/>
        <v>0</v>
      </c>
      <c r="J28" s="152">
        <f t="shared" si="53"/>
        <v>0</v>
      </c>
      <c r="K28" s="152">
        <f t="shared" si="53"/>
        <v>0</v>
      </c>
      <c r="L28" s="152">
        <f t="shared" si="53"/>
        <v>0</v>
      </c>
      <c r="M28" s="152">
        <f t="shared" si="53"/>
        <v>0</v>
      </c>
      <c r="N28" s="152">
        <f t="shared" si="53"/>
        <v>0</v>
      </c>
      <c r="O28" s="152">
        <f t="shared" si="53"/>
        <v>0</v>
      </c>
      <c r="P28" s="152">
        <f>P24/P31</f>
        <v>0</v>
      </c>
      <c r="Q28" s="152">
        <f t="shared" si="53"/>
        <v>0</v>
      </c>
      <c r="R28" s="152">
        <f t="shared" si="53"/>
        <v>0</v>
      </c>
      <c r="S28" s="152">
        <f t="shared" si="53"/>
        <v>0</v>
      </c>
      <c r="T28" s="152">
        <f t="shared" si="53"/>
        <v>0</v>
      </c>
      <c r="U28" s="152">
        <f t="shared" si="53"/>
        <v>0</v>
      </c>
      <c r="V28" s="152">
        <f t="shared" si="53"/>
        <v>0</v>
      </c>
      <c r="W28" s="152">
        <f t="shared" si="53"/>
        <v>0</v>
      </c>
      <c r="X28" s="152">
        <f t="shared" si="53"/>
        <v>0</v>
      </c>
      <c r="Y28" s="153">
        <f t="shared" si="53"/>
        <v>0</v>
      </c>
      <c r="AA28" s="52"/>
      <c r="AB28" s="53"/>
      <c r="AC28" s="53"/>
      <c r="AD28" s="53"/>
      <c r="AE28" s="53"/>
      <c r="AF28" s="53"/>
      <c r="AG28" s="53"/>
      <c r="AH28" s="52"/>
      <c r="AI28" s="53"/>
      <c r="AJ28" s="53"/>
      <c r="AK28" s="53"/>
      <c r="AL28" s="53"/>
      <c r="AM28" s="52"/>
      <c r="AN28" s="53"/>
      <c r="AO28" s="53"/>
      <c r="AP28" s="53"/>
      <c r="AQ28" s="64"/>
      <c r="AS28" s="154">
        <f>AS24/AS31</f>
        <v>0</v>
      </c>
      <c r="AU28" s="154">
        <f>AU24/AU31</f>
        <v>0</v>
      </c>
      <c r="AW28" s="107"/>
      <c r="AY28" s="48" t="s">
        <v>136</v>
      </c>
      <c r="BA28" s="152">
        <v>0.48</v>
      </c>
      <c r="BB28" s="152">
        <v>1.6</v>
      </c>
      <c r="BC28" s="152">
        <v>1.56</v>
      </c>
      <c r="BD28" s="153">
        <f>+K28-BA28-BB28-BC28</f>
        <v>-3.64</v>
      </c>
      <c r="BE28" s="155">
        <f t="shared" ref="BE28:CZ28" si="54">BE24/BE31</f>
        <v>0</v>
      </c>
      <c r="BF28" s="152">
        <f t="shared" si="54"/>
        <v>0</v>
      </c>
      <c r="BG28" s="152">
        <f t="shared" si="54"/>
        <v>0</v>
      </c>
      <c r="BH28" s="153">
        <f t="shared" si="54"/>
        <v>0</v>
      </c>
      <c r="BI28" s="155">
        <f t="shared" si="54"/>
        <v>0</v>
      </c>
      <c r="BJ28" s="152">
        <f t="shared" si="54"/>
        <v>0</v>
      </c>
      <c r="BK28" s="152">
        <f t="shared" si="54"/>
        <v>0</v>
      </c>
      <c r="BL28" s="153">
        <f t="shared" si="54"/>
        <v>0</v>
      </c>
      <c r="BM28" s="155">
        <f t="shared" si="54"/>
        <v>0</v>
      </c>
      <c r="BN28" s="152">
        <f t="shared" si="54"/>
        <v>0</v>
      </c>
      <c r="BO28" s="152">
        <f t="shared" si="54"/>
        <v>0</v>
      </c>
      <c r="BP28" s="153">
        <f t="shared" si="54"/>
        <v>-0.30020957029683282</v>
      </c>
      <c r="BQ28" s="155">
        <f t="shared" si="54"/>
        <v>0</v>
      </c>
      <c r="BR28" s="152">
        <f t="shared" si="54"/>
        <v>0</v>
      </c>
      <c r="BS28" s="152">
        <f t="shared" si="54"/>
        <v>0</v>
      </c>
      <c r="BT28" s="153">
        <f t="shared" si="54"/>
        <v>0</v>
      </c>
      <c r="BU28" s="155">
        <f t="shared" si="54"/>
        <v>0</v>
      </c>
      <c r="BV28" s="152">
        <f t="shared" si="54"/>
        <v>0</v>
      </c>
      <c r="BW28" s="152">
        <f t="shared" si="54"/>
        <v>0</v>
      </c>
      <c r="BX28" s="153">
        <f t="shared" si="54"/>
        <v>0</v>
      </c>
      <c r="BY28" s="155">
        <f t="shared" si="54"/>
        <v>0</v>
      </c>
      <c r="BZ28" s="152">
        <f t="shared" si="54"/>
        <v>0</v>
      </c>
      <c r="CA28" s="152">
        <f t="shared" si="54"/>
        <v>0</v>
      </c>
      <c r="CB28" s="153">
        <f t="shared" si="54"/>
        <v>0</v>
      </c>
      <c r="CC28" s="155">
        <f t="shared" si="54"/>
        <v>0</v>
      </c>
      <c r="CD28" s="152">
        <f t="shared" si="54"/>
        <v>0</v>
      </c>
      <c r="CE28" s="152">
        <f t="shared" si="54"/>
        <v>0</v>
      </c>
      <c r="CF28" s="153">
        <f t="shared" si="54"/>
        <v>0</v>
      </c>
      <c r="CG28" s="155">
        <f t="shared" si="54"/>
        <v>0</v>
      </c>
      <c r="CH28" s="152">
        <f t="shared" si="54"/>
        <v>0</v>
      </c>
      <c r="CI28" s="152">
        <f t="shared" si="54"/>
        <v>0</v>
      </c>
      <c r="CJ28" s="153">
        <f t="shared" si="54"/>
        <v>0</v>
      </c>
      <c r="CK28" s="155">
        <f t="shared" si="54"/>
        <v>0</v>
      </c>
      <c r="CL28" s="152">
        <f t="shared" si="54"/>
        <v>0</v>
      </c>
      <c r="CM28" s="152">
        <f t="shared" si="54"/>
        <v>0</v>
      </c>
      <c r="CN28" s="153">
        <f t="shared" si="54"/>
        <v>0</v>
      </c>
      <c r="CO28" s="155">
        <f t="shared" si="54"/>
        <v>0</v>
      </c>
      <c r="CP28" s="152">
        <f t="shared" si="54"/>
        <v>0</v>
      </c>
      <c r="CQ28" s="152">
        <f t="shared" si="54"/>
        <v>0</v>
      </c>
      <c r="CR28" s="153">
        <f t="shared" si="54"/>
        <v>0</v>
      </c>
      <c r="CS28" s="155">
        <f t="shared" si="54"/>
        <v>0</v>
      </c>
      <c r="CT28" s="152">
        <f t="shared" si="54"/>
        <v>0</v>
      </c>
      <c r="CU28" s="152">
        <f t="shared" si="54"/>
        <v>0</v>
      </c>
      <c r="CV28" s="153">
        <f t="shared" si="54"/>
        <v>0</v>
      </c>
      <c r="CW28" s="152">
        <f t="shared" si="54"/>
        <v>0</v>
      </c>
      <c r="CX28" s="152">
        <f t="shared" si="54"/>
        <v>0</v>
      </c>
      <c r="CY28" s="152">
        <f t="shared" si="54"/>
        <v>0</v>
      </c>
      <c r="CZ28" s="153">
        <f t="shared" si="54"/>
        <v>0</v>
      </c>
      <c r="DB28" s="119"/>
      <c r="DC28" s="9"/>
      <c r="DD28" s="9"/>
      <c r="DE28" s="120"/>
      <c r="DF28" s="52"/>
      <c r="DG28" s="53"/>
      <c r="DH28" s="53"/>
      <c r="DI28" s="64"/>
      <c r="DJ28" s="52"/>
      <c r="DK28" s="53"/>
      <c r="DL28" s="53"/>
      <c r="DM28" s="64"/>
      <c r="DN28" s="52"/>
      <c r="DO28" s="53"/>
      <c r="DP28" s="53"/>
      <c r="DQ28" s="64"/>
      <c r="DR28" s="52"/>
      <c r="DS28" s="53"/>
      <c r="DT28" s="53"/>
      <c r="DU28" s="64"/>
      <c r="DV28" s="52"/>
      <c r="DW28" s="53"/>
      <c r="DX28" s="53"/>
      <c r="DY28" s="64"/>
      <c r="DZ28" s="52"/>
      <c r="EA28" s="53"/>
      <c r="EB28" s="53"/>
      <c r="EC28" s="64"/>
      <c r="ED28" s="52"/>
      <c r="EE28" s="53"/>
      <c r="EF28" s="53"/>
      <c r="EG28" s="64"/>
      <c r="EH28" s="52"/>
      <c r="EI28" s="53"/>
      <c r="EJ28" s="53"/>
      <c r="EK28" s="64"/>
      <c r="EL28" s="52"/>
      <c r="EM28" s="53"/>
      <c r="EN28" s="53"/>
      <c r="EO28" s="64"/>
      <c r="EP28" s="52"/>
      <c r="EQ28" s="53"/>
      <c r="ER28" s="53"/>
      <c r="ES28" s="64"/>
      <c r="ET28" s="53"/>
      <c r="EU28" s="53"/>
      <c r="EV28" s="53"/>
      <c r="EW28" s="64"/>
    </row>
    <row r="29" spans="2:153">
      <c r="B29" s="48" t="s">
        <v>137</v>
      </c>
      <c r="C29" s="53"/>
      <c r="D29" s="53"/>
      <c r="E29" s="53"/>
      <c r="F29" s="53"/>
      <c r="G29" s="53"/>
      <c r="H29" s="156">
        <f t="shared" ref="H29:Y29" si="55">H25/H31</f>
        <v>2.7447468955436296</v>
      </c>
      <c r="I29" s="156">
        <f t="shared" si="55"/>
        <v>2.6989958134031777</v>
      </c>
      <c r="J29" s="156">
        <f t="shared" si="55"/>
        <v>3.6787696026928742</v>
      </c>
      <c r="K29" s="156">
        <f t="shared" si="55"/>
        <v>4.3249986541550589</v>
      </c>
      <c r="L29" s="156">
        <f t="shared" si="55"/>
        <v>4.9045952575150169</v>
      </c>
      <c r="M29" s="156">
        <f t="shared" si="55"/>
        <v>5.1510425519546876</v>
      </c>
      <c r="N29" s="156">
        <f t="shared" si="55"/>
        <v>5.8058038137114591</v>
      </c>
      <c r="O29" s="156">
        <f t="shared" si="55"/>
        <v>6.4915998650036748</v>
      </c>
      <c r="P29" s="156">
        <f>P25/P31</f>
        <v>6.5042489048724512</v>
      </c>
      <c r="Q29" s="156">
        <f t="shared" si="55"/>
        <v>7.010952965742721</v>
      </c>
      <c r="R29" s="156">
        <f t="shared" si="55"/>
        <v>10.775879225734935</v>
      </c>
      <c r="S29" s="156">
        <f t="shared" si="55"/>
        <v>14.185624673204529</v>
      </c>
      <c r="T29" s="156">
        <f t="shared" si="55"/>
        <v>13.670462431199784</v>
      </c>
      <c r="U29" s="156">
        <f t="shared" si="55"/>
        <v>13.300788700030708</v>
      </c>
      <c r="V29" s="156">
        <f t="shared" si="55"/>
        <v>12.109860355944873</v>
      </c>
      <c r="W29" s="156">
        <f t="shared" si="55"/>
        <v>12.500224500231081</v>
      </c>
      <c r="X29" s="156">
        <f t="shared" si="55"/>
        <v>13.550457529955974</v>
      </c>
      <c r="Y29" s="157">
        <f t="shared" si="55"/>
        <v>14.751833870697279</v>
      </c>
      <c r="AA29" s="52">
        <f t="shared" si="17"/>
        <v>-1.6668597827629639</v>
      </c>
      <c r="AB29" s="53">
        <f t="shared" si="17"/>
        <v>36.301419380650856</v>
      </c>
      <c r="AC29" s="53">
        <f t="shared" si="17"/>
        <v>17.566445340560133</v>
      </c>
      <c r="AD29" s="53">
        <f t="shared" si="17"/>
        <v>13.401081704456374</v>
      </c>
      <c r="AE29" s="53">
        <f t="shared" si="17"/>
        <v>5.0248243025161843</v>
      </c>
      <c r="AF29" s="53">
        <f t="shared" si="17"/>
        <v>12.711237679609265</v>
      </c>
      <c r="AG29" s="53">
        <f t="shared" si="17"/>
        <v>11.812249833047828</v>
      </c>
      <c r="AH29" s="52">
        <f t="shared" si="17"/>
        <v>0.19485242670251868</v>
      </c>
      <c r="AI29" s="53">
        <f t="shared" si="17"/>
        <v>7.790354709376035</v>
      </c>
      <c r="AJ29" s="53">
        <f t="shared" si="17"/>
        <v>53.700634969148851</v>
      </c>
      <c r="AK29" s="53">
        <f t="shared" si="17"/>
        <v>31.642387373147685</v>
      </c>
      <c r="AL29" s="53">
        <f t="shared" si="17"/>
        <v>-3.6315795311985366</v>
      </c>
      <c r="AM29" s="52">
        <f t="shared" si="17"/>
        <v>-2.7041786847340155</v>
      </c>
      <c r="AN29" s="53">
        <f t="shared" si="17"/>
        <v>-8.9538174836435438</v>
      </c>
      <c r="AO29" s="53">
        <f t="shared" si="17"/>
        <v>3.2235230862474262</v>
      </c>
      <c r="AP29" s="53">
        <f t="shared" si="17"/>
        <v>8.4017133428721849</v>
      </c>
      <c r="AQ29" s="64">
        <f t="shared" ref="AQ29" si="56">(Y29/X29-1)*100</f>
        <v>8.8659466891462877</v>
      </c>
      <c r="AR29" s="7"/>
      <c r="AS29" s="158">
        <f>AS25/AS31</f>
        <v>15.536914804595316</v>
      </c>
      <c r="AU29" s="158">
        <f>AU25/AU31</f>
        <v>17.350229963844509</v>
      </c>
      <c r="AW29" s="107"/>
      <c r="AY29" s="48" t="s">
        <v>137</v>
      </c>
      <c r="BA29" s="156"/>
      <c r="BB29" s="156"/>
      <c r="BC29" s="156"/>
      <c r="BD29" s="157"/>
      <c r="BE29" s="159">
        <f t="shared" ref="BE29:CZ29" si="57">BE25/BE31</f>
        <v>0.65307729373279866</v>
      </c>
      <c r="BF29" s="156">
        <f t="shared" si="57"/>
        <v>1.8549593250810406</v>
      </c>
      <c r="BG29" s="156">
        <f t="shared" si="57"/>
        <v>1.6423962233502516</v>
      </c>
      <c r="BH29" s="157">
        <f t="shared" si="57"/>
        <v>0.7536342020195258</v>
      </c>
      <c r="BI29" s="159">
        <f t="shared" si="57"/>
        <v>0.71069367470643263</v>
      </c>
      <c r="BJ29" s="156">
        <f t="shared" si="57"/>
        <v>1.8208117587943649</v>
      </c>
      <c r="BK29" s="156">
        <f t="shared" si="57"/>
        <v>1.7770513969720128</v>
      </c>
      <c r="BL29" s="157">
        <f t="shared" si="57"/>
        <v>0.84176452630876308</v>
      </c>
      <c r="BM29" s="159">
        <f t="shared" si="57"/>
        <v>0.70566514378941037</v>
      </c>
      <c r="BN29" s="156">
        <f t="shared" si="57"/>
        <v>2.0658146472953969</v>
      </c>
      <c r="BO29" s="156">
        <f t="shared" si="57"/>
        <v>1.8188583124002171</v>
      </c>
      <c r="BP29" s="157">
        <f t="shared" si="57"/>
        <v>1.2189108973192042</v>
      </c>
      <c r="BQ29" s="159">
        <f t="shared" si="57"/>
        <v>0.88706009392160989</v>
      </c>
      <c r="BR29" s="156">
        <f t="shared" si="57"/>
        <v>2.4021213992939616</v>
      </c>
      <c r="BS29" s="156">
        <f t="shared" si="57"/>
        <v>2.1138456848753924</v>
      </c>
      <c r="BT29" s="157">
        <f t="shared" si="57"/>
        <v>1.0233082221285006</v>
      </c>
      <c r="BU29" s="159">
        <f t="shared" si="57"/>
        <v>0.87531169880696791</v>
      </c>
      <c r="BV29" s="156">
        <f t="shared" si="57"/>
        <v>2.3980528660335669</v>
      </c>
      <c r="BW29" s="156">
        <f t="shared" si="57"/>
        <v>2.1992324862876749</v>
      </c>
      <c r="BX29" s="157">
        <f t="shared" si="57"/>
        <v>0.92083568210260291</v>
      </c>
      <c r="BY29" s="159">
        <f t="shared" si="57"/>
        <v>0.72147692828477927</v>
      </c>
      <c r="BZ29" s="156">
        <f t="shared" si="57"/>
        <v>2.2569414588929617</v>
      </c>
      <c r="CA29" s="156">
        <f t="shared" si="57"/>
        <v>2.7628327955750667</v>
      </c>
      <c r="CB29" s="157">
        <f t="shared" si="57"/>
        <v>1.1379688504805126</v>
      </c>
      <c r="CC29" s="159">
        <f t="shared" si="57"/>
        <v>1.3880053894394162</v>
      </c>
      <c r="CD29" s="156">
        <f t="shared" si="57"/>
        <v>3.7076618934360948</v>
      </c>
      <c r="CE29" s="156">
        <f t="shared" si="57"/>
        <v>3.6200575487067899</v>
      </c>
      <c r="CF29" s="157">
        <f t="shared" si="57"/>
        <v>2.0227182071291145</v>
      </c>
      <c r="CG29" s="159">
        <f t="shared" si="57"/>
        <v>2.9010786838130951</v>
      </c>
      <c r="CH29" s="156">
        <f t="shared" si="57"/>
        <v>4.9262745141537208</v>
      </c>
      <c r="CI29" s="156">
        <f t="shared" si="57"/>
        <v>4.0287906134265548</v>
      </c>
      <c r="CJ29" s="157">
        <f t="shared" si="57"/>
        <v>2.3500602763389775</v>
      </c>
      <c r="CK29" s="159">
        <f t="shared" si="57"/>
        <v>2.8280118565930099</v>
      </c>
      <c r="CL29" s="156">
        <f t="shared" si="57"/>
        <v>4.4152697821025617</v>
      </c>
      <c r="CM29" s="156">
        <f t="shared" si="57"/>
        <v>4.3480747419422361</v>
      </c>
      <c r="CN29" s="157">
        <f t="shared" si="57"/>
        <v>2.060340259325768</v>
      </c>
      <c r="CO29" s="159">
        <f t="shared" si="57"/>
        <v>2.1667291719347492</v>
      </c>
      <c r="CP29" s="156">
        <f t="shared" si="57"/>
        <v>4.4861174779590867</v>
      </c>
      <c r="CQ29" s="156">
        <f t="shared" si="57"/>
        <v>4.2245181482400973</v>
      </c>
      <c r="CR29" s="157">
        <f t="shared" si="57"/>
        <v>2.3653275933537024</v>
      </c>
      <c r="CS29" s="159">
        <f t="shared" si="57"/>
        <v>1.9255675634763785</v>
      </c>
      <c r="CT29" s="156">
        <f t="shared" si="57"/>
        <v>4.5239202805952514</v>
      </c>
      <c r="CU29" s="156">
        <f t="shared" si="57"/>
        <v>3.9788607069624748</v>
      </c>
      <c r="CV29" s="157">
        <f t="shared" si="57"/>
        <v>1.6807664339233945</v>
      </c>
      <c r="CW29" s="156">
        <f t="shared" si="57"/>
        <v>1.3515325459073499</v>
      </c>
      <c r="CX29" s="156">
        <f t="shared" si="57"/>
        <v>4.5468612722412516</v>
      </c>
      <c r="CY29" s="156">
        <f t="shared" si="57"/>
        <v>4.4977698836453701</v>
      </c>
      <c r="CZ29" s="157">
        <f t="shared" si="57"/>
        <v>2.0970337215901149</v>
      </c>
      <c r="DB29" s="119"/>
      <c r="DC29" s="9"/>
      <c r="DD29" s="9"/>
      <c r="DE29" s="120"/>
      <c r="DF29" s="52">
        <f t="shared" ref="DF29:EW29" si="58">(BI29/BE29-1)*100</f>
        <v>8.8222912550389943</v>
      </c>
      <c r="DG29" s="53">
        <f t="shared" si="58"/>
        <v>-1.8408795182171311</v>
      </c>
      <c r="DH29" s="53">
        <f t="shared" si="58"/>
        <v>8.1987020980286864</v>
      </c>
      <c r="DI29" s="64">
        <f t="shared" si="58"/>
        <v>11.69404520828181</v>
      </c>
      <c r="DJ29" s="52">
        <f t="shared" si="58"/>
        <v>-0.70755250763971933</v>
      </c>
      <c r="DK29" s="53">
        <f t="shared" si="58"/>
        <v>13.455695643313437</v>
      </c>
      <c r="DL29" s="53">
        <f t="shared" si="58"/>
        <v>2.3526002398940538</v>
      </c>
      <c r="DM29" s="64">
        <f t="shared" si="58"/>
        <v>44.804260481761162</v>
      </c>
      <c r="DN29" s="52">
        <f t="shared" si="58"/>
        <v>25.705527859589552</v>
      </c>
      <c r="DO29" s="53">
        <f t="shared" si="58"/>
        <v>16.279618911544837</v>
      </c>
      <c r="DP29" s="53">
        <f t="shared" si="58"/>
        <v>16.218271124478157</v>
      </c>
      <c r="DQ29" s="64">
        <f t="shared" si="58"/>
        <v>-16.047331730391434</v>
      </c>
      <c r="DR29" s="52">
        <f t="shared" si="58"/>
        <v>-1.3244193031729634</v>
      </c>
      <c r="DS29" s="53">
        <f t="shared" si="58"/>
        <v>-0.16937250805020287</v>
      </c>
      <c r="DT29" s="53">
        <f t="shared" si="58"/>
        <v>4.0394056209129614</v>
      </c>
      <c r="DU29" s="64">
        <f t="shared" si="58"/>
        <v>-10.01384898606139</v>
      </c>
      <c r="DV29" s="52">
        <f t="shared" si="58"/>
        <v>-17.574855989227878</v>
      </c>
      <c r="DW29" s="53">
        <f t="shared" si="58"/>
        <v>-5.8844160251565576</v>
      </c>
      <c r="DX29" s="53">
        <f t="shared" si="58"/>
        <v>25.627136412428797</v>
      </c>
      <c r="DY29" s="64">
        <f t="shared" si="58"/>
        <v>23.580012438496702</v>
      </c>
      <c r="DZ29" s="52">
        <f t="shared" si="58"/>
        <v>92.383891296319703</v>
      </c>
      <c r="EA29" s="53">
        <f t="shared" si="58"/>
        <v>64.278159667230227</v>
      </c>
      <c r="EB29" s="53">
        <f t="shared" si="58"/>
        <v>31.027022500407853</v>
      </c>
      <c r="EC29" s="64">
        <f t="shared" si="58"/>
        <v>77.748117294688029</v>
      </c>
      <c r="ED29" s="52">
        <f t="shared" si="58"/>
        <v>109.01062098791812</v>
      </c>
      <c r="EE29" s="53">
        <f t="shared" si="58"/>
        <v>32.867414983955577</v>
      </c>
      <c r="EF29" s="53">
        <f t="shared" si="58"/>
        <v>11.290789144105684</v>
      </c>
      <c r="EG29" s="64">
        <f t="shared" si="58"/>
        <v>16.183275952930011</v>
      </c>
      <c r="EH29" s="52">
        <f t="shared" si="58"/>
        <v>-2.5186089445891291</v>
      </c>
      <c r="EI29" s="53">
        <f t="shared" si="58"/>
        <v>-10.373046215410586</v>
      </c>
      <c r="EJ29" s="53">
        <f t="shared" si="58"/>
        <v>7.9250613683326865</v>
      </c>
      <c r="EK29" s="64">
        <f t="shared" si="58"/>
        <v>-12.328195150149401</v>
      </c>
      <c r="EL29" s="52">
        <f t="shared" si="58"/>
        <v>-23.383306654694426</v>
      </c>
      <c r="EM29" s="53">
        <f t="shared" si="58"/>
        <v>1.6046062721627674</v>
      </c>
      <c r="EN29" s="53">
        <f t="shared" si="58"/>
        <v>-2.8416391399690433</v>
      </c>
      <c r="EO29" s="64">
        <f t="shared" si="58"/>
        <v>14.802765351376435</v>
      </c>
      <c r="EP29" s="52">
        <f t="shared" si="58"/>
        <v>-11.130214684054351</v>
      </c>
      <c r="EQ29" s="53">
        <f t="shared" si="58"/>
        <v>0.84266189688289028</v>
      </c>
      <c r="ER29" s="53">
        <f t="shared" si="58"/>
        <v>-5.8150405006535788</v>
      </c>
      <c r="ES29" s="64">
        <f t="shared" si="58"/>
        <v>-28.941494673035805</v>
      </c>
      <c r="ET29" s="53">
        <f t="shared" si="58"/>
        <v>-29.811211429666894</v>
      </c>
      <c r="EU29" s="53">
        <f t="shared" si="58"/>
        <v>0.50710424196469539</v>
      </c>
      <c r="EV29" s="53">
        <f t="shared" si="58"/>
        <v>13.041652244193248</v>
      </c>
      <c r="EW29" s="64">
        <f t="shared" si="58"/>
        <v>24.766515993244354</v>
      </c>
    </row>
    <row r="30" spans="2:153" ht="13.15">
      <c r="B30" s="131" t="s">
        <v>138</v>
      </c>
      <c r="C30" s="53"/>
      <c r="D30" s="53"/>
      <c r="E30" s="53"/>
      <c r="F30" s="53"/>
      <c r="G30" s="53"/>
      <c r="H30" s="160"/>
      <c r="I30" s="160"/>
      <c r="J30" s="160"/>
      <c r="K30" s="160"/>
      <c r="L30" s="160"/>
      <c r="M30" s="160"/>
      <c r="N30" s="160"/>
      <c r="O30" s="160"/>
      <c r="P30" s="160"/>
      <c r="Q30" s="160"/>
      <c r="R30" s="160"/>
      <c r="S30" s="160"/>
      <c r="T30" s="160"/>
      <c r="U30" s="161"/>
      <c r="V30" s="160"/>
      <c r="W30" s="160"/>
      <c r="X30" s="160"/>
      <c r="Y30" s="162"/>
      <c r="AA30" s="163"/>
      <c r="AH30" s="119"/>
      <c r="AM30" s="119"/>
      <c r="AQ30" s="120"/>
      <c r="AR30" s="7"/>
      <c r="AS30" s="164"/>
      <c r="AU30" s="164"/>
      <c r="AW30" s="107"/>
      <c r="AY30" s="131" t="s">
        <v>138</v>
      </c>
      <c r="BA30" s="165"/>
      <c r="BB30" s="165"/>
      <c r="BC30" s="165"/>
      <c r="BD30" s="166"/>
      <c r="BE30" s="167"/>
      <c r="BF30" s="165"/>
      <c r="BG30" s="165"/>
      <c r="BH30" s="166"/>
      <c r="BI30" s="167"/>
      <c r="BJ30" s="165"/>
      <c r="BK30" s="165"/>
      <c r="BL30" s="166"/>
      <c r="BM30" s="167"/>
      <c r="BN30" s="165"/>
      <c r="BO30" s="165"/>
      <c r="BP30" s="166"/>
      <c r="BQ30" s="167"/>
      <c r="BR30" s="165"/>
      <c r="BS30" s="165"/>
      <c r="BT30" s="166"/>
      <c r="BU30" s="168"/>
      <c r="BV30" s="165"/>
      <c r="BW30" s="165"/>
      <c r="BX30" s="166"/>
      <c r="BY30" s="168"/>
      <c r="BZ30" s="169"/>
      <c r="CA30" s="169"/>
      <c r="CB30" s="170"/>
      <c r="CC30" s="171"/>
      <c r="CD30" s="169"/>
      <c r="CE30" s="169"/>
      <c r="CF30" s="170"/>
      <c r="CG30" s="171"/>
      <c r="CH30" s="169"/>
      <c r="CI30" s="169"/>
      <c r="CJ30" s="170"/>
      <c r="CK30" s="171"/>
      <c r="CL30" s="169"/>
      <c r="CM30" s="169"/>
      <c r="CN30" s="170"/>
      <c r="CO30" s="171"/>
      <c r="CP30" s="169"/>
      <c r="CQ30" s="172"/>
      <c r="CR30" s="170"/>
      <c r="CS30" s="171"/>
      <c r="CT30" s="169"/>
      <c r="CU30" s="169"/>
      <c r="CV30" s="170"/>
      <c r="CW30" s="169"/>
      <c r="CX30" s="169"/>
      <c r="CY30" s="169"/>
      <c r="CZ30" s="170"/>
      <c r="DB30" s="119"/>
      <c r="DC30" s="9"/>
      <c r="DD30" s="9"/>
      <c r="DE30" s="120"/>
      <c r="DF30" s="52"/>
      <c r="DG30" s="53"/>
      <c r="DH30" s="53"/>
      <c r="DI30" s="64"/>
      <c r="DJ30" s="52"/>
      <c r="DK30" s="53"/>
      <c r="DL30" s="53"/>
      <c r="DM30" s="64"/>
      <c r="DN30" s="52"/>
      <c r="DO30" s="53"/>
      <c r="DP30" s="53"/>
      <c r="DQ30" s="64"/>
      <c r="DR30" s="52"/>
      <c r="DS30" s="53"/>
      <c r="DT30" s="53"/>
      <c r="DU30" s="64"/>
      <c r="DV30" s="52"/>
      <c r="DW30" s="53"/>
      <c r="DX30" s="53"/>
      <c r="DY30" s="64"/>
      <c r="DZ30" s="52"/>
      <c r="EA30" s="53"/>
      <c r="EB30" s="53"/>
      <c r="EC30" s="64"/>
      <c r="ED30" s="52"/>
      <c r="EE30" s="53"/>
      <c r="EF30" s="53"/>
      <c r="EG30" s="64"/>
      <c r="EH30" s="52"/>
      <c r="EI30" s="53"/>
      <c r="EJ30" s="53"/>
      <c r="EK30" s="64"/>
      <c r="EL30" s="52"/>
      <c r="EM30" s="53"/>
      <c r="EN30" s="53"/>
      <c r="EO30" s="64"/>
      <c r="EP30" s="52"/>
      <c r="EQ30" s="53"/>
      <c r="ER30" s="53"/>
      <c r="ES30" s="64"/>
      <c r="ET30" s="53"/>
      <c r="EU30" s="53"/>
      <c r="EV30" s="53"/>
      <c r="EW30" s="64"/>
    </row>
    <row r="31" spans="2:153" s="178" customFormat="1">
      <c r="B31" s="48" t="s">
        <v>139</v>
      </c>
      <c r="C31" s="173"/>
      <c r="D31" s="173"/>
      <c r="E31" s="173"/>
      <c r="F31" s="173"/>
      <c r="G31" s="173"/>
      <c r="H31" s="174">
        <v>30.753291000000001</v>
      </c>
      <c r="I31" s="174">
        <v>31.744399000000001</v>
      </c>
      <c r="J31" s="174">
        <v>32.258068000000002</v>
      </c>
      <c r="K31" s="174">
        <v>32.358854000000001</v>
      </c>
      <c r="L31" s="174">
        <v>32.480356</v>
      </c>
      <c r="M31" s="174">
        <v>32.616503999999999</v>
      </c>
      <c r="N31" s="174">
        <v>32.862633000000002</v>
      </c>
      <c r="O31" s="174">
        <v>34.374268999999998</v>
      </c>
      <c r="P31" s="174">
        <v>34.675640999999999</v>
      </c>
      <c r="Q31" s="174">
        <v>35.150570999999999</v>
      </c>
      <c r="R31" s="174">
        <v>35.423838000000003</v>
      </c>
      <c r="S31" s="174">
        <v>35.683633999999998</v>
      </c>
      <c r="T31" s="174">
        <v>36.531683000000001</v>
      </c>
      <c r="U31" s="174">
        <v>37.510331999999998</v>
      </c>
      <c r="V31" s="175">
        <v>37.899858999999999</v>
      </c>
      <c r="W31" s="176">
        <v>38.299999999999997</v>
      </c>
      <c r="X31" s="176">
        <v>38.700000000000003</v>
      </c>
      <c r="Y31" s="177">
        <v>39.1</v>
      </c>
      <c r="AA31" s="179"/>
      <c r="AC31" s="173"/>
      <c r="AD31" s="173"/>
      <c r="AE31" s="173"/>
      <c r="AF31" s="173"/>
      <c r="AG31" s="173"/>
      <c r="AH31" s="180"/>
      <c r="AI31" s="173"/>
      <c r="AJ31" s="173"/>
      <c r="AK31" s="173"/>
      <c r="AL31" s="173"/>
      <c r="AM31" s="180"/>
      <c r="AN31" s="173"/>
      <c r="AO31" s="173"/>
      <c r="AP31" s="173"/>
      <c r="AQ31" s="181"/>
      <c r="AS31" s="182">
        <f>W31</f>
        <v>38.299999999999997</v>
      </c>
      <c r="AT31" s="173"/>
      <c r="AU31" s="182">
        <f>X31</f>
        <v>38.700000000000003</v>
      </c>
      <c r="AV31" s="173"/>
      <c r="AW31" s="183"/>
      <c r="AY31" s="48" t="s">
        <v>139</v>
      </c>
      <c r="BA31" s="174">
        <v>32.305444999999999</v>
      </c>
      <c r="BB31" s="174">
        <v>32.353045000000002</v>
      </c>
      <c r="BC31" s="174">
        <v>32.375939000000002</v>
      </c>
      <c r="BD31" s="184"/>
      <c r="BE31" s="185">
        <v>32.431077000000002</v>
      </c>
      <c r="BF31" s="174">
        <v>32.477262000000003</v>
      </c>
      <c r="BG31" s="174">
        <v>32.498857000000001</v>
      </c>
      <c r="BH31" s="184">
        <v>32.513120999999998</v>
      </c>
      <c r="BI31" s="185">
        <v>32.537224999999999</v>
      </c>
      <c r="BJ31" s="174">
        <v>32.606335999999999</v>
      </c>
      <c r="BK31" s="174">
        <v>32.650153000000003</v>
      </c>
      <c r="BL31" s="184">
        <v>32.662340999999998</v>
      </c>
      <c r="BM31" s="185">
        <v>32.679805999999999</v>
      </c>
      <c r="BN31" s="174">
        <v>32.708646000000002</v>
      </c>
      <c r="BO31" s="174">
        <v>32.746366000000002</v>
      </c>
      <c r="BP31" s="184">
        <v>33.310063999999997</v>
      </c>
      <c r="BQ31" s="185">
        <v>34.32011</v>
      </c>
      <c r="BR31" s="174">
        <v>34.379195000000003</v>
      </c>
      <c r="BS31" s="174">
        <v>34.399388999999999</v>
      </c>
      <c r="BT31" s="184">
        <v>34.397261</v>
      </c>
      <c r="BU31" s="185">
        <v>34.402602000000002</v>
      </c>
      <c r="BV31" s="174">
        <v>34.462960000000002</v>
      </c>
      <c r="BW31" s="174">
        <v>34.788955000000001</v>
      </c>
      <c r="BX31" s="184">
        <v>34.989955999999999</v>
      </c>
      <c r="BY31" s="185">
        <v>35.023989</v>
      </c>
      <c r="BZ31" s="174">
        <v>35.064711000000003</v>
      </c>
      <c r="CA31" s="174">
        <v>35.237022000000003</v>
      </c>
      <c r="CB31" s="184">
        <v>35.274251999999997</v>
      </c>
      <c r="CC31" s="185">
        <v>35.329833999999998</v>
      </c>
      <c r="CD31" s="174">
        <v>35.427717999999999</v>
      </c>
      <c r="CE31" s="174">
        <v>35.441977999999999</v>
      </c>
      <c r="CF31" s="184">
        <v>35.493822000000002</v>
      </c>
      <c r="CG31" s="185">
        <v>35.504379999999998</v>
      </c>
      <c r="CH31" s="174">
        <v>35.521163000000001</v>
      </c>
      <c r="CI31" s="174">
        <v>35.562285000000003</v>
      </c>
      <c r="CJ31" s="184">
        <v>36.141047</v>
      </c>
      <c r="CK31" s="185">
        <v>36.301828</v>
      </c>
      <c r="CL31" s="174">
        <v>36.429937000000002</v>
      </c>
      <c r="CM31" s="174">
        <v>36.579408000000001</v>
      </c>
      <c r="CN31" s="184">
        <v>36.809454000000002</v>
      </c>
      <c r="CO31" s="185">
        <v>36.999547999999997</v>
      </c>
      <c r="CP31" s="174">
        <v>37.627637</v>
      </c>
      <c r="CQ31" s="174">
        <v>37.671751999999998</v>
      </c>
      <c r="CR31" s="184">
        <v>37.738112999999998</v>
      </c>
      <c r="CS31" s="185">
        <v>37.853254999999997</v>
      </c>
      <c r="CT31" s="174">
        <v>37.899430000000002</v>
      </c>
      <c r="CU31" s="174">
        <v>37.918391999999997</v>
      </c>
      <c r="CV31" s="184">
        <v>37.927340000000001</v>
      </c>
      <c r="CW31" s="176">
        <v>38.1</v>
      </c>
      <c r="CX31" s="176">
        <v>38.299999999999997</v>
      </c>
      <c r="CY31" s="176">
        <v>38.35</v>
      </c>
      <c r="CZ31" s="184">
        <f>($W31*4)-CY31-CX31-CW31</f>
        <v>38.449999999999996</v>
      </c>
      <c r="DB31" s="180"/>
      <c r="DC31" s="173"/>
      <c r="DD31" s="173"/>
      <c r="DE31" s="181"/>
      <c r="DF31" s="180"/>
      <c r="DG31" s="173"/>
      <c r="DH31" s="173"/>
      <c r="DI31" s="181"/>
      <c r="DJ31" s="180"/>
      <c r="DK31" s="173"/>
      <c r="DL31" s="173"/>
      <c r="DM31" s="181"/>
      <c r="DN31" s="180"/>
      <c r="DO31" s="173"/>
      <c r="DP31" s="173"/>
      <c r="DQ31" s="181"/>
      <c r="DR31" s="180"/>
      <c r="DS31" s="173"/>
      <c r="DT31" s="173"/>
      <c r="DU31" s="181"/>
      <c r="DV31" s="180"/>
      <c r="DW31" s="173"/>
      <c r="DX31" s="173"/>
      <c r="DY31" s="181"/>
      <c r="DZ31" s="180"/>
      <c r="EA31" s="173"/>
      <c r="EB31" s="173"/>
      <c r="EC31" s="181"/>
      <c r="ED31" s="180"/>
      <c r="EE31" s="173"/>
      <c r="EF31" s="173"/>
      <c r="EG31" s="181"/>
      <c r="EH31" s="180"/>
      <c r="EI31" s="173"/>
      <c r="EJ31" s="173"/>
      <c r="EK31" s="181"/>
      <c r="EL31" s="180"/>
      <c r="EM31" s="173"/>
      <c r="EN31" s="173"/>
      <c r="EO31" s="181"/>
      <c r="EP31" s="180"/>
      <c r="EQ31" s="173"/>
      <c r="ER31" s="173"/>
      <c r="ES31" s="181"/>
      <c r="ET31" s="173"/>
      <c r="EU31" s="173"/>
      <c r="EV31" s="173"/>
      <c r="EW31" s="181"/>
    </row>
    <row r="32" spans="2:153" s="178" customFormat="1">
      <c r="B32" s="48"/>
      <c r="C32" s="173"/>
      <c r="D32" s="173"/>
      <c r="E32" s="173"/>
      <c r="F32" s="173"/>
      <c r="G32" s="173"/>
      <c r="H32" s="174"/>
      <c r="I32" s="174"/>
      <c r="J32" s="174"/>
      <c r="K32" s="174"/>
      <c r="L32" s="174"/>
      <c r="M32" s="174"/>
      <c r="N32" s="174"/>
      <c r="O32" s="174"/>
      <c r="P32" s="174"/>
      <c r="Q32" s="174"/>
      <c r="R32" s="174"/>
      <c r="S32" s="174"/>
      <c r="T32" s="174"/>
      <c r="U32" s="174"/>
      <c r="V32" s="174"/>
      <c r="W32" s="174"/>
      <c r="X32" s="174"/>
      <c r="Y32" s="184"/>
      <c r="AA32" s="179"/>
      <c r="AC32" s="173"/>
      <c r="AD32" s="173"/>
      <c r="AE32" s="173"/>
      <c r="AF32" s="173"/>
      <c r="AG32" s="173"/>
      <c r="AH32" s="180"/>
      <c r="AI32" s="173"/>
      <c r="AJ32" s="173"/>
      <c r="AK32" s="173"/>
      <c r="AL32" s="173"/>
      <c r="AM32" s="180"/>
      <c r="AN32" s="173"/>
      <c r="AO32" s="173"/>
      <c r="AP32" s="173"/>
      <c r="AQ32" s="181"/>
      <c r="AS32" s="186"/>
      <c r="AT32" s="173"/>
      <c r="AU32" s="186"/>
      <c r="AV32" s="173"/>
      <c r="AW32" s="183"/>
      <c r="AY32" s="48"/>
      <c r="BA32" s="174"/>
      <c r="BB32" s="174"/>
      <c r="BC32" s="174"/>
      <c r="BD32" s="184"/>
      <c r="BE32" s="185"/>
      <c r="BF32" s="174"/>
      <c r="BG32" s="174"/>
      <c r="BH32" s="184"/>
      <c r="BI32" s="185"/>
      <c r="BJ32" s="174"/>
      <c r="BK32" s="174"/>
      <c r="BL32" s="184"/>
      <c r="BM32" s="187"/>
      <c r="BN32" s="188"/>
      <c r="BO32" s="188"/>
      <c r="BP32" s="189"/>
      <c r="BQ32" s="187"/>
      <c r="BR32" s="188"/>
      <c r="BS32" s="188"/>
      <c r="BT32" s="189"/>
      <c r="BU32" s="187"/>
      <c r="BV32" s="188"/>
      <c r="BW32" s="188"/>
      <c r="BX32" s="189"/>
      <c r="BY32" s="187"/>
      <c r="BZ32" s="188"/>
      <c r="CA32" s="188"/>
      <c r="CB32" s="189"/>
      <c r="CC32" s="187"/>
      <c r="CD32" s="188"/>
      <c r="CE32" s="188"/>
      <c r="CF32" s="189"/>
      <c r="CG32" s="187"/>
      <c r="CH32" s="188"/>
      <c r="CI32" s="188"/>
      <c r="CJ32" s="189"/>
      <c r="CK32" s="187"/>
      <c r="CL32" s="188"/>
      <c r="CM32" s="188"/>
      <c r="CN32" s="189"/>
      <c r="CO32" s="190"/>
      <c r="CP32" s="191"/>
      <c r="CQ32" s="191"/>
      <c r="CR32" s="189"/>
      <c r="CS32" s="190"/>
      <c r="CT32" s="191"/>
      <c r="CU32" s="191"/>
      <c r="CV32" s="189"/>
      <c r="CW32" s="191"/>
      <c r="CX32" s="191"/>
      <c r="CY32" s="191"/>
      <c r="CZ32" s="189"/>
      <c r="DB32" s="180"/>
      <c r="DC32" s="173"/>
      <c r="DD32" s="173"/>
      <c r="DE32" s="181"/>
      <c r="DF32" s="180"/>
      <c r="DG32" s="173"/>
      <c r="DH32" s="173"/>
      <c r="DI32" s="181"/>
      <c r="DJ32" s="180"/>
      <c r="DK32" s="173"/>
      <c r="DL32" s="173"/>
      <c r="DM32" s="181"/>
      <c r="DN32" s="180"/>
      <c r="DO32" s="173"/>
      <c r="DP32" s="173"/>
      <c r="DQ32" s="181"/>
      <c r="DR32" s="180"/>
      <c r="DS32" s="173"/>
      <c r="DT32" s="173"/>
      <c r="DU32" s="181"/>
      <c r="DV32" s="180"/>
      <c r="DW32" s="173"/>
      <c r="DX32" s="173"/>
      <c r="DY32" s="181"/>
      <c r="DZ32" s="180"/>
      <c r="EA32" s="173"/>
      <c r="EB32" s="173"/>
      <c r="EC32" s="181"/>
      <c r="ED32" s="180"/>
      <c r="EE32" s="173"/>
      <c r="EF32" s="173"/>
      <c r="EG32" s="181"/>
      <c r="EH32" s="180"/>
      <c r="EI32" s="173"/>
      <c r="EJ32" s="173"/>
      <c r="EK32" s="181"/>
      <c r="EL32" s="180"/>
      <c r="EM32" s="173"/>
      <c r="EN32" s="173"/>
      <c r="EO32" s="181"/>
      <c r="EP32" s="180"/>
      <c r="EQ32" s="173"/>
      <c r="ER32" s="173"/>
      <c r="ES32" s="181"/>
      <c r="ET32" s="173"/>
      <c r="EU32" s="173"/>
      <c r="EV32" s="173"/>
      <c r="EW32" s="181"/>
    </row>
    <row r="33" spans="2:153" s="198" customFormat="1">
      <c r="B33" s="192" t="s">
        <v>140</v>
      </c>
      <c r="C33" s="193"/>
      <c r="D33" s="193"/>
      <c r="E33" s="193"/>
      <c r="F33" s="193"/>
      <c r="G33" s="193"/>
      <c r="H33" s="194"/>
      <c r="I33" s="194"/>
      <c r="J33" s="194"/>
      <c r="K33" s="194"/>
      <c r="L33" s="194"/>
      <c r="M33" s="194"/>
      <c r="N33" s="194"/>
      <c r="O33" s="194"/>
      <c r="P33" s="195"/>
      <c r="Q33" s="194"/>
      <c r="R33" s="194"/>
      <c r="S33" s="194"/>
      <c r="T33" s="194"/>
      <c r="U33" s="196"/>
      <c r="V33" s="194"/>
      <c r="W33" s="194"/>
      <c r="X33" s="194"/>
      <c r="Y33" s="197"/>
      <c r="AA33" s="199"/>
      <c r="AC33" s="200"/>
      <c r="AD33" s="200"/>
      <c r="AE33" s="200"/>
      <c r="AF33" s="200"/>
      <c r="AG33" s="200"/>
      <c r="AH33" s="201"/>
      <c r="AI33" s="200"/>
      <c r="AJ33" s="200"/>
      <c r="AK33" s="200"/>
      <c r="AL33" s="200"/>
      <c r="AM33" s="201"/>
      <c r="AN33" s="200"/>
      <c r="AO33" s="200"/>
      <c r="AP33" s="200"/>
      <c r="AQ33" s="202"/>
      <c r="AS33" s="203"/>
      <c r="AT33" s="200"/>
      <c r="AU33" s="203"/>
      <c r="AV33" s="200"/>
      <c r="AW33" s="204"/>
      <c r="AY33" s="192" t="s">
        <v>140</v>
      </c>
      <c r="BA33" s="194"/>
      <c r="BB33" s="194"/>
      <c r="BC33" s="194"/>
      <c r="BD33" s="197"/>
      <c r="BE33" s="205"/>
      <c r="BF33" s="194"/>
      <c r="BG33" s="194"/>
      <c r="BH33" s="197"/>
      <c r="BI33" s="205"/>
      <c r="BJ33" s="194"/>
      <c r="BK33" s="194"/>
      <c r="BL33" s="197"/>
      <c r="BM33" s="205"/>
      <c r="BN33" s="194"/>
      <c r="BO33" s="194"/>
      <c r="BP33" s="197"/>
      <c r="BQ33" s="205"/>
      <c r="BR33" s="194"/>
      <c r="BS33" s="194"/>
      <c r="BT33" s="197"/>
      <c r="BU33" s="205"/>
      <c r="BV33" s="194"/>
      <c r="BW33" s="194"/>
      <c r="BX33" s="197"/>
      <c r="BY33" s="187"/>
      <c r="BZ33" s="188"/>
      <c r="CA33" s="188"/>
      <c r="CB33" s="189"/>
      <c r="CC33" s="187"/>
      <c r="CD33" s="188"/>
      <c r="CE33" s="188"/>
      <c r="CF33" s="189"/>
      <c r="CG33" s="187"/>
      <c r="CH33" s="188"/>
      <c r="CI33" s="188"/>
      <c r="CJ33" s="189"/>
      <c r="CK33" s="187"/>
      <c r="CL33" s="188"/>
      <c r="CM33" s="188"/>
      <c r="CN33" s="189"/>
      <c r="CO33" s="190"/>
      <c r="CP33" s="191"/>
      <c r="CQ33" s="191"/>
      <c r="CR33" s="189"/>
      <c r="CS33" s="190"/>
      <c r="CT33" s="191"/>
      <c r="CU33" s="191"/>
      <c r="CV33" s="189"/>
      <c r="CW33" s="191"/>
      <c r="CX33" s="191"/>
      <c r="CY33" s="191"/>
      <c r="CZ33" s="189"/>
      <c r="DB33" s="199"/>
      <c r="DE33" s="206"/>
      <c r="DF33" s="199"/>
      <c r="DI33" s="206"/>
      <c r="DJ33" s="199"/>
      <c r="DM33" s="206"/>
      <c r="DN33" s="199"/>
      <c r="DQ33" s="206"/>
      <c r="DR33" s="199"/>
      <c r="DU33" s="206"/>
      <c r="DV33" s="199"/>
      <c r="DY33" s="206"/>
      <c r="DZ33" s="199"/>
      <c r="EC33" s="206"/>
      <c r="ED33" s="199"/>
      <c r="EG33" s="206"/>
      <c r="EH33" s="199"/>
      <c r="EK33" s="206"/>
      <c r="EL33" s="199"/>
      <c r="EO33" s="206"/>
      <c r="EP33" s="199"/>
      <c r="ES33" s="206"/>
      <c r="EW33" s="206"/>
    </row>
    <row r="34" spans="2:153" s="198" customFormat="1">
      <c r="B34" s="207" t="s">
        <v>141</v>
      </c>
      <c r="C34" s="208"/>
      <c r="D34" s="208"/>
      <c r="E34" s="208"/>
      <c r="F34" s="208"/>
      <c r="G34" s="208"/>
      <c r="H34" s="209"/>
      <c r="I34" s="209"/>
      <c r="J34" s="209"/>
      <c r="K34" s="209"/>
      <c r="L34" s="209"/>
      <c r="M34" s="209"/>
      <c r="N34" s="209"/>
      <c r="O34" s="209"/>
      <c r="P34" s="209"/>
      <c r="Q34" s="209"/>
      <c r="R34" s="209"/>
      <c r="S34" s="209"/>
      <c r="T34" s="209"/>
      <c r="U34" s="210"/>
      <c r="V34" s="209"/>
      <c r="W34" s="209" cm="1">
        <f t="array" ref="W34">_xll.FDS("WSO-US","FE_ESTIMATE(SALES,MEAN,ANNUAL,2026,0,,,'')")</f>
        <v>7529.9477999999999</v>
      </c>
      <c r="X34" s="209" cm="1">
        <f t="array" ref="X34">_xll.FDS("WSO-US","FE_ESTIMATE(SALES,MEAN,ANNUAL,2027,0,,,'')")</f>
        <v>7902.7470000000003</v>
      </c>
      <c r="Y34" s="211" cm="1">
        <f t="array" ref="Y34">_xll.FDS("WSO-US","FE_ESTIMATE(SALES,MEAN,ANNUAL,2028,0,,,'')")</f>
        <v>8249.5439999999999</v>
      </c>
      <c r="AA34" s="199"/>
      <c r="AC34" s="212"/>
      <c r="AD34" s="212"/>
      <c r="AE34" s="212"/>
      <c r="AF34" s="212"/>
      <c r="AG34" s="212"/>
      <c r="AH34" s="213"/>
      <c r="AI34" s="212"/>
      <c r="AJ34" s="212"/>
      <c r="AK34" s="212"/>
      <c r="AL34" s="212"/>
      <c r="AM34" s="213"/>
      <c r="AN34" s="212"/>
      <c r="AO34" s="212">
        <f>(W34/V6-1)*100</f>
        <v>4.0150042338406022</v>
      </c>
      <c r="AP34" s="212">
        <f t="shared" ref="AP34:AQ37" si="59">(X34/W34-1)*100</f>
        <v>4.9508869105307829</v>
      </c>
      <c r="AQ34" s="214">
        <f t="shared" si="59"/>
        <v>4.3883095333812294</v>
      </c>
      <c r="AS34" s="215">
        <f>205/AS27</f>
        <v>13.194382705848888</v>
      </c>
      <c r="AT34" s="200"/>
      <c r="AU34" s="215">
        <f>205/AU27</f>
        <v>11.81540535354239</v>
      </c>
      <c r="AV34" s="200"/>
      <c r="AW34" s="204"/>
      <c r="AY34" s="207" t="s">
        <v>141</v>
      </c>
      <c r="BA34" s="209"/>
      <c r="BB34" s="209"/>
      <c r="BC34" s="209"/>
      <c r="BD34" s="211"/>
      <c r="BE34" s="216"/>
      <c r="BF34" s="209"/>
      <c r="BG34" s="209"/>
      <c r="BH34" s="211"/>
      <c r="BI34" s="209"/>
      <c r="BJ34" s="209"/>
      <c r="BK34" s="209"/>
      <c r="BL34" s="211"/>
      <c r="BM34" s="216"/>
      <c r="BN34" s="209"/>
      <c r="BO34" s="209"/>
      <c r="BP34" s="211"/>
      <c r="BQ34" s="216"/>
      <c r="BR34" s="209"/>
      <c r="BS34" s="209"/>
      <c r="BT34" s="211"/>
      <c r="BU34" s="216"/>
      <c r="BV34" s="209"/>
      <c r="BW34" s="209"/>
      <c r="BX34" s="211"/>
      <c r="BY34" s="216"/>
      <c r="BZ34" s="209"/>
      <c r="CA34" s="209"/>
      <c r="CB34" s="211"/>
      <c r="CC34" s="216"/>
      <c r="CD34" s="209"/>
      <c r="CE34" s="209"/>
      <c r="CF34" s="211"/>
      <c r="CG34" s="216"/>
      <c r="CH34" s="209"/>
      <c r="CI34" s="209"/>
      <c r="CJ34" s="211"/>
      <c r="CK34" s="216"/>
      <c r="CL34" s="209"/>
      <c r="CM34" s="209"/>
      <c r="CN34" s="211"/>
      <c r="CO34" s="216"/>
      <c r="CP34" s="209"/>
      <c r="CQ34" s="209"/>
      <c r="CR34" s="211"/>
      <c r="CS34" s="216"/>
      <c r="CT34" s="209"/>
      <c r="CU34" s="209"/>
      <c r="CV34" s="211"/>
      <c r="CW34" s="209" cm="1">
        <f t="array" ref="CW34">_xll.FDSZ("WSO-US","FE_ESTIMATE(SALES,MEAN,QUARTERLY,2026/1F,NOW,,,'')")</f>
        <v>1556.0923</v>
      </c>
      <c r="CX34" s="209" cm="1">
        <f t="array" ref="CX34">_xll.FDSZ("WSO-US","FE_ESTIMATE(SALES,MEAN,QUARTERLY,2026/2F,NOW,,,'')")</f>
        <v>2140.0337</v>
      </c>
      <c r="CY34" s="209" cm="1">
        <f t="array" ref="CY34">_xll.FDSZ("WSO-US","FE_ESTIMATE(SALES,MEAN,QUARTERLY,2026/3F,NOW,,,'')")</f>
        <v>2161.8975</v>
      </c>
      <c r="CZ34" s="211" cm="1">
        <f t="array" ref="CZ34">_xll.FDSZ("WSO-US","FE_ESTIMATE(SALES,MEAN,QUARTERLY,2026/4F,NOW,,,'')")</f>
        <v>1705.5392999999999</v>
      </c>
      <c r="DB34" s="213"/>
      <c r="DC34" s="212"/>
      <c r="DD34" s="212"/>
      <c r="DE34" s="214"/>
      <c r="DF34" s="213"/>
      <c r="DG34" s="212"/>
      <c r="DH34" s="212"/>
      <c r="DI34" s="214"/>
      <c r="DJ34" s="213"/>
      <c r="DK34" s="212"/>
      <c r="DL34" s="212"/>
      <c r="DM34" s="214"/>
      <c r="DN34" s="213"/>
      <c r="DO34" s="212"/>
      <c r="DP34" s="212"/>
      <c r="DQ34" s="214"/>
      <c r="DR34" s="213"/>
      <c r="DS34" s="212"/>
      <c r="DT34" s="212"/>
      <c r="DU34" s="214"/>
      <c r="DV34" s="213"/>
      <c r="DW34" s="212"/>
      <c r="DX34" s="212"/>
      <c r="DY34" s="214"/>
      <c r="DZ34" s="217"/>
      <c r="EA34" s="218"/>
      <c r="EB34" s="218"/>
      <c r="EC34" s="219"/>
      <c r="ED34" s="217"/>
      <c r="EE34" s="218"/>
      <c r="EF34" s="218"/>
      <c r="EG34" s="219"/>
      <c r="EH34" s="217"/>
      <c r="EI34" s="218"/>
      <c r="EJ34" s="218"/>
      <c r="EK34" s="219"/>
      <c r="EL34" s="217"/>
      <c r="EM34" s="218"/>
      <c r="EN34" s="218"/>
      <c r="EO34" s="219"/>
      <c r="EP34" s="217"/>
      <c r="EQ34" s="220"/>
      <c r="ER34" s="220"/>
      <c r="ES34" s="221"/>
      <c r="ET34" s="220">
        <f t="shared" ref="ET34:EV34" si="60">CW34/CS6-1</f>
        <v>1.6332394130702088E-2</v>
      </c>
      <c r="EU34" s="220">
        <f t="shared" si="60"/>
        <v>3.7621276137704607E-2</v>
      </c>
      <c r="EV34" s="220">
        <f t="shared" si="60"/>
        <v>4.5908210188170706E-2</v>
      </c>
      <c r="EW34" s="221">
        <f>CZ34/CV6-1</f>
        <v>8.0305138789566577E-2</v>
      </c>
    </row>
    <row r="35" spans="2:153" s="198" customFormat="1">
      <c r="B35" s="207" t="s">
        <v>142</v>
      </c>
      <c r="C35" s="208"/>
      <c r="D35" s="208"/>
      <c r="E35" s="208"/>
      <c r="F35" s="208"/>
      <c r="G35" s="208"/>
      <c r="H35" s="209"/>
      <c r="I35" s="209"/>
      <c r="J35" s="209"/>
      <c r="K35" s="209"/>
      <c r="L35" s="209"/>
      <c r="M35" s="209"/>
      <c r="N35" s="209"/>
      <c r="O35" s="209"/>
      <c r="P35" s="209"/>
      <c r="Q35" s="209"/>
      <c r="R35" s="209"/>
      <c r="S35" s="209"/>
      <c r="T35" s="209"/>
      <c r="U35" s="210"/>
      <c r="V35" s="209"/>
      <c r="W35" s="209" cm="1">
        <f t="array" ref="W35">_xll.FDS("WSO-US","FE_ESTIMATE(EBIT,MEAN,ANNUAL,2026,0,,,'')")</f>
        <v>771.32384999999999</v>
      </c>
      <c r="X35" s="209" cm="1">
        <f t="array" ref="X35">_xll.FDS("WSO-US","FE_ESTIMATE(EBIT,MEAN,ANNUAL,2027,0,,,'')")</f>
        <v>839.72910000000002</v>
      </c>
      <c r="Y35" s="211" cm="1">
        <f t="array" ref="Y35">_xll.FDS("WSO-US","FE_ESTIMATE(EBIT,MEAN,ANNUAL,2028,0,,,'')")</f>
        <v>902</v>
      </c>
      <c r="AA35" s="199"/>
      <c r="AC35" s="212"/>
      <c r="AD35" s="212"/>
      <c r="AE35" s="212"/>
      <c r="AF35" s="212"/>
      <c r="AG35" s="212"/>
      <c r="AH35" s="213"/>
      <c r="AI35" s="212"/>
      <c r="AJ35" s="212"/>
      <c r="AK35" s="212"/>
      <c r="AL35" s="212"/>
      <c r="AM35" s="213"/>
      <c r="AN35" s="212"/>
      <c r="AO35" s="212">
        <f>(W35/V16-1)*100</f>
        <v>7.0767074757025927</v>
      </c>
      <c r="AP35" s="212">
        <f t="shared" si="59"/>
        <v>8.8685511280378613</v>
      </c>
      <c r="AQ35" s="214">
        <f t="shared" si="59"/>
        <v>7.4155939099883605</v>
      </c>
      <c r="AS35" s="215"/>
      <c r="AT35" s="200"/>
      <c r="AU35" s="215"/>
      <c r="AV35" s="200"/>
      <c r="AW35" s="204"/>
      <c r="AY35" s="207" t="s">
        <v>142</v>
      </c>
      <c r="BA35" s="209"/>
      <c r="BB35" s="209"/>
      <c r="BC35" s="209"/>
      <c r="BD35" s="211"/>
      <c r="BE35" s="216"/>
      <c r="BF35" s="209"/>
      <c r="BG35" s="209"/>
      <c r="BH35" s="211"/>
      <c r="BI35" s="209"/>
      <c r="BJ35" s="209"/>
      <c r="BK35" s="209"/>
      <c r="BL35" s="211"/>
      <c r="BM35" s="216"/>
      <c r="BN35" s="209"/>
      <c r="BO35" s="209"/>
      <c r="BP35" s="211"/>
      <c r="BQ35" s="216"/>
      <c r="BR35" s="209"/>
      <c r="BS35" s="209"/>
      <c r="BT35" s="211"/>
      <c r="BU35" s="216"/>
      <c r="BV35" s="209"/>
      <c r="BW35" s="209"/>
      <c r="BX35" s="211"/>
      <c r="BY35" s="216"/>
      <c r="BZ35" s="209"/>
      <c r="CA35" s="209"/>
      <c r="CB35" s="211"/>
      <c r="CC35" s="216"/>
      <c r="CD35" s="209"/>
      <c r="CE35" s="209"/>
      <c r="CF35" s="211"/>
      <c r="CG35" s="216"/>
      <c r="CH35" s="209"/>
      <c r="CI35" s="209"/>
      <c r="CJ35" s="211"/>
      <c r="CK35" s="216"/>
      <c r="CL35" s="209"/>
      <c r="CM35" s="209"/>
      <c r="CN35" s="211"/>
      <c r="CO35" s="216"/>
      <c r="CP35" s="209"/>
      <c r="CQ35" s="209"/>
      <c r="CR35" s="211"/>
      <c r="CS35" s="216"/>
      <c r="CT35" s="209"/>
      <c r="CU35" s="209"/>
      <c r="CV35" s="211"/>
      <c r="CW35" s="209" cm="1">
        <f t="array" ref="CW35">_xll.FDSZ("WSO-US","FE_ESTIMATE(EBIT,MEAN,QUARTERLY,2026/1F,NOW,,,'')")</f>
        <v>116.60648</v>
      </c>
      <c r="CX35" s="209" cm="1">
        <f t="array" ref="CX35">_xll.FDSZ("WSO-US","FE_ESTIMATE(EBIT,MEAN,QUARTERLY,2026/2F,NOW,,,'')")</f>
        <v>266.42336999999998</v>
      </c>
      <c r="CY35" s="209" cm="1">
        <f t="array" ref="CY35">_xll.FDSZ("WSO-US","FE_ESTIMATE(EBIT,MEAN,QUARTERLY,2026/3F,NOW,,,'')")</f>
        <v>254.58241000000001</v>
      </c>
      <c r="CZ35" s="211" cm="1">
        <f t="array" ref="CZ35">_xll.FDSZ("WSO-US","FE_ESTIMATE(EBIT,MEAN,QUARTERLY,2026/4F,NOW,,,'')")</f>
        <v>134.29889</v>
      </c>
      <c r="DB35" s="199"/>
      <c r="DE35" s="206"/>
      <c r="DF35" s="213"/>
      <c r="DG35" s="212"/>
      <c r="DH35" s="212"/>
      <c r="DI35" s="214"/>
      <c r="DJ35" s="213"/>
      <c r="DK35" s="212"/>
      <c r="DL35" s="212"/>
      <c r="DM35" s="214"/>
      <c r="DN35" s="213"/>
      <c r="DO35" s="212"/>
      <c r="DP35" s="212"/>
      <c r="DQ35" s="214"/>
      <c r="DR35" s="213"/>
      <c r="DS35" s="212"/>
      <c r="DT35" s="212"/>
      <c r="DU35" s="214"/>
      <c r="DV35" s="213"/>
      <c r="DW35" s="212"/>
      <c r="DX35" s="212"/>
      <c r="DY35" s="214"/>
      <c r="DZ35" s="217"/>
      <c r="EA35" s="218"/>
      <c r="EB35" s="218"/>
      <c r="EC35" s="219"/>
      <c r="ED35" s="217"/>
      <c r="EE35" s="218"/>
      <c r="EF35" s="218"/>
      <c r="EG35" s="219"/>
      <c r="EH35" s="217"/>
      <c r="EI35" s="218"/>
      <c r="EJ35" s="218"/>
      <c r="EK35" s="219"/>
      <c r="EL35" s="217"/>
      <c r="EM35" s="218"/>
      <c r="EN35" s="218"/>
      <c r="EO35" s="219"/>
      <c r="EP35" s="217"/>
      <c r="EQ35" s="218"/>
      <c r="ER35" s="218"/>
      <c r="ES35" s="219"/>
      <c r="ET35" s="218">
        <f t="shared" ref="ET35:EW35" si="61">CW35/CS16-1</f>
        <v>3.9384604414019142E-2</v>
      </c>
      <c r="EU35" s="218">
        <f t="shared" si="61"/>
        <v>-2.0030345497280333E-2</v>
      </c>
      <c r="EV35" s="218">
        <f t="shared" si="61"/>
        <v>8.4427675688568682E-2</v>
      </c>
      <c r="EW35" s="219">
        <f t="shared" si="61"/>
        <v>0.32277686943503126</v>
      </c>
    </row>
    <row r="36" spans="2:153" s="198" customFormat="1">
      <c r="B36" s="207" t="s">
        <v>143</v>
      </c>
      <c r="C36" s="193"/>
      <c r="D36" s="193"/>
      <c r="E36" s="193"/>
      <c r="F36" s="193"/>
      <c r="G36" s="193"/>
      <c r="H36" s="222"/>
      <c r="I36" s="222"/>
      <c r="J36" s="222"/>
      <c r="K36" s="222"/>
      <c r="L36" s="222"/>
      <c r="M36" s="222"/>
      <c r="N36" s="222"/>
      <c r="O36" s="222"/>
      <c r="P36" s="222"/>
      <c r="Q36" s="222"/>
      <c r="R36" s="222"/>
      <c r="S36" s="222"/>
      <c r="T36" s="222"/>
      <c r="U36" s="223"/>
      <c r="V36" s="222"/>
      <c r="W36" s="222" cm="1">
        <f t="array" ref="W36">_xll.FDS("WSO-US","FE_ESTIMATE(EPS,MEAN,ANNUAL,2026,0,,,'')")</f>
        <v>13.012967</v>
      </c>
      <c r="X36" s="222" cm="1">
        <f t="array" ref="X36">_xll.FDS("WSO-US","FE_ESTIMATE(EPS,MEAN,ANNUAL,2027,0,,,'')")</f>
        <v>14.081305499999999</v>
      </c>
      <c r="Y36" s="224" cm="1">
        <f t="array" ref="Y36">_xll.FDS("WSO-US","FE_ESTIMATE(EPS,MEAN,ANNUAL,2028,0,,,'')")</f>
        <v>16.313334000000001</v>
      </c>
      <c r="AA36" s="199"/>
      <c r="AC36" s="225"/>
      <c r="AD36" s="212"/>
      <c r="AE36" s="212"/>
      <c r="AF36" s="212"/>
      <c r="AG36" s="212"/>
      <c r="AH36" s="213"/>
      <c r="AI36" s="212"/>
      <c r="AJ36" s="212"/>
      <c r="AK36" s="212"/>
      <c r="AL36" s="212"/>
      <c r="AM36" s="213"/>
      <c r="AN36" s="212"/>
      <c r="AO36" s="212">
        <f>(W36/V27-1)*100</f>
        <v>7.4576140228717058</v>
      </c>
      <c r="AP36" s="212">
        <f t="shared" si="59"/>
        <v>8.2097995022964341</v>
      </c>
      <c r="AQ36" s="214">
        <f t="shared" si="59"/>
        <v>15.851005434119747</v>
      </c>
      <c r="AS36" s="226"/>
      <c r="AT36" s="200"/>
      <c r="AU36" s="226"/>
      <c r="AV36" s="200"/>
      <c r="AW36" s="204"/>
      <c r="AY36" s="207" t="s">
        <v>143</v>
      </c>
      <c r="BA36" s="194"/>
      <c r="BB36" s="194"/>
      <c r="BC36" s="222"/>
      <c r="BD36" s="224"/>
      <c r="BE36" s="205"/>
      <c r="BF36" s="194"/>
      <c r="BG36" s="222"/>
      <c r="BH36" s="224"/>
      <c r="BI36" s="194"/>
      <c r="BJ36" s="194"/>
      <c r="BK36" s="222"/>
      <c r="BL36" s="224"/>
      <c r="BM36" s="205"/>
      <c r="BN36" s="194"/>
      <c r="BO36" s="222"/>
      <c r="BP36" s="224"/>
      <c r="BQ36" s="205"/>
      <c r="BR36" s="194"/>
      <c r="BS36" s="222"/>
      <c r="BT36" s="224"/>
      <c r="BU36" s="227"/>
      <c r="BV36" s="222"/>
      <c r="BW36" s="222"/>
      <c r="BX36" s="224"/>
      <c r="BY36" s="227"/>
      <c r="BZ36" s="222"/>
      <c r="CA36" s="222"/>
      <c r="CB36" s="224"/>
      <c r="CC36" s="227"/>
      <c r="CD36" s="222"/>
      <c r="CE36" s="222"/>
      <c r="CF36" s="224"/>
      <c r="CG36" s="227"/>
      <c r="CH36" s="222"/>
      <c r="CI36" s="222"/>
      <c r="CJ36" s="224"/>
      <c r="CK36" s="227"/>
      <c r="CL36" s="222"/>
      <c r="CM36" s="222"/>
      <c r="CN36" s="224"/>
      <c r="CO36" s="228"/>
      <c r="CP36" s="229"/>
      <c r="CQ36" s="229"/>
      <c r="CR36" s="224"/>
      <c r="CS36" s="228"/>
      <c r="CT36" s="229"/>
      <c r="CU36" s="229"/>
      <c r="CV36" s="224"/>
      <c r="CW36" s="229" cm="1">
        <f t="array" ref="CW36">_xll.FDSZ("WSO-US","FE_ESTIMATE(EPS,MEAN,QUARTERLY,2026/1F,NOW,,,'')")</f>
        <v>1.8780635999999999</v>
      </c>
      <c r="CX36" s="229" cm="1">
        <f t="array" ref="CX36">_xll.FDSZ("WSO-US","FE_ESTIMATE(EPS,MEAN,QUARTERLY,2026/2F,NOW,,,'')")</f>
        <v>4.5648039999999996</v>
      </c>
      <c r="CY36" s="229" cm="1">
        <f t="array" ref="CY36">_xll.FDSZ("WSO-US","FE_ESTIMATE(EPS,MEAN,QUARTERLY,2026/3F,NOW,,,'')")</f>
        <v>4.3355240000000004</v>
      </c>
      <c r="CZ36" s="224" cm="1">
        <f t="array" ref="CZ36">_xll.FDSZ("WSO-US","FE_ESTIMATE(EPS,MEAN,QUARTERLY,2026/4F,NOW,,,'')")</f>
        <v>2.1993496000000001</v>
      </c>
      <c r="DB36" s="199"/>
      <c r="DE36" s="206"/>
      <c r="DF36" s="213"/>
      <c r="DG36" s="212"/>
      <c r="DH36" s="212"/>
      <c r="DI36" s="214"/>
      <c r="DJ36" s="213"/>
      <c r="DK36" s="212"/>
      <c r="DL36" s="212"/>
      <c r="DM36" s="214"/>
      <c r="DN36" s="213"/>
      <c r="DO36" s="212"/>
      <c r="DP36" s="212"/>
      <c r="DQ36" s="214"/>
      <c r="DR36" s="213"/>
      <c r="DS36" s="212"/>
      <c r="DT36" s="212"/>
      <c r="DU36" s="214"/>
      <c r="DV36" s="213"/>
      <c r="DW36" s="212"/>
      <c r="DX36" s="212"/>
      <c r="DY36" s="214"/>
      <c r="DZ36" s="217"/>
      <c r="EA36" s="218"/>
      <c r="EB36" s="218"/>
      <c r="EC36" s="219"/>
      <c r="ED36" s="217"/>
      <c r="EE36" s="218"/>
      <c r="EF36" s="218"/>
      <c r="EG36" s="219"/>
      <c r="EH36" s="217"/>
      <c r="EI36" s="218"/>
      <c r="EJ36" s="218"/>
      <c r="EK36" s="219"/>
      <c r="EL36" s="217"/>
      <c r="EM36" s="218"/>
      <c r="EN36" s="218"/>
      <c r="EO36" s="219"/>
      <c r="EP36" s="217"/>
      <c r="EQ36" s="218"/>
      <c r="ER36" s="218"/>
      <c r="ES36" s="219"/>
      <c r="ET36" s="218">
        <f t="shared" ref="ET36:EW36" si="62">CW36/CS27-1</f>
        <v>-2.4670109934037288E-2</v>
      </c>
      <c r="EU36" s="218">
        <f t="shared" si="62"/>
        <v>9.03723250387789E-3</v>
      </c>
      <c r="EV36" s="218">
        <f t="shared" si="62"/>
        <v>8.9639552451135751E-2</v>
      </c>
      <c r="EW36" s="219">
        <f t="shared" si="62"/>
        <v>0.3085396968965417</v>
      </c>
    </row>
    <row r="37" spans="2:153" s="198" customFormat="1">
      <c r="B37" s="207" t="s">
        <v>144</v>
      </c>
      <c r="C37" s="193"/>
      <c r="D37" s="193"/>
      <c r="E37" s="193"/>
      <c r="F37" s="193"/>
      <c r="G37" s="193"/>
      <c r="H37" s="209"/>
      <c r="I37" s="209"/>
      <c r="J37" s="209"/>
      <c r="K37" s="209"/>
      <c r="L37" s="209"/>
      <c r="M37" s="209"/>
      <c r="N37" s="209"/>
      <c r="O37" s="209"/>
      <c r="P37" s="209"/>
      <c r="Q37" s="209"/>
      <c r="R37" s="209"/>
      <c r="S37" s="209"/>
      <c r="T37" s="209"/>
      <c r="U37" s="210"/>
      <c r="V37" s="209"/>
      <c r="W37" s="209" cm="1">
        <f t="array" ref="W37">_xll.FDS("WSO-US","FE_ESTIMATE(EBITDA,MEAN,ANNUAL,2026,0,,,'')")</f>
        <v>807.83090000000004</v>
      </c>
      <c r="X37" s="209" cm="1">
        <f t="array" ref="X37">_xll.FDS("WSO-US","FE_ESTIMATE(EBITDA,MEAN,ANNUAL,2027,0,,,'')")</f>
        <v>888.32227</v>
      </c>
      <c r="Y37" s="211" t="e" cm="1">
        <f t="array" ref="Y37">_xll.FDS("WSO-US","FE_ESTIMATE(EBITDA,MEAN,ANNUAL,2028,0,,,'')")</f>
        <v>#N/A</v>
      </c>
      <c r="AA37" s="199"/>
      <c r="AC37" s="200"/>
      <c r="AD37" s="200"/>
      <c r="AE37" s="200"/>
      <c r="AF37" s="200"/>
      <c r="AG37" s="212"/>
      <c r="AH37" s="213"/>
      <c r="AI37" s="212"/>
      <c r="AJ37" s="212"/>
      <c r="AK37" s="212"/>
      <c r="AL37" s="212"/>
      <c r="AM37" s="213"/>
      <c r="AN37" s="212"/>
      <c r="AO37" s="212">
        <f>(W37/V52-1)*100</f>
        <v>5.7233290450582341</v>
      </c>
      <c r="AP37" s="212">
        <f t="shared" si="59"/>
        <v>9.9638884821068316</v>
      </c>
      <c r="AQ37" s="214" t="e">
        <f t="shared" si="59"/>
        <v>#N/A</v>
      </c>
      <c r="AS37" s="215"/>
      <c r="AT37" s="200"/>
      <c r="AU37" s="215"/>
      <c r="AV37" s="200"/>
      <c r="AW37" s="204"/>
      <c r="AY37" s="207" t="s">
        <v>144</v>
      </c>
      <c r="BA37" s="209"/>
      <c r="BB37" s="209"/>
      <c r="BC37" s="209"/>
      <c r="BD37" s="211"/>
      <c r="BE37" s="216"/>
      <c r="BF37" s="209"/>
      <c r="BG37" s="209"/>
      <c r="BH37" s="211"/>
      <c r="BI37" s="209"/>
      <c r="BJ37" s="209"/>
      <c r="BK37" s="209"/>
      <c r="BL37" s="211"/>
      <c r="BM37" s="216"/>
      <c r="BN37" s="209"/>
      <c r="BO37" s="209"/>
      <c r="BP37" s="211"/>
      <c r="BQ37" s="216"/>
      <c r="BR37" s="209"/>
      <c r="BS37" s="209"/>
      <c r="BT37" s="211"/>
      <c r="BU37" s="216"/>
      <c r="BV37" s="209"/>
      <c r="BW37" s="209"/>
      <c r="BX37" s="211"/>
      <c r="BY37" s="216"/>
      <c r="BZ37" s="209"/>
      <c r="CA37" s="209"/>
      <c r="CB37" s="211"/>
      <c r="CC37" s="216"/>
      <c r="CD37" s="209"/>
      <c r="CE37" s="209"/>
      <c r="CF37" s="211"/>
      <c r="CG37" s="216"/>
      <c r="CH37" s="209"/>
      <c r="CI37" s="209"/>
      <c r="CJ37" s="211"/>
      <c r="CK37" s="216"/>
      <c r="CL37" s="209"/>
      <c r="CM37" s="209"/>
      <c r="CN37" s="211"/>
      <c r="CO37" s="216"/>
      <c r="CP37" s="209"/>
      <c r="CQ37" s="209"/>
      <c r="CR37" s="211"/>
      <c r="CS37" s="216"/>
      <c r="CT37" s="209"/>
      <c r="CU37" s="209"/>
      <c r="CV37" s="211"/>
      <c r="CW37" s="209" cm="1">
        <f t="array" ref="CW37">_xll.FDSZ("WSO-US","FE_ESTIMATE(EBITDA,MEAN,QUARTERLY,2026/1F,NOW,,,'')")</f>
        <v>128.48249999999999</v>
      </c>
      <c r="CX37" s="209" cm="1">
        <f t="array" ref="CX37">_xll.FDSZ("WSO-US","FE_ESTIMATE(EBITDA,MEAN,QUARTERLY,2026/2F,NOW,,,'')")</f>
        <v>276.88943</v>
      </c>
      <c r="CY37" s="209" cm="1">
        <f t="array" ref="CY37">_xll.FDSZ("WSO-US","FE_ESTIMATE(EBITDA,MEAN,QUARTERLY,2026/3F,NOW,,,'')")</f>
        <v>267.85741999999999</v>
      </c>
      <c r="CZ37" s="211" cm="1">
        <f t="array" ref="CZ37">_xll.FDSZ("WSO-US","FE_ESTIMATE(EBITDA,MEAN,QUARTERLY,2026/4F,NOW,,,'')")</f>
        <v>144.21700999999999</v>
      </c>
      <c r="DB37" s="199"/>
      <c r="DE37" s="206"/>
      <c r="DF37" s="199"/>
      <c r="DI37" s="206"/>
      <c r="DJ37" s="199"/>
      <c r="DM37" s="206"/>
      <c r="DN37" s="199"/>
      <c r="DQ37" s="206"/>
      <c r="DR37" s="199"/>
      <c r="DU37" s="206"/>
      <c r="DV37" s="199"/>
      <c r="DY37" s="206"/>
      <c r="DZ37" s="217"/>
      <c r="EA37" s="218"/>
      <c r="EB37" s="218"/>
      <c r="EC37" s="219"/>
      <c r="ED37" s="217"/>
      <c r="EE37" s="218"/>
      <c r="EF37" s="218"/>
      <c r="EG37" s="219"/>
      <c r="EH37" s="217"/>
      <c r="EI37" s="218"/>
      <c r="EJ37" s="218"/>
      <c r="EK37" s="219"/>
      <c r="EL37" s="217"/>
      <c r="EM37" s="218"/>
      <c r="EN37" s="218"/>
      <c r="EO37" s="219"/>
      <c r="EP37" s="217"/>
      <c r="EQ37" s="218"/>
      <c r="ER37" s="218"/>
      <c r="ES37" s="219"/>
      <c r="ET37" s="218">
        <f t="shared" ref="ET37:EW37" si="63">CW37/CS52-1</f>
        <v>4.4870491603301366E-2</v>
      </c>
      <c r="EU37" s="218">
        <f t="shared" si="63"/>
        <v>-2.0827465971660186E-2</v>
      </c>
      <c r="EV37" s="218">
        <f t="shared" si="63"/>
        <v>8.9936806982563011E-2</v>
      </c>
      <c r="EW37" s="219">
        <f t="shared" si="63"/>
        <v>0.28079049733570005</v>
      </c>
    </row>
    <row r="38" spans="2:153" ht="13.15">
      <c r="B38" s="230" t="s">
        <v>145</v>
      </c>
      <c r="S38" s="231"/>
      <c r="T38" s="231"/>
      <c r="Y38" s="120"/>
      <c r="AA38" s="163"/>
      <c r="AH38" s="119"/>
      <c r="AM38" s="119"/>
      <c r="AQ38" s="120"/>
      <c r="AR38" s="7"/>
      <c r="AS38" s="107"/>
      <c r="AU38" s="107"/>
      <c r="AW38" s="107"/>
      <c r="AY38" s="230" t="s">
        <v>145</v>
      </c>
      <c r="BD38" s="120"/>
      <c r="BE38" s="119"/>
      <c r="BH38" s="120"/>
      <c r="BI38" s="119"/>
      <c r="BL38" s="120"/>
      <c r="BM38" s="119"/>
      <c r="BP38" s="120"/>
      <c r="BQ38" s="119"/>
      <c r="BS38" s="19"/>
      <c r="BT38" s="19"/>
      <c r="BU38" s="119"/>
      <c r="BX38" s="120"/>
      <c r="BY38" s="119"/>
      <c r="CB38" s="120"/>
      <c r="CC38" s="232"/>
      <c r="CD38" s="233"/>
      <c r="CE38" s="233"/>
      <c r="CF38" s="234"/>
      <c r="CG38" s="232"/>
      <c r="CH38" s="233"/>
      <c r="CI38" s="233"/>
      <c r="CJ38" s="234"/>
      <c r="CK38" s="232"/>
      <c r="CL38" s="233"/>
      <c r="CM38" s="233"/>
      <c r="CN38" s="234"/>
      <c r="CO38" s="235"/>
      <c r="CP38" s="236"/>
      <c r="CQ38" s="236"/>
      <c r="CR38" s="234"/>
      <c r="CS38" s="235"/>
      <c r="CT38" s="236"/>
      <c r="CU38" s="236"/>
      <c r="CV38" s="234"/>
      <c r="CW38" s="236"/>
      <c r="CX38" s="236"/>
      <c r="CY38" s="236"/>
      <c r="CZ38" s="234"/>
      <c r="DB38" s="163"/>
      <c r="DE38" s="237"/>
      <c r="DF38" s="163"/>
      <c r="DI38" s="237"/>
      <c r="DJ38" s="163"/>
      <c r="DM38" s="237"/>
      <c r="DN38" s="163"/>
      <c r="DQ38" s="237"/>
      <c r="DR38" s="163"/>
      <c r="DU38" s="237"/>
      <c r="DV38" s="163"/>
      <c r="DY38" s="237"/>
      <c r="DZ38" s="163"/>
      <c r="EC38" s="237"/>
      <c r="ED38" s="163"/>
      <c r="EG38" s="237"/>
      <c r="EH38" s="163"/>
      <c r="EK38" s="237"/>
      <c r="EL38" s="163"/>
      <c r="EO38" s="237"/>
      <c r="EP38" s="163"/>
      <c r="ES38" s="237"/>
      <c r="EW38" s="237"/>
    </row>
    <row r="39" spans="2:153">
      <c r="B39" s="114" t="s">
        <v>117</v>
      </c>
      <c r="C39" s="19"/>
      <c r="D39" s="19"/>
      <c r="E39" s="19"/>
      <c r="F39" s="19"/>
      <c r="G39" s="19"/>
      <c r="H39" s="19">
        <f t="shared" ref="H39:T39" si="64">((H10/H6))</f>
        <v>0.24851541041434172</v>
      </c>
      <c r="I39" s="19">
        <f t="shared" si="64"/>
        <v>0.24195095625740157</v>
      </c>
      <c r="J39" s="19">
        <f t="shared" si="64"/>
        <v>0.24495809880507458</v>
      </c>
      <c r="K39" s="19">
        <f t="shared" si="64"/>
        <v>0.24700700208389323</v>
      </c>
      <c r="L39" s="19">
        <f t="shared" si="64"/>
        <v>0.24955369722012258</v>
      </c>
      <c r="M39" s="19">
        <f t="shared" si="64"/>
        <v>0.24987549464520359</v>
      </c>
      <c r="N39" s="19">
        <f t="shared" si="64"/>
        <v>0.25050743271176235</v>
      </c>
      <c r="O39" s="19">
        <f t="shared" si="64"/>
        <v>0.25125009539984688</v>
      </c>
      <c r="P39" s="19">
        <f t="shared" si="64"/>
        <v>0.24766841593992245</v>
      </c>
      <c r="Q39" s="19">
        <f t="shared" si="64"/>
        <v>0.247032005203635</v>
      </c>
      <c r="R39" s="19">
        <f t="shared" si="64"/>
        <v>0.27000321009293987</v>
      </c>
      <c r="S39" s="19">
        <f t="shared" si="64"/>
        <v>0.28345813725608793</v>
      </c>
      <c r="T39" s="19">
        <f t="shared" si="64"/>
        <v>0.27832164318271024</v>
      </c>
      <c r="U39" s="19">
        <f>((U10/U6))</f>
        <v>0.27375271992488637</v>
      </c>
      <c r="V39" s="19">
        <f>((V10/V6))</f>
        <v>0.28652202080590777</v>
      </c>
      <c r="W39" s="238">
        <v>0.28920000000000001</v>
      </c>
      <c r="X39" s="238">
        <v>0.29099999999999998</v>
      </c>
      <c r="Y39" s="239">
        <v>0.29285</v>
      </c>
      <c r="AA39" s="52"/>
      <c r="AB39" s="53"/>
      <c r="AC39" s="53"/>
      <c r="AD39" s="53"/>
      <c r="AE39" s="53"/>
      <c r="AF39" s="53"/>
      <c r="AG39" s="53"/>
      <c r="AH39" s="52"/>
      <c r="AI39" s="53"/>
      <c r="AJ39" s="53"/>
      <c r="AK39" s="53"/>
      <c r="AL39" s="53"/>
      <c r="AM39" s="52"/>
      <c r="AN39" s="53"/>
      <c r="AO39" s="53"/>
      <c r="AP39" s="53"/>
      <c r="AQ39" s="64"/>
      <c r="AR39" s="7"/>
      <c r="AS39" s="240">
        <v>0.28100000000000003</v>
      </c>
      <c r="AU39" s="240">
        <v>0.28420000000000001</v>
      </c>
      <c r="AW39" s="107"/>
      <c r="AY39" s="114" t="s">
        <v>117</v>
      </c>
      <c r="BA39" s="19"/>
      <c r="BB39" s="19"/>
      <c r="BC39" s="19"/>
      <c r="BD39" s="241"/>
      <c r="BE39" s="242">
        <f t="shared" ref="BE39:CQ39" si="65">((BE10/BE6))</f>
        <v>0.25816221080581281</v>
      </c>
      <c r="BF39" s="19">
        <f t="shared" si="65"/>
        <v>0.24523740047521789</v>
      </c>
      <c r="BG39" s="19">
        <f t="shared" si="65"/>
        <v>0.24694140756423888</v>
      </c>
      <c r="BH39" s="241">
        <f t="shared" si="65"/>
        <v>0.25109314285208428</v>
      </c>
      <c r="BI39" s="242">
        <f t="shared" si="65"/>
        <v>0.25534163941819821</v>
      </c>
      <c r="BJ39" s="19">
        <f t="shared" si="65"/>
        <v>0.24451452733163984</v>
      </c>
      <c r="BK39" s="19">
        <f t="shared" si="65"/>
        <v>0.24752745659151545</v>
      </c>
      <c r="BL39" s="241">
        <f t="shared" si="65"/>
        <v>0.25509762907845934</v>
      </c>
      <c r="BM39" s="242">
        <f t="shared" si="65"/>
        <v>0.2567621646724268</v>
      </c>
      <c r="BN39" s="19">
        <f t="shared" si="65"/>
        <v>0.24754374084976846</v>
      </c>
      <c r="BO39" s="19">
        <f t="shared" si="65"/>
        <v>0.24517908800568639</v>
      </c>
      <c r="BP39" s="241">
        <f t="shared" si="65"/>
        <v>0.25556621333651364</v>
      </c>
      <c r="BQ39" s="242">
        <f t="shared" si="65"/>
        <v>0.25510130296780514</v>
      </c>
      <c r="BR39" s="19">
        <f t="shared" si="65"/>
        <v>0.24479963503841326</v>
      </c>
      <c r="BS39" s="19">
        <f t="shared" si="65"/>
        <v>0.25037056127011659</v>
      </c>
      <c r="BT39" s="241">
        <f t="shared" si="65"/>
        <v>0.25747231485908778</v>
      </c>
      <c r="BU39" s="242">
        <f t="shared" si="65"/>
        <v>0.25720354179954857</v>
      </c>
      <c r="BV39" s="19">
        <f t="shared" si="65"/>
        <v>0.24337283705117313</v>
      </c>
      <c r="BW39" s="19">
        <f t="shared" si="65"/>
        <v>0.24447224382847704</v>
      </c>
      <c r="BX39" s="241">
        <f t="shared" si="65"/>
        <v>0.24904062705455024</v>
      </c>
      <c r="BY39" s="242">
        <f t="shared" si="65"/>
        <v>0.25203837501339071</v>
      </c>
      <c r="BZ39" s="19">
        <f t="shared" si="65"/>
        <v>0.24024022694658725</v>
      </c>
      <c r="CA39" s="19">
        <f t="shared" si="65"/>
        <v>0.24742771875046782</v>
      </c>
      <c r="CB39" s="241">
        <f t="shared" si="65"/>
        <v>0.25010651969835002</v>
      </c>
      <c r="CC39" s="242">
        <f t="shared" si="65"/>
        <v>0.26557012563835797</v>
      </c>
      <c r="CD39" s="19">
        <f t="shared" si="65"/>
        <v>0.26216993577128522</v>
      </c>
      <c r="CE39" s="19">
        <f t="shared" si="65"/>
        <v>0.27469399501505976</v>
      </c>
      <c r="CF39" s="241">
        <f t="shared" si="65"/>
        <v>0.27738720057677096</v>
      </c>
      <c r="CG39" s="242">
        <f t="shared" si="65"/>
        <v>0.30057759079005236</v>
      </c>
      <c r="CH39" s="19">
        <f t="shared" si="65"/>
        <v>0.28274848799416991</v>
      </c>
      <c r="CI39" s="19">
        <f t="shared" si="65"/>
        <v>0.27454224293593271</v>
      </c>
      <c r="CJ39" s="241">
        <f t="shared" si="65"/>
        <v>0.27939955338367828</v>
      </c>
      <c r="CK39" s="242">
        <f t="shared" si="65"/>
        <v>0.29429119957488559</v>
      </c>
      <c r="CL39" s="19">
        <f t="shared" si="65"/>
        <v>0.2850873952365453</v>
      </c>
      <c r="CM39" s="19">
        <f t="shared" si="65"/>
        <v>0.27069955732552192</v>
      </c>
      <c r="CN39" s="241">
        <f t="shared" si="65"/>
        <v>0.26453392814482557</v>
      </c>
      <c r="CO39" s="242">
        <f t="shared" si="65"/>
        <v>0.2814757401160774</v>
      </c>
      <c r="CP39" s="19">
        <f t="shared" si="65"/>
        <v>0.27568049406168665</v>
      </c>
      <c r="CQ39" s="19">
        <f t="shared" si="65"/>
        <v>0.26697795777477795</v>
      </c>
      <c r="CR39" s="241">
        <f>((CR10/CR6))</f>
        <v>0.27285368782219915</v>
      </c>
      <c r="CS39" s="242">
        <f>((CS10/CS6))</f>
        <v>0.28763896998600996</v>
      </c>
      <c r="CT39" s="19">
        <f>((CT10/CT6))</f>
        <v>0.29789831665569266</v>
      </c>
      <c r="CU39" s="19">
        <f>((CU10/CU6))</f>
        <v>0.28055471563929457</v>
      </c>
      <c r="CV39" s="241">
        <f>((CV10/CV6))</f>
        <v>0.27838989787535395</v>
      </c>
      <c r="CW39" s="243">
        <v>0.28189999999999998</v>
      </c>
      <c r="CX39" s="243">
        <v>0.29594999999999999</v>
      </c>
      <c r="CY39" s="243">
        <v>0.28970000000000001</v>
      </c>
      <c r="CZ39" s="241">
        <f>((CZ10/CZ6))</f>
        <v>0.28658657942513205</v>
      </c>
      <c r="DB39" s="163"/>
      <c r="DE39" s="237"/>
      <c r="DF39" s="163"/>
      <c r="DI39" s="237"/>
      <c r="DJ39" s="163"/>
      <c r="DM39" s="237"/>
      <c r="DN39" s="163"/>
      <c r="DQ39" s="237"/>
      <c r="DR39" s="163"/>
      <c r="DU39" s="237"/>
      <c r="DV39" s="163"/>
      <c r="DY39" s="237"/>
      <c r="DZ39" s="163"/>
      <c r="EC39" s="237"/>
      <c r="ED39" s="163"/>
      <c r="EG39" s="237"/>
      <c r="EH39" s="163"/>
      <c r="EK39" s="237"/>
      <c r="EL39" s="163"/>
      <c r="EO39" s="237"/>
      <c r="EP39" s="163"/>
      <c r="ES39" s="237"/>
      <c r="EW39" s="237"/>
    </row>
    <row r="40" spans="2:153">
      <c r="B40" s="114" t="s">
        <v>146</v>
      </c>
      <c r="C40" s="19"/>
      <c r="D40" s="19"/>
      <c r="E40" s="19"/>
      <c r="F40" s="19"/>
      <c r="G40" s="19"/>
      <c r="H40" s="174">
        <f t="shared" ref="H40:Y40" si="66">(((H13/H6))*100)</f>
        <v>24.457788558442768</v>
      </c>
      <c r="I40" s="174">
        <f t="shared" si="66"/>
        <v>23.731449492265085</v>
      </c>
      <c r="J40" s="174">
        <f t="shared" si="66"/>
        <v>24.022808568841107</v>
      </c>
      <c r="K40" s="174">
        <f t="shared" si="66"/>
        <v>24.246223894294396</v>
      </c>
      <c r="L40" s="174">
        <f t="shared" si="66"/>
        <v>24.490602175074184</v>
      </c>
      <c r="M40" s="174">
        <f t="shared" si="66"/>
        <v>24.512130920401397</v>
      </c>
      <c r="N40" s="174">
        <f t="shared" si="66"/>
        <v>24.543299043863883</v>
      </c>
      <c r="O40" s="174">
        <f t="shared" si="66"/>
        <v>24.639047668691671</v>
      </c>
      <c r="P40" s="174">
        <f t="shared" si="66"/>
        <v>24.25300218306284</v>
      </c>
      <c r="Q40" s="174">
        <f t="shared" si="66"/>
        <v>24.190670965046383</v>
      </c>
      <c r="R40" s="174">
        <f t="shared" si="66"/>
        <v>26.552452536482964</v>
      </c>
      <c r="S40" s="174">
        <f t="shared" si="66"/>
        <v>27.910269297135248</v>
      </c>
      <c r="T40" s="174">
        <f t="shared" si="66"/>
        <v>27.350408106135188</v>
      </c>
      <c r="U40" s="174">
        <f>(((U13/U6))*100)</f>
        <v>26.839431858768815</v>
      </c>
      <c r="V40" s="174">
        <f>(((V13/V6))*100)</f>
        <v>28.047833420128221</v>
      </c>
      <c r="W40" s="174">
        <f t="shared" si="66"/>
        <v>28.264388280295911</v>
      </c>
      <c r="X40" s="174">
        <f t="shared" si="66"/>
        <v>28.428179368517618</v>
      </c>
      <c r="Y40" s="184">
        <f t="shared" si="66"/>
        <v>28.599187135928943</v>
      </c>
      <c r="AA40" s="52"/>
      <c r="AB40" s="53"/>
      <c r="AC40" s="53"/>
      <c r="AD40" s="53"/>
      <c r="AE40" s="53"/>
      <c r="AF40" s="53"/>
      <c r="AG40" s="53"/>
      <c r="AH40" s="52"/>
      <c r="AI40" s="53"/>
      <c r="AJ40" s="53"/>
      <c r="AK40" s="53"/>
      <c r="AL40" s="53"/>
      <c r="AM40" s="52"/>
      <c r="AN40" s="53"/>
      <c r="AO40" s="53"/>
      <c r="AP40" s="53"/>
      <c r="AQ40" s="64"/>
      <c r="AR40" s="7"/>
      <c r="AS40" s="186">
        <f>(((AS13/AS6))*100)</f>
        <v>27.503452399188177</v>
      </c>
      <c r="AU40" s="186">
        <f>(((AU13/AU6))*100)</f>
        <v>27.814525618782408</v>
      </c>
      <c r="AW40" s="107"/>
      <c r="AY40" s="114" t="s">
        <v>146</v>
      </c>
      <c r="BA40" s="174"/>
      <c r="BB40" s="174"/>
      <c r="BC40" s="174"/>
      <c r="BD40" s="184"/>
      <c r="BE40" s="185">
        <f t="shared" ref="BE40:CZ40" si="67">(((BE13/BE6))*100)</f>
        <v>25.245002299214313</v>
      </c>
      <c r="BF40" s="174">
        <f t="shared" si="67"/>
        <v>24.132384205505964</v>
      </c>
      <c r="BG40" s="174">
        <f t="shared" si="67"/>
        <v>24.285733705348793</v>
      </c>
      <c r="BH40" s="184">
        <f t="shared" si="67"/>
        <v>24.567057896739986</v>
      </c>
      <c r="BI40" s="185">
        <f t="shared" si="67"/>
        <v>24.951962829330629</v>
      </c>
      <c r="BJ40" s="174">
        <f t="shared" si="67"/>
        <v>24.032657161560724</v>
      </c>
      <c r="BK40" s="174">
        <f t="shared" si="67"/>
        <v>24.347100300346749</v>
      </c>
      <c r="BL40" s="184">
        <f t="shared" si="67"/>
        <v>24.963797502438155</v>
      </c>
      <c r="BM40" s="185">
        <f t="shared" si="67"/>
        <v>25.061031194995962</v>
      </c>
      <c r="BN40" s="174">
        <f t="shared" si="67"/>
        <v>24.317906082180446</v>
      </c>
      <c r="BO40" s="174">
        <f t="shared" si="67"/>
        <v>24.064506002402418</v>
      </c>
      <c r="BP40" s="184">
        <f t="shared" si="67"/>
        <v>24.983797292462782</v>
      </c>
      <c r="BQ40" s="185">
        <f t="shared" si="67"/>
        <v>24.912446564074003</v>
      </c>
      <c r="BR40" s="174">
        <f t="shared" si="67"/>
        <v>24.068106153999683</v>
      </c>
      <c r="BS40" s="174">
        <f t="shared" si="67"/>
        <v>24.614759025221314</v>
      </c>
      <c r="BT40" s="184">
        <f t="shared" si="67"/>
        <v>25.182835918759316</v>
      </c>
      <c r="BU40" s="185">
        <f t="shared" si="67"/>
        <v>25.10099025210517</v>
      </c>
      <c r="BV40" s="174">
        <f t="shared" si="67"/>
        <v>23.908083513260166</v>
      </c>
      <c r="BW40" s="174">
        <f t="shared" si="67"/>
        <v>23.993648358502135</v>
      </c>
      <c r="BX40" s="184">
        <f t="shared" si="67"/>
        <v>24.295193110233473</v>
      </c>
      <c r="BY40" s="185">
        <f t="shared" si="67"/>
        <v>24.561179023881216</v>
      </c>
      <c r="BZ40" s="174">
        <f t="shared" si="67"/>
        <v>23.550430320536236</v>
      </c>
      <c r="CA40" s="174">
        <f t="shared" si="67"/>
        <v>24.322903210902016</v>
      </c>
      <c r="CB40" s="184">
        <f t="shared" si="67"/>
        <v>24.442720114729504</v>
      </c>
      <c r="CC40" s="185">
        <f t="shared" si="67"/>
        <v>25.949857321158536</v>
      </c>
      <c r="CD40" s="174">
        <f t="shared" si="67"/>
        <v>25.839676910101428</v>
      </c>
      <c r="CE40" s="174">
        <f t="shared" si="67"/>
        <v>27.076876126534234</v>
      </c>
      <c r="CF40" s="184">
        <f t="shared" si="67"/>
        <v>27.258981456677674</v>
      </c>
      <c r="CG40" s="185">
        <f t="shared" si="67"/>
        <v>29.559390116633956</v>
      </c>
      <c r="CH40" s="174">
        <f t="shared" si="67"/>
        <v>27.910092770725793</v>
      </c>
      <c r="CI40" s="174">
        <f t="shared" si="67"/>
        <v>27.058113877814865</v>
      </c>
      <c r="CJ40" s="184">
        <f t="shared" si="67"/>
        <v>27.418649994339823</v>
      </c>
      <c r="CK40" s="185">
        <f t="shared" si="67"/>
        <v>28.901402710234038</v>
      </c>
      <c r="CL40" s="174">
        <f t="shared" si="67"/>
        <v>28.087788629932646</v>
      </c>
      <c r="CM40" s="174">
        <f t="shared" si="67"/>
        <v>26.656620487153493</v>
      </c>
      <c r="CN40" s="184">
        <f t="shared" si="67"/>
        <v>25.849349767994823</v>
      </c>
      <c r="CO40" s="185">
        <f t="shared" si="67"/>
        <v>27.516132680635224</v>
      </c>
      <c r="CP40" s="174">
        <f t="shared" si="67"/>
        <v>27.100098722589522</v>
      </c>
      <c r="CQ40" s="174">
        <f t="shared" si="67"/>
        <v>26.214563090615162</v>
      </c>
      <c r="CR40" s="184">
        <f t="shared" si="67"/>
        <v>26.687237237750878</v>
      </c>
      <c r="CS40" s="185">
        <f>(((CS13/CS6))*100)</f>
        <v>28.060017530040771</v>
      </c>
      <c r="CT40" s="174">
        <f>(((CT13/CT6))*100)</f>
        <v>29.26084709291219</v>
      </c>
      <c r="CU40" s="174">
        <f>(((CU13/CU6))*100)</f>
        <v>27.523639275183182</v>
      </c>
      <c r="CV40" s="184">
        <f t="shared" si="67"/>
        <v>27.137678566112459</v>
      </c>
      <c r="CW40" s="174">
        <f t="shared" si="67"/>
        <v>27.425769190768186</v>
      </c>
      <c r="CX40" s="174">
        <f t="shared" si="67"/>
        <v>29.054930807199124</v>
      </c>
      <c r="CY40" s="174">
        <f t="shared" si="67"/>
        <v>28.436406140057425</v>
      </c>
      <c r="CZ40" s="184">
        <f t="shared" si="67"/>
        <v>27.797175753179289</v>
      </c>
      <c r="DB40" s="163"/>
      <c r="DE40" s="237"/>
      <c r="DF40" s="163"/>
      <c r="DI40" s="237"/>
      <c r="DJ40" s="244">
        <f>+BX40-BT40</f>
        <v>-0.88764280852584321</v>
      </c>
      <c r="DM40" s="237"/>
      <c r="DN40" s="163"/>
      <c r="DQ40" s="237"/>
      <c r="DR40" s="163"/>
      <c r="DU40" s="237"/>
      <c r="DV40" s="163"/>
      <c r="DY40" s="237"/>
      <c r="DZ40" s="163"/>
      <c r="EC40" s="237"/>
      <c r="ED40" s="163"/>
      <c r="EG40" s="237"/>
      <c r="EH40" s="163"/>
      <c r="EK40" s="237"/>
      <c r="EL40" s="163"/>
      <c r="EO40" s="237"/>
      <c r="EP40" s="163"/>
      <c r="ES40" s="237"/>
      <c r="EW40" s="237"/>
    </row>
    <row r="41" spans="2:153">
      <c r="B41" s="114" t="s">
        <v>121</v>
      </c>
      <c r="C41" s="174"/>
      <c r="D41" s="174"/>
      <c r="E41" s="174"/>
      <c r="F41" s="174"/>
      <c r="G41" s="174"/>
      <c r="H41" s="174">
        <f t="shared" ref="H41:T41" si="68">(((H14/H6))*100)</f>
        <v>17.77323148045225</v>
      </c>
      <c r="I41" s="174">
        <f t="shared" si="68"/>
        <v>17.17763611864865</v>
      </c>
      <c r="J41" s="174">
        <f t="shared" si="68"/>
        <v>16.777681903545773</v>
      </c>
      <c r="K41" s="174">
        <f t="shared" si="68"/>
        <v>16.495079274135893</v>
      </c>
      <c r="L41" s="174">
        <f t="shared" si="68"/>
        <v>16.303672118250365</v>
      </c>
      <c r="M41" s="174">
        <f t="shared" si="68"/>
        <v>16.323161407746863</v>
      </c>
      <c r="N41" s="174">
        <f t="shared" si="68"/>
        <v>16.482690400982968</v>
      </c>
      <c r="O41" s="174">
        <f t="shared" si="68"/>
        <v>16.659551542640266</v>
      </c>
      <c r="P41" s="174">
        <f t="shared" si="68"/>
        <v>16.777091549865609</v>
      </c>
      <c r="Q41" s="174">
        <f t="shared" si="68"/>
        <v>16.47997755853298</v>
      </c>
      <c r="R41" s="174">
        <f t="shared" si="68"/>
        <v>16.851650395401926</v>
      </c>
      <c r="S41" s="174">
        <f t="shared" si="68"/>
        <v>16.740286134392324</v>
      </c>
      <c r="T41" s="174">
        <f t="shared" si="68"/>
        <v>16.79772293649701</v>
      </c>
      <c r="U41" s="245">
        <f>(((U14/U6))*100)</f>
        <v>16.978014960522124</v>
      </c>
      <c r="V41" s="245">
        <f>(((V14/V6))*100)</f>
        <v>18.480845497279429</v>
      </c>
      <c r="W41" s="246">
        <v>18.184999999999999</v>
      </c>
      <c r="X41" s="246">
        <v>17.96</v>
      </c>
      <c r="Y41" s="247">
        <v>17.695</v>
      </c>
      <c r="AA41" s="52"/>
      <c r="AB41" s="53"/>
      <c r="AC41" s="53"/>
      <c r="AD41" s="53"/>
      <c r="AE41" s="53"/>
      <c r="AF41" s="53"/>
      <c r="AG41" s="53"/>
      <c r="AH41" s="52"/>
      <c r="AI41" s="53"/>
      <c r="AJ41" s="53"/>
      <c r="AK41" s="53"/>
      <c r="AL41" s="53"/>
      <c r="AM41" s="52"/>
      <c r="AN41" s="53"/>
      <c r="AO41" s="53"/>
      <c r="AP41" s="53"/>
      <c r="AQ41" s="64"/>
      <c r="AR41" s="7"/>
      <c r="AS41" s="248">
        <v>16.5</v>
      </c>
      <c r="AU41" s="248">
        <v>16.173999999999999</v>
      </c>
      <c r="AW41" s="107"/>
      <c r="AY41" s="114" t="s">
        <v>121</v>
      </c>
      <c r="BA41" s="174"/>
      <c r="BB41" s="174"/>
      <c r="BC41" s="174"/>
      <c r="BD41" s="184"/>
      <c r="BE41" s="185">
        <f t="shared" ref="BE41:CQ41" si="69">(((BE14/BE6))*100)</f>
        <v>19.434170774761057</v>
      </c>
      <c r="BF41" s="174">
        <f t="shared" si="69"/>
        <v>13.926807956914891</v>
      </c>
      <c r="BG41" s="174">
        <f t="shared" si="69"/>
        <v>14.882261183403397</v>
      </c>
      <c r="BH41" s="184">
        <f t="shared" si="69"/>
        <v>18.570151446754668</v>
      </c>
      <c r="BI41" s="185">
        <f t="shared" si="69"/>
        <v>19.000991280490094</v>
      </c>
      <c r="BJ41" s="174">
        <f t="shared" si="69"/>
        <v>14.349965210159457</v>
      </c>
      <c r="BK41" s="174">
        <f t="shared" si="69"/>
        <v>14.735681967593489</v>
      </c>
      <c r="BL41" s="184">
        <f t="shared" si="69"/>
        <v>18.607262828490462</v>
      </c>
      <c r="BM41" s="185">
        <f t="shared" si="69"/>
        <v>19.476891852378468</v>
      </c>
      <c r="BN41" s="174">
        <f t="shared" si="69"/>
        <v>14.180311680006019</v>
      </c>
      <c r="BO41" s="174">
        <f t="shared" si="69"/>
        <v>14.942204359010436</v>
      </c>
      <c r="BP41" s="184">
        <f t="shared" si="69"/>
        <v>18.785393194344358</v>
      </c>
      <c r="BQ41" s="185">
        <f t="shared" si="69"/>
        <v>19.268123426331542</v>
      </c>
      <c r="BR41" s="174">
        <f t="shared" si="69"/>
        <v>13.99947326678887</v>
      </c>
      <c r="BS41" s="174">
        <f t="shared" si="69"/>
        <v>15.463496724940526</v>
      </c>
      <c r="BT41" s="184">
        <f t="shared" si="69"/>
        <v>19.36123939047296</v>
      </c>
      <c r="BU41" s="185">
        <f t="shared" si="69"/>
        <v>19.336009226031326</v>
      </c>
      <c r="BV41" s="174">
        <f t="shared" si="69"/>
        <v>14.327253483242385</v>
      </c>
      <c r="BW41" s="174">
        <f t="shared" si="69"/>
        <v>15.262722101346677</v>
      </c>
      <c r="BX41" s="184">
        <f t="shared" si="69"/>
        <v>19.658868895800207</v>
      </c>
      <c r="BY41" s="185">
        <f t="shared" si="69"/>
        <v>20.174060363673878</v>
      </c>
      <c r="BZ41" s="174">
        <f t="shared" si="69"/>
        <v>14.317186629629219</v>
      </c>
      <c r="CA41" s="174">
        <f t="shared" si="69"/>
        <v>14.384145988308491</v>
      </c>
      <c r="CB41" s="184">
        <f t="shared" si="69"/>
        <v>18.582491279240955</v>
      </c>
      <c r="CC41" s="185">
        <f t="shared" si="69"/>
        <v>19.15399632784623</v>
      </c>
      <c r="CD41" s="174">
        <f t="shared" si="69"/>
        <v>14.418859886248134</v>
      </c>
      <c r="CE41" s="174">
        <f t="shared" si="69"/>
        <v>15.815488769298694</v>
      </c>
      <c r="CF41" s="184">
        <f t="shared" si="69"/>
        <v>19.319515962073332</v>
      </c>
      <c r="CG41" s="185">
        <f t="shared" si="69"/>
        <v>18.598029627782118</v>
      </c>
      <c r="CH41" s="174">
        <f t="shared" si="69"/>
        <v>14.751131221719454</v>
      </c>
      <c r="CI41" s="174">
        <f t="shared" si="69"/>
        <v>15.793429204104928</v>
      </c>
      <c r="CJ41" s="184">
        <f t="shared" si="69"/>
        <v>18.853570938444481</v>
      </c>
      <c r="CK41" s="185">
        <f t="shared" si="69"/>
        <v>18.512150781515516</v>
      </c>
      <c r="CL41" s="174">
        <f t="shared" si="69"/>
        <v>15.18433575426692</v>
      </c>
      <c r="CM41" s="174">
        <f t="shared" si="69"/>
        <v>15.037955281179402</v>
      </c>
      <c r="CN41" s="184">
        <f t="shared" si="69"/>
        <v>19.489869304895159</v>
      </c>
      <c r="CO41" s="185">
        <f t="shared" si="69"/>
        <v>19.779538668273492</v>
      </c>
      <c r="CP41" s="174">
        <f t="shared" si="69"/>
        <v>14.912580025129389</v>
      </c>
      <c r="CQ41" s="174">
        <f t="shared" si="69"/>
        <v>15.109609284289704</v>
      </c>
      <c r="CR41" s="184">
        <f>(((CR14/CR6))*100)</f>
        <v>19.298536684375144</v>
      </c>
      <c r="CS41" s="185">
        <f>(((CS14/CS6))*100)</f>
        <v>21.068770794063823</v>
      </c>
      <c r="CT41" s="174">
        <f>(((CT14/CT6))*100)</f>
        <v>16.436874346042217</v>
      </c>
      <c r="CU41" s="174">
        <f>(((CU14/CU6))*100)</f>
        <v>16.625745946429735</v>
      </c>
      <c r="CV41" s="184">
        <f>(((CV14/CV6))*100)</f>
        <v>21.070057013207226</v>
      </c>
      <c r="CW41" s="176">
        <v>21.574999999999999</v>
      </c>
      <c r="CX41" s="176">
        <v>16.215</v>
      </c>
      <c r="CY41" s="176">
        <v>16.149999999999999</v>
      </c>
      <c r="CZ41" s="184">
        <f>(((CZ14/CZ6))*100)</f>
        <v>20.239563104486962</v>
      </c>
      <c r="DB41" s="163"/>
      <c r="DE41" s="237"/>
      <c r="DF41" s="163"/>
      <c r="DI41" s="237"/>
      <c r="DJ41" s="244"/>
      <c r="DM41" s="237"/>
      <c r="DN41" s="163"/>
      <c r="DQ41" s="237"/>
      <c r="DR41" s="163"/>
      <c r="DU41" s="237"/>
      <c r="DV41" s="163"/>
      <c r="DY41" s="237"/>
      <c r="DZ41" s="163"/>
      <c r="EC41" s="237"/>
      <c r="ED41" s="163"/>
      <c r="EG41" s="237"/>
      <c r="EH41" s="163"/>
      <c r="EK41" s="237"/>
      <c r="EL41" s="163"/>
      <c r="EO41" s="237"/>
      <c r="EP41" s="163"/>
      <c r="ES41" s="237"/>
      <c r="EW41" s="237"/>
    </row>
    <row r="42" spans="2:153" outlineLevel="1">
      <c r="B42" s="249" t="s">
        <v>147</v>
      </c>
      <c r="C42" s="174"/>
      <c r="D42" s="174"/>
      <c r="E42" s="174"/>
      <c r="F42" s="174"/>
      <c r="G42" s="174"/>
      <c r="H42" s="174"/>
      <c r="I42" s="174"/>
      <c r="J42" s="174"/>
      <c r="K42" s="174"/>
      <c r="L42" s="174"/>
      <c r="M42" s="174"/>
      <c r="N42" s="174"/>
      <c r="O42" s="174"/>
      <c r="P42" s="174"/>
      <c r="Q42" s="174"/>
      <c r="R42" s="174"/>
      <c r="S42" s="174"/>
      <c r="T42" s="174"/>
      <c r="U42" s="245"/>
      <c r="V42" s="245"/>
      <c r="W42" s="246"/>
      <c r="X42" s="246"/>
      <c r="Y42" s="247"/>
      <c r="AA42" s="52"/>
      <c r="AB42" s="53"/>
      <c r="AC42" s="53"/>
      <c r="AD42" s="53"/>
      <c r="AE42" s="53"/>
      <c r="AF42" s="53"/>
      <c r="AG42" s="53"/>
      <c r="AH42" s="52"/>
      <c r="AI42" s="53"/>
      <c r="AJ42" s="53"/>
      <c r="AK42" s="53"/>
      <c r="AL42" s="53"/>
      <c r="AM42" s="52"/>
      <c r="AN42" s="53"/>
      <c r="AO42" s="53"/>
      <c r="AP42" s="53"/>
      <c r="AQ42" s="64"/>
      <c r="AR42" s="7"/>
      <c r="AS42" s="248"/>
      <c r="AU42" s="248"/>
      <c r="AW42" s="107"/>
      <c r="AY42" s="249" t="s">
        <v>147</v>
      </c>
      <c r="BA42" s="174"/>
      <c r="BB42" s="174"/>
      <c r="BC42" s="174"/>
      <c r="BD42" s="184"/>
      <c r="BE42" s="185"/>
      <c r="BF42" s="174"/>
      <c r="BG42" s="174"/>
      <c r="BH42" s="184"/>
      <c r="BI42" s="185"/>
      <c r="BJ42" s="174"/>
      <c r="BK42" s="174"/>
      <c r="BL42" s="184"/>
      <c r="BM42" s="185"/>
      <c r="BN42" s="174"/>
      <c r="BO42" s="174"/>
      <c r="BP42" s="184"/>
      <c r="BQ42" s="185">
        <f>(BQ14/BM14-1)*100</f>
        <v>5.1084147253277701</v>
      </c>
      <c r="BR42" s="174">
        <f>(BR14/BN14-1)*100</f>
        <v>3.1210965566793814</v>
      </c>
      <c r="BS42" s="174">
        <f>(BS14/BO14-1)*100</f>
        <v>9.0786379865888556</v>
      </c>
      <c r="BT42" s="184">
        <f>(BT14/BP14-1)*100</f>
        <v>5.9490163174280353</v>
      </c>
      <c r="BU42" s="185">
        <f>(BU14/BQ14-1)*100</f>
        <v>0.86146056213383115</v>
      </c>
      <c r="BV42" s="174">
        <f t="shared" ref="BV42:CZ42" si="70">(BV14/BR14-1)*100</f>
        <v>5.3447102268768365</v>
      </c>
      <c r="BW42" s="174">
        <f t="shared" si="70"/>
        <v>6.234282064588248</v>
      </c>
      <c r="BX42" s="184">
        <f t="shared" si="70"/>
        <v>9.8325978336190278</v>
      </c>
      <c r="BY42" s="185">
        <f>(BY14/BU14-1)*100</f>
        <v>12.947043404860281</v>
      </c>
      <c r="BZ42" s="174">
        <f t="shared" si="70"/>
        <v>-1.269912337381518</v>
      </c>
      <c r="CA42" s="174">
        <f t="shared" si="70"/>
        <v>3.8210068482212645</v>
      </c>
      <c r="CB42" s="184">
        <f t="shared" si="70"/>
        <v>1.7883826284955218</v>
      </c>
      <c r="CC42" s="185">
        <f t="shared" si="70"/>
        <v>6.9945817312892622</v>
      </c>
      <c r="CD42" s="174">
        <f t="shared" si="70"/>
        <v>37.435133700586952</v>
      </c>
      <c r="CE42" s="174">
        <f t="shared" si="70"/>
        <v>27.545162122178656</v>
      </c>
      <c r="CF42" s="184">
        <f t="shared" si="70"/>
        <v>36.122567866713261</v>
      </c>
      <c r="CG42" s="185">
        <f t="shared" si="70"/>
        <v>30.210650147969776</v>
      </c>
      <c r="CH42" s="174">
        <f t="shared" si="70"/>
        <v>18.018950344398309</v>
      </c>
      <c r="CI42" s="174">
        <f t="shared" si="70"/>
        <v>14.046438376572222</v>
      </c>
      <c r="CJ42" s="184">
        <f t="shared" si="70"/>
        <v>2.0651522673194478</v>
      </c>
      <c r="CK42" s="185">
        <f t="shared" si="70"/>
        <v>1.3068458535965721</v>
      </c>
      <c r="CL42" s="174">
        <f t="shared" si="70"/>
        <v>-3.3670846663892084</v>
      </c>
      <c r="CM42" s="174">
        <f t="shared" si="70"/>
        <v>-0.52500295469671832</v>
      </c>
      <c r="CN42" s="184">
        <f t="shared" si="70"/>
        <v>4.8115337266912084</v>
      </c>
      <c r="CO42" s="185">
        <f t="shared" si="70"/>
        <v>7.8350292798991195</v>
      </c>
      <c r="CP42" s="174">
        <f t="shared" si="70"/>
        <v>4.8902697637717596</v>
      </c>
      <c r="CQ42" s="174">
        <f t="shared" si="70"/>
        <v>2.0444980833807413</v>
      </c>
      <c r="CR42" s="184">
        <f t="shared" si="70"/>
        <v>8.3299995839480658</v>
      </c>
      <c r="CS42" s="185">
        <f>(CS14/CO14-1)*100</f>
        <v>4.2103324847842627</v>
      </c>
      <c r="CT42" s="174">
        <f t="shared" si="70"/>
        <v>6.2602459337552263</v>
      </c>
      <c r="CU42" s="174">
        <f t="shared" si="70"/>
        <v>5.2951684116026687</v>
      </c>
      <c r="CV42" s="184">
        <f t="shared" si="70"/>
        <v>-1.7264962820062069</v>
      </c>
      <c r="CW42" s="174">
        <f t="shared" si="70"/>
        <v>-0.66933565058080458</v>
      </c>
      <c r="CX42" s="174">
        <f t="shared" si="70"/>
        <v>-0.36335585942224302</v>
      </c>
      <c r="CY42" s="174">
        <f t="shared" si="70"/>
        <v>-0.91873138758349349</v>
      </c>
      <c r="CZ42" s="184">
        <f t="shared" si="70"/>
        <v>-0.51233857505750269</v>
      </c>
      <c r="DB42" s="163"/>
      <c r="DE42" s="237"/>
      <c r="DF42" s="163"/>
      <c r="DI42" s="237"/>
      <c r="DJ42" s="244"/>
      <c r="DM42" s="237"/>
      <c r="DN42" s="163"/>
      <c r="DQ42" s="237"/>
      <c r="DR42" s="163"/>
      <c r="DU42" s="237"/>
      <c r="DV42" s="163"/>
      <c r="DY42" s="237"/>
      <c r="DZ42" s="163"/>
      <c r="EC42" s="237"/>
      <c r="ED42" s="163"/>
      <c r="EG42" s="237"/>
      <c r="EH42" s="163"/>
      <c r="EK42" s="237"/>
      <c r="EL42" s="163"/>
      <c r="EO42" s="237"/>
      <c r="EP42" s="163"/>
      <c r="ES42" s="237"/>
      <c r="EW42" s="237"/>
    </row>
    <row r="43" spans="2:153">
      <c r="B43" s="114" t="s">
        <v>148</v>
      </c>
      <c r="C43" s="174"/>
      <c r="D43" s="174"/>
      <c r="E43" s="174"/>
      <c r="F43" s="174"/>
      <c r="G43" s="174"/>
      <c r="H43" s="174">
        <f t="shared" ref="H43:Y43" si="71">(((H16/H6))*100)</f>
        <v>6.6845570779905232</v>
      </c>
      <c r="I43" s="174">
        <f t="shared" si="71"/>
        <v>6.5538133736164355</v>
      </c>
      <c r="J43" s="174">
        <f t="shared" si="71"/>
        <v>7.2451266652953317</v>
      </c>
      <c r="K43" s="174">
        <f t="shared" si="71"/>
        <v>7.7511446201584997</v>
      </c>
      <c r="L43" s="174">
        <f t="shared" si="71"/>
        <v>8.1869300568238206</v>
      </c>
      <c r="M43" s="174">
        <f t="shared" si="71"/>
        <v>8.1889695126545377</v>
      </c>
      <c r="N43" s="174">
        <f t="shared" si="71"/>
        <v>8.1501074976594658</v>
      </c>
      <c r="O43" s="174">
        <f t="shared" si="71"/>
        <v>8.1836462998165889</v>
      </c>
      <c r="P43" s="174">
        <f t="shared" si="71"/>
        <v>7.6909047992584272</v>
      </c>
      <c r="Q43" s="174">
        <f t="shared" si="71"/>
        <v>7.9335254626772143</v>
      </c>
      <c r="R43" s="174">
        <f t="shared" si="71"/>
        <v>10.008101663133864</v>
      </c>
      <c r="S43" s="174">
        <f t="shared" si="71"/>
        <v>11.481640131398789</v>
      </c>
      <c r="T43" s="174">
        <f t="shared" si="71"/>
        <v>10.912073381809163</v>
      </c>
      <c r="U43" s="174">
        <f>(((U16/U6))*100)</f>
        <v>10.261780915653684</v>
      </c>
      <c r="V43" s="174">
        <f>(((V16/V6))*100)</f>
        <v>9.9505200095589554</v>
      </c>
      <c r="W43" s="174">
        <f t="shared" si="71"/>
        <v>10.421306828213247</v>
      </c>
      <c r="X43" s="174">
        <f t="shared" si="71"/>
        <v>10.79694720305352</v>
      </c>
      <c r="Y43" s="184">
        <f t="shared" si="71"/>
        <v>11.220310053751925</v>
      </c>
      <c r="AA43" s="52"/>
      <c r="AB43" s="53"/>
      <c r="AC43" s="53"/>
      <c r="AD43" s="53"/>
      <c r="AE43" s="53"/>
      <c r="AF43" s="53"/>
      <c r="AG43" s="53"/>
      <c r="AH43" s="52"/>
      <c r="AI43" s="53"/>
      <c r="AJ43" s="53"/>
      <c r="AK43" s="53"/>
      <c r="AL43" s="53"/>
      <c r="AM43" s="52"/>
      <c r="AN43" s="53"/>
      <c r="AO43" s="53"/>
      <c r="AP43" s="53"/>
      <c r="AQ43" s="64"/>
      <c r="AR43" s="7"/>
      <c r="AS43" s="186">
        <f>(((AS16/AS6))*100)</f>
        <v>11.314567474320164</v>
      </c>
      <c r="AU43" s="186">
        <f>(((AU16/AU6))*100)</f>
        <v>11.936825690336681</v>
      </c>
      <c r="AW43" s="107"/>
      <c r="AY43" s="114" t="s">
        <v>148</v>
      </c>
      <c r="BA43" s="174"/>
      <c r="BB43" s="174"/>
      <c r="BC43" s="174"/>
      <c r="BD43" s="184"/>
      <c r="BE43" s="185">
        <f t="shared" ref="BE43:CZ43" si="72">(((BE16/BE6))*100)</f>
        <v>5.810831524453258</v>
      </c>
      <c r="BF43" s="174">
        <f t="shared" si="72"/>
        <v>10.20557624859107</v>
      </c>
      <c r="BG43" s="174">
        <f t="shared" si="72"/>
        <v>9.4034725219453925</v>
      </c>
      <c r="BH43" s="184">
        <f t="shared" si="72"/>
        <v>5.9969064499853193</v>
      </c>
      <c r="BI43" s="185">
        <f t="shared" si="72"/>
        <v>5.9509715488405313</v>
      </c>
      <c r="BJ43" s="174">
        <f t="shared" si="72"/>
        <v>9.682691951401269</v>
      </c>
      <c r="BK43" s="174">
        <f t="shared" si="72"/>
        <v>9.6114183327532601</v>
      </c>
      <c r="BL43" s="184">
        <f t="shared" si="72"/>
        <v>6.3565346739476949</v>
      </c>
      <c r="BM43" s="185">
        <f t="shared" si="72"/>
        <v>5.5841393426174948</v>
      </c>
      <c r="BN43" s="174">
        <f t="shared" si="72"/>
        <v>10.137594402174425</v>
      </c>
      <c r="BO43" s="174">
        <f t="shared" si="72"/>
        <v>9.3088677454535578</v>
      </c>
      <c r="BP43" s="184">
        <f t="shared" si="72"/>
        <v>6.3634902446738586</v>
      </c>
      <c r="BQ43" s="185">
        <f t="shared" si="72"/>
        <v>5.8211028333317119</v>
      </c>
      <c r="BR43" s="174">
        <f t="shared" si="72"/>
        <v>10.305512765777046</v>
      </c>
      <c r="BS43" s="174">
        <f t="shared" si="72"/>
        <v>9.4364459451222107</v>
      </c>
      <c r="BT43" s="184">
        <f t="shared" si="72"/>
        <v>5.9013886451076649</v>
      </c>
      <c r="BU43" s="185">
        <f t="shared" si="72"/>
        <v>5.9200367666797655</v>
      </c>
      <c r="BV43" s="174">
        <f t="shared" si="72"/>
        <v>9.7969609010871519</v>
      </c>
      <c r="BW43" s="174">
        <f t="shared" si="72"/>
        <v>8.9839882716868082</v>
      </c>
      <c r="BX43" s="184">
        <f t="shared" si="72"/>
        <v>4.8523987820743031</v>
      </c>
      <c r="BY43" s="185">
        <f t="shared" si="72"/>
        <v>4.487698332400929</v>
      </c>
      <c r="BZ43" s="174">
        <f t="shared" si="72"/>
        <v>9.5359621067076947</v>
      </c>
      <c r="CA43" s="174">
        <f t="shared" si="72"/>
        <v>10.20263934179796</v>
      </c>
      <c r="CB43" s="184">
        <f t="shared" si="72"/>
        <v>6.0413989240644392</v>
      </c>
      <c r="CC43" s="185">
        <f t="shared" si="72"/>
        <v>7.2069978646584181</v>
      </c>
      <c r="CD43" s="174">
        <f t="shared" si="72"/>
        <v>11.720280703271989</v>
      </c>
      <c r="CE43" s="174">
        <f t="shared" si="72"/>
        <v>11.601177850618964</v>
      </c>
      <c r="CF43" s="184">
        <f t="shared" si="72"/>
        <v>8.1400125011161659</v>
      </c>
      <c r="CG43" s="185">
        <f t="shared" si="72"/>
        <v>11.226855346324747</v>
      </c>
      <c r="CH43" s="174">
        <f t="shared" si="72"/>
        <v>13.455012407703796</v>
      </c>
      <c r="CI43" s="174">
        <f t="shared" si="72"/>
        <v>11.604944699763628</v>
      </c>
      <c r="CJ43" s="184">
        <f t="shared" si="72"/>
        <v>8.9054485041009386</v>
      </c>
      <c r="CK43" s="185">
        <f t="shared" si="72"/>
        <v>10.623993561372369</v>
      </c>
      <c r="CL43" s="174">
        <f t="shared" si="72"/>
        <v>13.264795685053651</v>
      </c>
      <c r="CM43" s="174">
        <f t="shared" si="72"/>
        <v>12.065618321974556</v>
      </c>
      <c r="CN43" s="184">
        <f t="shared" si="72"/>
        <v>6.7208209596200552</v>
      </c>
      <c r="CO43" s="185">
        <f t="shared" si="72"/>
        <v>8.085477807859597</v>
      </c>
      <c r="CP43" s="174">
        <f t="shared" si="72"/>
        <v>12.564833443025099</v>
      </c>
      <c r="CQ43" s="174">
        <f t="shared" si="72"/>
        <v>11.585316170656421</v>
      </c>
      <c r="CR43" s="184">
        <f t="shared" si="72"/>
        <v>7.7645923913973096</v>
      </c>
      <c r="CS43" s="185">
        <f>(((CS16/CS6))*100)</f>
        <v>7.3273480392348977</v>
      </c>
      <c r="CT43" s="174">
        <f>(((CT16/CT6))*100)</f>
        <v>13.181897963676073</v>
      </c>
      <c r="CU43" s="174">
        <f>(((CU16/CU6))*100)</f>
        <v>11.357592265137251</v>
      </c>
      <c r="CV43" s="184">
        <f t="shared" si="72"/>
        <v>6.4308820166751515</v>
      </c>
      <c r="CW43" s="174">
        <f t="shared" si="72"/>
        <v>6.2682344786305011</v>
      </c>
      <c r="CX43" s="174">
        <f t="shared" si="72"/>
        <v>13.137568940120495</v>
      </c>
      <c r="CY43" s="174">
        <f t="shared" si="72"/>
        <v>12.580475645092443</v>
      </c>
      <c r="CZ43" s="184">
        <f t="shared" si="72"/>
        <v>7.9490217186532517</v>
      </c>
      <c r="DB43" s="163"/>
      <c r="DE43" s="237"/>
      <c r="DF43" s="163"/>
      <c r="DI43" s="237"/>
      <c r="DJ43" s="244">
        <f>+BX43-Q43</f>
        <v>-3.0811266806029112</v>
      </c>
      <c r="DM43" s="237"/>
      <c r="DN43" s="163"/>
      <c r="DQ43" s="237"/>
      <c r="DR43" s="163"/>
      <c r="DU43" s="237"/>
      <c r="DV43" s="163"/>
      <c r="DY43" s="237"/>
      <c r="DZ43" s="163"/>
      <c r="EC43" s="237"/>
      <c r="ED43" s="163"/>
      <c r="EG43" s="237"/>
      <c r="EH43" s="163"/>
      <c r="EK43" s="237"/>
      <c r="EL43" s="163"/>
      <c r="EO43" s="237"/>
      <c r="EP43" s="163"/>
      <c r="ES43" s="237"/>
      <c r="EW43" s="237"/>
    </row>
    <row r="44" spans="2:153">
      <c r="B44" s="114" t="s">
        <v>149</v>
      </c>
      <c r="C44" s="174"/>
      <c r="D44" s="174"/>
      <c r="E44" s="174"/>
      <c r="F44" s="174"/>
      <c r="G44" s="174"/>
      <c r="H44" s="174">
        <f t="shared" ref="H44:Y44" si="73">(((H18/H6))*100)</f>
        <v>6.5348471787004865</v>
      </c>
      <c r="I44" s="174">
        <f t="shared" si="73"/>
        <v>6.4178753928068559</v>
      </c>
      <c r="J44" s="174">
        <f t="shared" si="73"/>
        <v>7.0893829825315891</v>
      </c>
      <c r="K44" s="174">
        <f t="shared" si="73"/>
        <v>7.6191647188265303</v>
      </c>
      <c r="L44" s="174">
        <f t="shared" si="73"/>
        <v>8.052072831167834</v>
      </c>
      <c r="M44" s="174">
        <f t="shared" si="73"/>
        <v>8.1009983647270101</v>
      </c>
      <c r="N44" s="174">
        <f t="shared" si="73"/>
        <v>8.0035606080671045</v>
      </c>
      <c r="O44" s="174">
        <f t="shared" si="73"/>
        <v>8.1233821890520339</v>
      </c>
      <c r="P44" s="174">
        <f t="shared" si="73"/>
        <v>7.6063829118209529</v>
      </c>
      <c r="Q44" s="174">
        <f t="shared" si="73"/>
        <v>7.9090147278062126</v>
      </c>
      <c r="R44" s="174">
        <f t="shared" si="73"/>
        <v>9.9922422753953999</v>
      </c>
      <c r="S44" s="174">
        <f t="shared" si="73"/>
        <v>11.451877997521152</v>
      </c>
      <c r="T44" s="174">
        <f t="shared" si="73"/>
        <v>10.844525916328733</v>
      </c>
      <c r="U44" s="174">
        <f>(((U18/U6))*100)</f>
        <v>10.535712809010183</v>
      </c>
      <c r="V44" s="174">
        <f>(((V18/V6))*100)</f>
        <v>10.189894312840076</v>
      </c>
      <c r="W44" s="174">
        <f t="shared" si="73"/>
        <v>10.694841666547113</v>
      </c>
      <c r="X44" s="174">
        <f t="shared" si="73"/>
        <v>11.059961470682238</v>
      </c>
      <c r="Y44" s="184">
        <f t="shared" si="73"/>
        <v>11.473208388010308</v>
      </c>
      <c r="AA44" s="52"/>
      <c r="AB44" s="53"/>
      <c r="AC44" s="53"/>
      <c r="AD44" s="53"/>
      <c r="AE44" s="53"/>
      <c r="AF44" s="53"/>
      <c r="AG44" s="53"/>
      <c r="AH44" s="52"/>
      <c r="AI44" s="53"/>
      <c r="AJ44" s="53"/>
      <c r="AK44" s="53"/>
      <c r="AL44" s="53"/>
      <c r="AM44" s="52"/>
      <c r="AN44" s="53"/>
      <c r="AO44" s="53"/>
      <c r="AP44" s="53"/>
      <c r="AQ44" s="64"/>
      <c r="AR44" s="7"/>
      <c r="AS44" s="186">
        <f>(((AS18/AS6))*100)</f>
        <v>11.563459534425755</v>
      </c>
      <c r="AU44" s="186">
        <f>(((AU18/AU6))*100)</f>
        <v>12.173865747580102</v>
      </c>
      <c r="AW44" s="107"/>
      <c r="AY44" s="114" t="s">
        <v>149</v>
      </c>
      <c r="BA44" s="174"/>
      <c r="BB44" s="174"/>
      <c r="BC44" s="174"/>
      <c r="BD44" s="184"/>
      <c r="BE44" s="185">
        <f t="shared" ref="BE44:CZ44" si="74">(((BE18/BE6))*100)</f>
        <v>5.6406154971989153</v>
      </c>
      <c r="BF44" s="174">
        <f t="shared" si="74"/>
        <v>10.072345249742744</v>
      </c>
      <c r="BG44" s="174">
        <f t="shared" si="74"/>
        <v>9.2744169133364736</v>
      </c>
      <c r="BH44" s="184">
        <f t="shared" si="74"/>
        <v>5.8839409791372699</v>
      </c>
      <c r="BI44" s="185">
        <f t="shared" si="74"/>
        <v>5.8351655579358823</v>
      </c>
      <c r="BJ44" s="174">
        <f t="shared" si="74"/>
        <v>9.5959026213836065</v>
      </c>
      <c r="BK44" s="174">
        <f t="shared" si="74"/>
        <v>9.5311754772677428</v>
      </c>
      <c r="BL44" s="184">
        <f t="shared" si="74"/>
        <v>6.282433114312358</v>
      </c>
      <c r="BM44" s="185">
        <f t="shared" si="74"/>
        <v>5.440233002138533</v>
      </c>
      <c r="BN44" s="174">
        <f t="shared" si="74"/>
        <v>10.008511478740113</v>
      </c>
      <c r="BO44" s="174">
        <f t="shared" si="74"/>
        <v>9.1366966739346545</v>
      </c>
      <c r="BP44" s="184">
        <f t="shared" si="74"/>
        <v>6.2241210355215326</v>
      </c>
      <c r="BQ44" s="185">
        <f t="shared" si="74"/>
        <v>5.7601257100057497</v>
      </c>
      <c r="BR44" s="174">
        <f t="shared" si="74"/>
        <v>10.24826241818565</v>
      </c>
      <c r="BS44" s="174">
        <f t="shared" si="74"/>
        <v>9.3556593444325564</v>
      </c>
      <c r="BT44" s="184">
        <f t="shared" si="74"/>
        <v>5.8645692738816502</v>
      </c>
      <c r="BU44" s="185">
        <f t="shared" si="74"/>
        <v>5.8367104130023462</v>
      </c>
      <c r="BV44" s="174">
        <f t="shared" si="74"/>
        <v>9.708613307246992</v>
      </c>
      <c r="BW44" s="174">
        <f t="shared" si="74"/>
        <v>8.8811863088431942</v>
      </c>
      <c r="BX44" s="184">
        <f t="shared" si="74"/>
        <v>4.7955125126478748</v>
      </c>
      <c r="BY44" s="185">
        <f t="shared" si="74"/>
        <v>4.4093374438082904</v>
      </c>
      <c r="BZ44" s="174">
        <f t="shared" si="74"/>
        <v>9.5150824304533455</v>
      </c>
      <c r="CA44" s="174">
        <f t="shared" si="74"/>
        <v>10.195611162050962</v>
      </c>
      <c r="CB44" s="184">
        <f t="shared" si="74"/>
        <v>6.0363760439796392</v>
      </c>
      <c r="CC44" s="185">
        <f t="shared" si="74"/>
        <v>7.1992521903534614</v>
      </c>
      <c r="CD44" s="174">
        <f t="shared" si="74"/>
        <v>11.69605977379382</v>
      </c>
      <c r="CE44" s="174">
        <f t="shared" si="74"/>
        <v>11.588780013564689</v>
      </c>
      <c r="CF44" s="184">
        <f t="shared" si="74"/>
        <v>8.1242042113548454</v>
      </c>
      <c r="CG44" s="185">
        <f t="shared" si="74"/>
        <v>11.190230839410068</v>
      </c>
      <c r="CH44" s="174">
        <f t="shared" si="74"/>
        <v>13.402991439973199</v>
      </c>
      <c r="CI44" s="174">
        <f t="shared" si="74"/>
        <v>11.581219336318567</v>
      </c>
      <c r="CJ44" s="184">
        <f t="shared" si="74"/>
        <v>8.9045631134887344</v>
      </c>
      <c r="CK44" s="185">
        <f t="shared" si="74"/>
        <v>10.584332543767392</v>
      </c>
      <c r="CL44" s="174">
        <f t="shared" si="74"/>
        <v>13.094308576175539</v>
      </c>
      <c r="CM44" s="174">
        <f t="shared" si="74"/>
        <v>11.976754300383892</v>
      </c>
      <c r="CN44" s="184">
        <f t="shared" si="74"/>
        <v>6.7831963258414243</v>
      </c>
      <c r="CO44" s="185">
        <f t="shared" si="74"/>
        <v>8.2433061915372043</v>
      </c>
      <c r="CP44" s="174">
        <f t="shared" si="74"/>
        <v>12.794484997157987</v>
      </c>
      <c r="CQ44" s="174">
        <f t="shared" si="74"/>
        <v>11.89887575947809</v>
      </c>
      <c r="CR44" s="184">
        <f t="shared" si="74"/>
        <v>8.1473258827728348</v>
      </c>
      <c r="CS44" s="185">
        <f>(((CS18/CS6))*100)</f>
        <v>7.6811491973671</v>
      </c>
      <c r="CT44" s="174">
        <f>(((CT18/CT6))*100)</f>
        <v>13.294822351367946</v>
      </c>
      <c r="CU44" s="174">
        <f>(((CU18/CU6))*100)</f>
        <v>11.538191731514932</v>
      </c>
      <c r="CV44" s="184">
        <f t="shared" si="74"/>
        <v>6.801426692011507</v>
      </c>
      <c r="CW44" s="174">
        <f t="shared" si="74"/>
        <v>6.6049000333581729</v>
      </c>
      <c r="CX44" s="174">
        <f t="shared" si="74"/>
        <v>13.377599692476435</v>
      </c>
      <c r="CY44" s="174">
        <f t="shared" si="74"/>
        <v>12.817628471733586</v>
      </c>
      <c r="CZ44" s="184">
        <f t="shared" si="74"/>
        <v>8.2548100545602221</v>
      </c>
      <c r="DB44" s="163"/>
      <c r="DE44" s="237"/>
      <c r="DF44" s="163"/>
      <c r="DI44" s="237"/>
      <c r="DJ44" s="163"/>
      <c r="DM44" s="237"/>
      <c r="DN44" s="163"/>
      <c r="DQ44" s="237"/>
      <c r="DR44" s="163"/>
      <c r="DU44" s="237"/>
      <c r="DV44" s="163"/>
      <c r="DY44" s="237"/>
      <c r="DZ44" s="163"/>
      <c r="EC44" s="237"/>
      <c r="ED44" s="163"/>
      <c r="EG44" s="237"/>
      <c r="EH44" s="163"/>
      <c r="EK44" s="237"/>
      <c r="EL44" s="163"/>
      <c r="EO44" s="237"/>
      <c r="EP44" s="163"/>
      <c r="ES44" s="237"/>
      <c r="EW44" s="237"/>
    </row>
    <row r="45" spans="2:153">
      <c r="B45" s="114" t="s">
        <v>150</v>
      </c>
      <c r="C45" s="174"/>
      <c r="D45" s="174"/>
      <c r="E45" s="174"/>
      <c r="F45" s="174"/>
      <c r="G45" s="174"/>
      <c r="H45" s="174">
        <f t="shared" ref="H45:Y45" si="75">(((H21/H6))*100)</f>
        <v>3.0375191545051106</v>
      </c>
      <c r="I45" s="174">
        <f t="shared" si="75"/>
        <v>3.0111501198235762</v>
      </c>
      <c r="J45" s="174">
        <f t="shared" si="75"/>
        <v>3.4120155049113956</v>
      </c>
      <c r="K45" s="174">
        <f t="shared" si="75"/>
        <v>3.837887307518749</v>
      </c>
      <c r="L45" s="174">
        <f t="shared" si="75"/>
        <v>4.2042050072947239</v>
      </c>
      <c r="M45" s="174">
        <f t="shared" si="75"/>
        <v>4.3312700114815081</v>
      </c>
      <c r="N45" s="174">
        <f t="shared" si="75"/>
        <v>4.7955586826671412</v>
      </c>
      <c r="O45" s="174">
        <f t="shared" si="75"/>
        <v>5.3430952395091502</v>
      </c>
      <c r="P45" s="174">
        <f t="shared" si="75"/>
        <v>5.1557932081464735</v>
      </c>
      <c r="Q45" s="174">
        <f t="shared" si="75"/>
        <v>5.3329938626227733</v>
      </c>
      <c r="R45" s="174">
        <f t="shared" si="75"/>
        <v>6.6708947751915844</v>
      </c>
      <c r="S45" s="174">
        <f t="shared" si="75"/>
        <v>7.6683153683686109</v>
      </c>
      <c r="T45" s="174">
        <f t="shared" si="75"/>
        <v>7.3634562994670194</v>
      </c>
      <c r="U45" s="174">
        <f>(((U21/U6))*100)</f>
        <v>7.0394287872242698</v>
      </c>
      <c r="V45" s="174">
        <f>(((V21/V6))*100)</f>
        <v>6.8652312588665527</v>
      </c>
      <c r="W45" s="174">
        <f t="shared" si="75"/>
        <v>7.1496344344863516</v>
      </c>
      <c r="X45" s="174">
        <f t="shared" si="75"/>
        <v>7.4880517906025563</v>
      </c>
      <c r="Y45" s="184">
        <f t="shared" si="75"/>
        <v>7.8625675388008247</v>
      </c>
      <c r="AA45" s="52"/>
      <c r="AB45" s="53"/>
      <c r="AC45" s="53"/>
      <c r="AD45" s="53"/>
      <c r="AE45" s="53"/>
      <c r="AF45" s="53"/>
      <c r="AG45" s="53"/>
      <c r="AH45" s="52"/>
      <c r="AI45" s="53"/>
      <c r="AJ45" s="53"/>
      <c r="AK45" s="53"/>
      <c r="AL45" s="53"/>
      <c r="AM45" s="52"/>
      <c r="AN45" s="53"/>
      <c r="AO45" s="53"/>
      <c r="AP45" s="53"/>
      <c r="AQ45" s="64"/>
      <c r="AR45" s="7"/>
      <c r="AS45" s="186">
        <f>(((AS21/AS6))*100)</f>
        <v>7.9528957466947912</v>
      </c>
      <c r="AU45" s="186">
        <f>(((AU21/AU6))*100)</f>
        <v>8.4914136686820374</v>
      </c>
      <c r="AW45" s="107"/>
      <c r="AY45" s="114" t="s">
        <v>150</v>
      </c>
      <c r="BA45" s="174"/>
      <c r="BB45" s="174"/>
      <c r="BC45" s="174"/>
      <c r="BD45" s="184"/>
      <c r="BE45" s="185">
        <f t="shared" ref="BE45:CZ45" si="76">(((BE21/BE6))*100)</f>
        <v>2.8490479274931655</v>
      </c>
      <c r="BF45" s="174">
        <f t="shared" si="76"/>
        <v>5.3474672623645416</v>
      </c>
      <c r="BG45" s="174">
        <f t="shared" si="76"/>
        <v>4.9250135087832483</v>
      </c>
      <c r="BH45" s="184">
        <f t="shared" si="76"/>
        <v>2.930906290660853</v>
      </c>
      <c r="BI45" s="185">
        <f t="shared" si="76"/>
        <v>2.9993281843123998</v>
      </c>
      <c r="BJ45" s="174">
        <f t="shared" si="76"/>
        <v>5.3210752325155326</v>
      </c>
      <c r="BK45" s="174">
        <f t="shared" si="76"/>
        <v>5.0835782512858163</v>
      </c>
      <c r="BL45" s="184">
        <f t="shared" si="76"/>
        <v>3.2347465168436327</v>
      </c>
      <c r="BM45" s="185">
        <f t="shared" si="76"/>
        <v>3.0020811952826283</v>
      </c>
      <c r="BN45" s="174">
        <f t="shared" si="76"/>
        <v>5.7805950824657266</v>
      </c>
      <c r="BO45" s="174">
        <f t="shared" si="76"/>
        <v>5.2886691590943542</v>
      </c>
      <c r="BP45" s="184">
        <f t="shared" si="76"/>
        <v>3.4484546505659406</v>
      </c>
      <c r="BQ45" s="185">
        <f t="shared" si="76"/>
        <v>3.6930551913116747</v>
      </c>
      <c r="BR45" s="174">
        <f t="shared" si="76"/>
        <v>6.7497634577709258</v>
      </c>
      <c r="BS45" s="174">
        <f t="shared" si="76"/>
        <v>6.1082231808933152</v>
      </c>
      <c r="BT45" s="184">
        <f t="shared" si="76"/>
        <v>3.9939434656207959</v>
      </c>
      <c r="BU45" s="185">
        <f t="shared" si="76"/>
        <v>3.7622492961285445</v>
      </c>
      <c r="BV45" s="174">
        <f t="shared" si="76"/>
        <v>6.5717634675410181</v>
      </c>
      <c r="BW45" s="174">
        <f t="shared" si="76"/>
        <v>5.9845940433646527</v>
      </c>
      <c r="BX45" s="184">
        <f t="shared" si="76"/>
        <v>3.4764038552104615</v>
      </c>
      <c r="BY45" s="185">
        <f t="shared" si="76"/>
        <v>3.0255238276615821</v>
      </c>
      <c r="BZ45" s="174">
        <f t="shared" si="76"/>
        <v>6.3877053383356088</v>
      </c>
      <c r="CA45" s="174">
        <f t="shared" si="76"/>
        <v>6.9298503062789711</v>
      </c>
      <c r="CB45" s="184">
        <f t="shared" si="76"/>
        <v>3.9845295293388094</v>
      </c>
      <c r="CC45" s="185">
        <f t="shared" si="76"/>
        <v>4.8491441910083219</v>
      </c>
      <c r="CD45" s="174">
        <f t="shared" si="76"/>
        <v>7.7908133474622083</v>
      </c>
      <c r="CE45" s="174">
        <f t="shared" si="76"/>
        <v>7.9023588988701112</v>
      </c>
      <c r="CF45" s="184">
        <f t="shared" si="76"/>
        <v>5.2177939167848928</v>
      </c>
      <c r="CG45" s="185">
        <f t="shared" si="76"/>
        <v>7.4363501512894032</v>
      </c>
      <c r="CH45" s="174">
        <f t="shared" si="76"/>
        <v>9.0243256606311473</v>
      </c>
      <c r="CI45" s="174">
        <f t="shared" si="76"/>
        <v>7.7434575959477252</v>
      </c>
      <c r="CJ45" s="184">
        <f t="shared" si="76"/>
        <v>5.9652331707798316</v>
      </c>
      <c r="CK45" s="185">
        <f t="shared" si="76"/>
        <v>7.0985482777767466</v>
      </c>
      <c r="CL45" s="174">
        <f t="shared" si="76"/>
        <v>8.6249004035776853</v>
      </c>
      <c r="CM45" s="174">
        <f t="shared" si="76"/>
        <v>8.0378682978778322</v>
      </c>
      <c r="CN45" s="184">
        <f t="shared" si="76"/>
        <v>5.1488993554753364</v>
      </c>
      <c r="CO45" s="185">
        <f t="shared" si="76"/>
        <v>5.5593929933143391</v>
      </c>
      <c r="CP45" s="174">
        <f t="shared" si="76"/>
        <v>8.479765608639724</v>
      </c>
      <c r="CQ45" s="174">
        <f t="shared" si="76"/>
        <v>7.9179698856870981</v>
      </c>
      <c r="CR45" s="184">
        <f t="shared" si="76"/>
        <v>5.5212712704152125</v>
      </c>
      <c r="CS45" s="185">
        <f>(((CS21/CS6))*100)</f>
        <v>5.2290335095481266</v>
      </c>
      <c r="CT45" s="174">
        <f>(((CT21/CT6))*100)</f>
        <v>8.9026988395310056</v>
      </c>
      <c r="CU45" s="174">
        <f>(((CU21/CU6))*100)</f>
        <v>7.816865464766666</v>
      </c>
      <c r="CV45" s="184">
        <f t="shared" si="76"/>
        <v>4.5443979029071677</v>
      </c>
      <c r="CW45" s="174">
        <f t="shared" si="76"/>
        <v>4.2078743621699397</v>
      </c>
      <c r="CX45" s="174">
        <f t="shared" si="76"/>
        <v>8.888088490564785</v>
      </c>
      <c r="CY45" s="174">
        <f t="shared" si="76"/>
        <v>8.7030095328226835</v>
      </c>
      <c r="CZ45" s="184">
        <f t="shared" si="76"/>
        <v>5.6039349353816572</v>
      </c>
      <c r="DB45" s="163"/>
      <c r="DE45" s="237"/>
      <c r="DF45" s="163"/>
      <c r="DI45" s="237"/>
      <c r="DJ45" s="163"/>
      <c r="DM45" s="237"/>
      <c r="DN45" s="163"/>
      <c r="DQ45" s="237"/>
      <c r="DR45" s="163"/>
      <c r="DU45" s="237"/>
      <c r="DV45" s="163"/>
      <c r="DY45" s="237"/>
      <c r="DZ45" s="163"/>
      <c r="EC45" s="237"/>
      <c r="ED45" s="163"/>
      <c r="EG45" s="237"/>
      <c r="EH45" s="163"/>
      <c r="EK45" s="237"/>
      <c r="EL45" s="163"/>
      <c r="EO45" s="237"/>
      <c r="EP45" s="163"/>
      <c r="ES45" s="237"/>
      <c r="EW45" s="237"/>
    </row>
    <row r="46" spans="2:153">
      <c r="B46" s="250" t="s">
        <v>151</v>
      </c>
      <c r="C46" s="251"/>
      <c r="D46" s="251"/>
      <c r="E46" s="251"/>
      <c r="F46" s="251"/>
      <c r="G46" s="251"/>
      <c r="H46" s="251">
        <f t="shared" ref="H46:V46" si="77">H19/H18*100</f>
        <v>29.214972866304905</v>
      </c>
      <c r="I46" s="251">
        <f t="shared" si="77"/>
        <v>28.442220638113351</v>
      </c>
      <c r="J46" s="251">
        <f t="shared" si="77"/>
        <v>29.263807611001653</v>
      </c>
      <c r="K46" s="251">
        <f t="shared" si="77"/>
        <v>30.557893931277256</v>
      </c>
      <c r="L46" s="251">
        <f t="shared" si="77"/>
        <v>31.605278969568385</v>
      </c>
      <c r="M46" s="251">
        <f t="shared" si="77"/>
        <v>30.982776622533386</v>
      </c>
      <c r="N46" s="251">
        <f t="shared" si="77"/>
        <v>25.962055877367906</v>
      </c>
      <c r="O46" s="251">
        <f t="shared" si="77"/>
        <v>19.714248582614488</v>
      </c>
      <c r="P46" s="251">
        <f t="shared" si="77"/>
        <v>18.486049408574281</v>
      </c>
      <c r="Q46" s="251">
        <f t="shared" si="77"/>
        <v>19.165572355832364</v>
      </c>
      <c r="R46" s="251">
        <f t="shared" si="77"/>
        <v>20.524371665508699</v>
      </c>
      <c r="S46" s="251">
        <f t="shared" si="77"/>
        <v>20.731116789048421</v>
      </c>
      <c r="T46" s="251">
        <f t="shared" si="77"/>
        <v>19.718062008634117</v>
      </c>
      <c r="U46" s="252">
        <f t="shared" si="77"/>
        <v>20.794274921384819</v>
      </c>
      <c r="V46" s="252">
        <f t="shared" si="77"/>
        <v>20.346059787765888</v>
      </c>
      <c r="W46" s="253">
        <v>21</v>
      </c>
      <c r="X46" s="253">
        <v>21</v>
      </c>
      <c r="Y46" s="254">
        <v>21</v>
      </c>
      <c r="AA46" s="255"/>
      <c r="AB46" s="103"/>
      <c r="AC46" s="103"/>
      <c r="AD46" s="103"/>
      <c r="AE46" s="103"/>
      <c r="AF46" s="103"/>
      <c r="AG46" s="103"/>
      <c r="AH46" s="255"/>
      <c r="AI46" s="103"/>
      <c r="AJ46" s="103"/>
      <c r="AK46" s="103"/>
      <c r="AL46" s="103"/>
      <c r="AM46" s="255"/>
      <c r="AN46" s="103"/>
      <c r="AO46" s="103"/>
      <c r="AP46" s="103"/>
      <c r="AQ46" s="104"/>
      <c r="AR46" s="7"/>
      <c r="AS46" s="256">
        <v>21</v>
      </c>
      <c r="AU46" s="256">
        <v>21</v>
      </c>
      <c r="AW46" s="257"/>
      <c r="AY46" s="250" t="s">
        <v>151</v>
      </c>
      <c r="AZ46" s="258"/>
      <c r="BA46" s="251"/>
      <c r="BB46" s="251"/>
      <c r="BC46" s="251"/>
      <c r="BD46" s="259"/>
      <c r="BE46" s="260">
        <f t="shared" ref="BE46:CU46" si="78">BE19/BE18*100</f>
        <v>31.406280817865039</v>
      </c>
      <c r="BF46" s="251">
        <f t="shared" si="78"/>
        <v>31.638656485080592</v>
      </c>
      <c r="BG46" s="251">
        <f t="shared" si="78"/>
        <v>31.620267311585675</v>
      </c>
      <c r="BH46" s="259">
        <f t="shared" si="78"/>
        <v>31.667920270778914</v>
      </c>
      <c r="BI46" s="260">
        <f t="shared" si="78"/>
        <v>31.214524375025153</v>
      </c>
      <c r="BJ46" s="251">
        <f t="shared" si="78"/>
        <v>30.129745314752526</v>
      </c>
      <c r="BK46" s="251">
        <f t="shared" si="78"/>
        <v>31.939748444684891</v>
      </c>
      <c r="BL46" s="259">
        <f t="shared" si="78"/>
        <v>30.541665940728468</v>
      </c>
      <c r="BM46" s="260">
        <f t="shared" si="78"/>
        <v>28.825562768737857</v>
      </c>
      <c r="BN46" s="251">
        <f t="shared" si="78"/>
        <v>28.859601725906607</v>
      </c>
      <c r="BO46" s="251">
        <f t="shared" si="78"/>
        <v>28.773232215338645</v>
      </c>
      <c r="BP46" s="259">
        <f t="shared" si="78"/>
        <v>28.932724667621816</v>
      </c>
      <c r="BQ46" s="260">
        <f t="shared" si="78"/>
        <v>20.600689500112427</v>
      </c>
      <c r="BR46" s="251">
        <f t="shared" si="78"/>
        <v>20.733912712416629</v>
      </c>
      <c r="BS46" s="251">
        <f t="shared" si="78"/>
        <v>20.094020618556698</v>
      </c>
      <c r="BT46" s="259">
        <f t="shared" si="78"/>
        <v>15.712885081789562</v>
      </c>
      <c r="BU46" s="260">
        <f t="shared" si="78"/>
        <v>19.412760320847749</v>
      </c>
      <c r="BV46" s="251">
        <f t="shared" si="78"/>
        <v>18.979187314172425</v>
      </c>
      <c r="BW46" s="251">
        <f t="shared" si="78"/>
        <v>19.558461476369207</v>
      </c>
      <c r="BX46" s="259">
        <f t="shared" si="78"/>
        <v>13.645644944869012</v>
      </c>
      <c r="BY46" s="260">
        <f t="shared" si="78"/>
        <v>18.45994646030643</v>
      </c>
      <c r="BZ46" s="251">
        <f t="shared" si="78"/>
        <v>19.17094427988771</v>
      </c>
      <c r="CA46" s="251">
        <f t="shared" si="78"/>
        <v>19.446235152195957</v>
      </c>
      <c r="CB46" s="259">
        <f t="shared" si="78"/>
        <v>18.97479305051435</v>
      </c>
      <c r="CC46" s="260">
        <f t="shared" si="78"/>
        <v>19.15223982785604</v>
      </c>
      <c r="CD46" s="251">
        <f t="shared" si="78"/>
        <v>20.432200060091983</v>
      </c>
      <c r="CE46" s="251">
        <f t="shared" si="78"/>
        <v>20.202538508456861</v>
      </c>
      <c r="CF46" s="259">
        <f t="shared" si="78"/>
        <v>22.141711512940983</v>
      </c>
      <c r="CG46" s="260">
        <f t="shared" si="78"/>
        <v>20.881454153005148</v>
      </c>
      <c r="CH46" s="251">
        <f t="shared" si="78"/>
        <v>21.148164077388124</v>
      </c>
      <c r="CI46" s="251">
        <f t="shared" si="78"/>
        <v>21.037451753827888</v>
      </c>
      <c r="CJ46" s="259">
        <f t="shared" si="78"/>
        <v>19.189040631813697</v>
      </c>
      <c r="CK46" s="260">
        <f t="shared" si="78"/>
        <v>20.566031987814153</v>
      </c>
      <c r="CL46" s="251">
        <f t="shared" si="78"/>
        <v>21.688588966411217</v>
      </c>
      <c r="CM46" s="251">
        <f t="shared" si="78"/>
        <v>21.239601612706959</v>
      </c>
      <c r="CN46" s="259">
        <f t="shared" si="78"/>
        <v>10.121565454077322</v>
      </c>
      <c r="CO46" s="260">
        <f t="shared" si="78"/>
        <v>19.181129706139977</v>
      </c>
      <c r="CP46" s="251">
        <f t="shared" si="78"/>
        <v>21.578935831299596</v>
      </c>
      <c r="CQ46" s="251">
        <f t="shared" si="78"/>
        <v>21.544237802505627</v>
      </c>
      <c r="CR46" s="259">
        <f t="shared" si="78"/>
        <v>19.39874458541227</v>
      </c>
      <c r="CS46" s="260">
        <f t="shared" si="78"/>
        <v>19.612261383444576</v>
      </c>
      <c r="CT46" s="251">
        <f t="shared" si="78"/>
        <v>20.944718779859802</v>
      </c>
      <c r="CU46" s="251">
        <f t="shared" si="78"/>
        <v>20.656617539151746</v>
      </c>
      <c r="CV46" s="259">
        <f>CV19/CV18*100</f>
        <v>18.931252211812456</v>
      </c>
      <c r="CW46" s="261">
        <v>21</v>
      </c>
      <c r="CX46" s="261">
        <v>21</v>
      </c>
      <c r="CY46" s="261">
        <v>21</v>
      </c>
      <c r="CZ46" s="259">
        <f>CZ19/CZ18*100</f>
        <v>21.000000000000075</v>
      </c>
      <c r="DB46" s="262"/>
      <c r="DC46" s="258"/>
      <c r="DD46" s="258"/>
      <c r="DE46" s="263"/>
      <c r="DF46" s="262"/>
      <c r="DG46" s="258"/>
      <c r="DH46" s="258"/>
      <c r="DI46" s="263"/>
      <c r="DJ46" s="262"/>
      <c r="DK46" s="258"/>
      <c r="DL46" s="258"/>
      <c r="DM46" s="263"/>
      <c r="DN46" s="262"/>
      <c r="DO46" s="258"/>
      <c r="DP46" s="258"/>
      <c r="DQ46" s="263"/>
      <c r="DR46" s="262"/>
      <c r="DS46" s="258"/>
      <c r="DT46" s="258"/>
      <c r="DU46" s="263"/>
      <c r="DV46" s="262"/>
      <c r="DW46" s="258"/>
      <c r="DX46" s="258"/>
      <c r="DY46" s="263"/>
      <c r="DZ46" s="262"/>
      <c r="EA46" s="258"/>
      <c r="EB46" s="258"/>
      <c r="EC46" s="263"/>
      <c r="ED46" s="262"/>
      <c r="EE46" s="258"/>
      <c r="EF46" s="258"/>
      <c r="EG46" s="263"/>
      <c r="EH46" s="262"/>
      <c r="EI46" s="258"/>
      <c r="EJ46" s="258"/>
      <c r="EK46" s="263"/>
      <c r="EL46" s="262"/>
      <c r="EM46" s="258"/>
      <c r="EN46" s="258"/>
      <c r="EO46" s="263"/>
      <c r="EP46" s="262"/>
      <c r="EQ46" s="258"/>
      <c r="ER46" s="258"/>
      <c r="ES46" s="263"/>
      <c r="ET46" s="258"/>
      <c r="EU46" s="258"/>
      <c r="EV46" s="258"/>
      <c r="EW46" s="263"/>
    </row>
    <row r="47" spans="2:153">
      <c r="B47" s="264" t="s">
        <v>152</v>
      </c>
      <c r="C47" s="174"/>
      <c r="D47" s="174"/>
      <c r="E47" s="174"/>
      <c r="F47" s="174"/>
      <c r="G47" s="174"/>
      <c r="H47" s="188"/>
      <c r="I47" s="188">
        <f t="shared" ref="I47:Y47" si="79">(I16-H16)/(I6-H6)</f>
        <v>5.696184406755804E-2</v>
      </c>
      <c r="J47" s="188">
        <f t="shared" si="79"/>
        <v>0.14858255941569393</v>
      </c>
      <c r="K47" s="188">
        <f t="shared" si="79"/>
        <v>0.17165150837433699</v>
      </c>
      <c r="L47" s="188">
        <f t="shared" si="79"/>
        <v>0.18376516754692962</v>
      </c>
      <c r="M47" s="188">
        <f t="shared" si="79"/>
        <v>8.2670314433812161E-2</v>
      </c>
      <c r="N47" s="188">
        <f t="shared" si="79"/>
        <v>6.7973575911522283E-2</v>
      </c>
      <c r="O47" s="188">
        <f t="shared" si="79"/>
        <v>8.895055154422557E-2</v>
      </c>
      <c r="P47" s="188">
        <f t="shared" si="79"/>
        <v>-2.3235542602218502E-2</v>
      </c>
      <c r="Q47" s="188">
        <f t="shared" si="79"/>
        <v>0.12000730937638289</v>
      </c>
      <c r="R47" s="188">
        <f t="shared" si="79"/>
        <v>0.18566937411039572</v>
      </c>
      <c r="S47" s="188">
        <f t="shared" si="79"/>
        <v>0.20790180978361453</v>
      </c>
      <c r="T47" s="188">
        <f t="shared" si="79"/>
        <v>-4.2878064310730206</v>
      </c>
      <c r="U47" s="188">
        <f t="shared" si="79"/>
        <v>-3.8962785831713212E-2</v>
      </c>
      <c r="V47" s="188">
        <f t="shared" si="79"/>
        <v>0.16206760995918482</v>
      </c>
      <c r="W47" s="188">
        <f t="shared" si="79"/>
        <v>0.57499988693642512</v>
      </c>
      <c r="X47" s="188">
        <f t="shared" si="79"/>
        <v>0.20187956574060356</v>
      </c>
      <c r="Y47" s="188">
        <f t="shared" si="79"/>
        <v>0.21804381321212016</v>
      </c>
      <c r="AR47" s="7"/>
      <c r="AS47" s="188">
        <f>(AS16-V16)/(AS6-V6)</f>
        <v>0.23714998972149323</v>
      </c>
      <c r="AU47" s="188">
        <f>(AU16-AS16)/(AU6-AS6)</f>
        <v>0.24381990010667048</v>
      </c>
      <c r="AY47" s="264" t="s">
        <v>152</v>
      </c>
      <c r="BA47" s="188"/>
      <c r="BB47" s="188"/>
      <c r="BC47" s="188"/>
      <c r="BD47" s="188"/>
      <c r="BE47" s="188"/>
      <c r="BF47" s="188"/>
      <c r="BG47" s="188"/>
      <c r="BH47" s="188"/>
      <c r="BI47" s="188">
        <f t="shared" ref="BI47:CZ47" si="80">(BI16-BE16)/(BI6-BE6)</f>
        <v>8.6215019315933214E-2</v>
      </c>
      <c r="BJ47" s="188">
        <f t="shared" si="80"/>
        <v>0.80730786317192493</v>
      </c>
      <c r="BK47" s="188">
        <f t="shared" si="80"/>
        <v>0.13422609778885172</v>
      </c>
      <c r="BL47" s="188">
        <f t="shared" si="80"/>
        <v>0.39540581929563196</v>
      </c>
      <c r="BM47" s="188">
        <f t="shared" si="80"/>
        <v>-9.5254220889166519E-2</v>
      </c>
      <c r="BN47" s="188">
        <f t="shared" si="80"/>
        <v>0.19122119403470544</v>
      </c>
      <c r="BO47" s="188">
        <f t="shared" si="80"/>
        <v>0.41568593763422956</v>
      </c>
      <c r="BP47" s="188">
        <f t="shared" si="80"/>
        <v>6.488745220167641E-2</v>
      </c>
      <c r="BQ47" s="188">
        <f t="shared" si="80"/>
        <v>9.6141845013030691E-2</v>
      </c>
      <c r="BR47" s="188">
        <f t="shared" si="80"/>
        <v>0.14076277301606799</v>
      </c>
      <c r="BS47" s="188">
        <f t="shared" si="80"/>
        <v>0.11798361840520581</v>
      </c>
      <c r="BT47" s="188">
        <f t="shared" si="80"/>
        <v>-0.106148771357625</v>
      </c>
      <c r="BU47" s="188">
        <f t="shared" si="80"/>
        <v>0.25420123378004872</v>
      </c>
      <c r="BV47" s="188">
        <f t="shared" si="80"/>
        <v>-7.532407762521591E-2</v>
      </c>
      <c r="BW47" s="188">
        <f t="shared" si="80"/>
        <v>3.0553645812270217E-2</v>
      </c>
      <c r="BX47" s="188">
        <f t="shared" si="80"/>
        <v>-7.9875044759164099E-2</v>
      </c>
      <c r="BY47" s="188">
        <f t="shared" si="80"/>
        <v>-0.12863237857384555</v>
      </c>
      <c r="BZ47" s="188">
        <f t="shared" si="80"/>
        <v>0.31276944562511699</v>
      </c>
      <c r="CA47" s="188">
        <f t="shared" si="80"/>
        <v>0.22194475013403372</v>
      </c>
      <c r="CB47" s="188">
        <f t="shared" si="80"/>
        <v>0.21514302010897798</v>
      </c>
      <c r="CC47" s="188">
        <f t="shared" si="80"/>
        <v>0.28631156124474472</v>
      </c>
      <c r="CD47" s="188">
        <f t="shared" si="80"/>
        <v>0.17710291246421364</v>
      </c>
      <c r="CE47" s="188">
        <f t="shared" si="80"/>
        <v>0.20340954379458076</v>
      </c>
      <c r="CF47" s="188">
        <f t="shared" si="80"/>
        <v>0.14925143287535453</v>
      </c>
      <c r="CG47" s="188">
        <f t="shared" si="80"/>
        <v>0.23014205630632961</v>
      </c>
      <c r="CH47" s="188">
        <f t="shared" si="80"/>
        <v>0.24748429333192593</v>
      </c>
      <c r="CI47" s="188">
        <f t="shared" si="80"/>
        <v>0.11631461100119654</v>
      </c>
      <c r="CJ47" s="188">
        <f t="shared" si="80"/>
        <v>0.25590414948528045</v>
      </c>
      <c r="CK47" s="188">
        <f t="shared" si="80"/>
        <v>-0.23305382143252168</v>
      </c>
      <c r="CL47" s="188">
        <f t="shared" si="80"/>
        <v>0.16370885659404186</v>
      </c>
      <c r="CM47" s="188">
        <f t="shared" si="80"/>
        <v>0.22365978758690191</v>
      </c>
      <c r="CN47" s="188">
        <f t="shared" si="80"/>
        <v>-1.5048238827705545</v>
      </c>
      <c r="CO47" s="191">
        <f t="shared" si="80"/>
        <v>-2.6622299651568202</v>
      </c>
      <c r="CP47" s="191">
        <f t="shared" si="80"/>
        <v>2.2738616012447532E-2</v>
      </c>
      <c r="CQ47" s="191">
        <f t="shared" si="80"/>
        <v>-0.19191949624896895</v>
      </c>
      <c r="CR47" s="188">
        <f t="shared" si="80"/>
        <v>0.18863794647298857</v>
      </c>
      <c r="CS47" s="188">
        <f t="shared" si="80"/>
        <v>0.423211915646659</v>
      </c>
      <c r="CT47" s="188">
        <f t="shared" si="80"/>
        <v>-3.9877220820436605E-2</v>
      </c>
      <c r="CU47" s="188">
        <f t="shared" si="80"/>
        <v>0.1664498930464032</v>
      </c>
      <c r="CV47" s="188">
        <f t="shared" si="80"/>
        <v>0.19782540452612635</v>
      </c>
      <c r="CW47" s="188">
        <f t="shared" si="80"/>
        <v>0.41572019832110302</v>
      </c>
      <c r="CX47" s="188">
        <f t="shared" si="80"/>
        <v>8.7046665845625551E-2</v>
      </c>
      <c r="CY47" s="188">
        <f t="shared" si="80"/>
        <v>0.73724644642852277</v>
      </c>
      <c r="CZ47" s="188">
        <f t="shared" si="80"/>
        <v>0.50474445016549896</v>
      </c>
    </row>
    <row r="48" spans="2:153">
      <c r="B48" s="264"/>
      <c r="C48" s="174"/>
      <c r="D48" s="174"/>
      <c r="E48" s="174"/>
      <c r="F48" s="174"/>
      <c r="G48" s="174"/>
      <c r="H48" s="188"/>
      <c r="I48" s="188"/>
      <c r="J48" s="188"/>
      <c r="K48" s="188"/>
      <c r="L48" s="188"/>
      <c r="M48" s="188"/>
      <c r="N48" s="188"/>
      <c r="O48" s="188"/>
      <c r="P48" s="188"/>
      <c r="Q48" s="265"/>
      <c r="R48" s="188"/>
      <c r="S48" s="188"/>
      <c r="T48" s="188"/>
      <c r="U48" s="188"/>
      <c r="V48" s="133"/>
      <c r="W48" s="133"/>
      <c r="X48" s="133"/>
      <c r="Y48" s="133"/>
      <c r="AR48" s="7"/>
      <c r="AS48" s="188"/>
      <c r="AU48" s="188"/>
      <c r="AY48" s="264"/>
      <c r="BA48" s="188"/>
      <c r="BB48" s="188"/>
      <c r="BC48" s="188"/>
      <c r="BD48" s="188"/>
      <c r="BE48" s="188"/>
      <c r="BF48" s="188"/>
      <c r="BG48" s="188"/>
      <c r="BH48" s="188"/>
      <c r="BI48" s="188"/>
      <c r="BJ48" s="188">
        <f>((SUM(BI16:BJ16)-SUM(BE16:BF16))/(SUM(BI6:BJ6)-SUM(BE6:BF6)))</f>
        <v>-0.10789882803157549</v>
      </c>
      <c r="BK48" s="188"/>
      <c r="BL48" s="188">
        <f>((SUM(BK16:BL16)-SUM(BG16:BH16))/(SUM(BK6:BL6)-SUM(BG6:BH6)))</f>
        <v>0.16879011011282771</v>
      </c>
      <c r="BM48" s="188"/>
      <c r="BN48" s="188">
        <f>((SUM(BM16:BN16)-SUM(BI16:BJ16))/(SUM(BM6:BN6)-SUM(BI6:BJ6)))</f>
        <v>0.11914556962025326</v>
      </c>
      <c r="BO48" s="188"/>
      <c r="BP48" s="188">
        <f>((SUM(BO16:BP16)-SUM(BK16:BL16))/(SUM(BO6:BP6)-SUM(BK6:BL6)))</f>
        <v>-3.9572301946647875E-2</v>
      </c>
      <c r="BQ48" s="188"/>
      <c r="BR48" s="188">
        <f>((SUM(BQ16:BR16)-SUM(BM16:BN16))/(SUM(BQ6:BR6)-SUM(BM6:BN6)))</f>
        <v>0.11892076441361683</v>
      </c>
      <c r="BS48" s="188"/>
      <c r="BT48" s="188">
        <f>((SUM(BS16:BT16)-SUM(BO16:BP16))/(SUM(BS6:BT6)-SUM(BO6:BP6)))</f>
        <v>5.3235114618243033E-2</v>
      </c>
      <c r="BU48" s="188"/>
      <c r="BV48" s="188">
        <f>((SUM(BU16:BV16)-SUM(BQ16:BR16))/(SUM(BU6:BV6)-SUM(BQ6:BR6)))</f>
        <v>-3.9966219300643473E-2</v>
      </c>
      <c r="BW48" s="188"/>
      <c r="BX48" s="188">
        <f>((SUM(BW16:BX16)-SUM(BS16:BT16))/(SUM(BW6:BX6)-SUM(BS6:BT6)))</f>
        <v>-1.9160964329588148E-2</v>
      </c>
      <c r="BY48" s="188"/>
      <c r="BZ48" s="188">
        <f>((SUM(BY16:BZ16)-SUM(BU16:BV16))/(SUM(BY6:BZ6)-SUM(BU6:BV6)))</f>
        <v>-0.24896952440861686</v>
      </c>
      <c r="CA48" s="188"/>
      <c r="CB48" s="188">
        <f>((SUM(CA16:CB16)-SUM(BW16:BX16))/(SUM(CA6:CB6)-SUM(BW6:BX6)))</f>
        <v>0.21944440726812028</v>
      </c>
      <c r="CC48" s="188"/>
      <c r="CD48" s="188">
        <f>((SUM(CC16:CD16)-SUM(BY16:BZ16))/(SUM(CC6:CD6)-SUM(BY6:BZ6)))</f>
        <v>0.19956221061141055</v>
      </c>
      <c r="CE48" s="188"/>
      <c r="CF48" s="188">
        <f>((SUM(CE16:CF16)-SUM(CA16:CB16))/(SUM(CE6:CF6)-SUM(CA6:CB6)))</f>
        <v>0.17133490424461068</v>
      </c>
      <c r="CG48" s="188"/>
      <c r="CH48" s="188">
        <f>((SUM(CG16:CH16)-SUM(CC16:CD16))/(SUM(CG6:CH6)-SUM(CC6:CD6)))</f>
        <v>0.23747891126276324</v>
      </c>
      <c r="CI48" s="188"/>
      <c r="CJ48" s="188">
        <f>((SUM(CI16:CJ16)-SUM(CE16:CF16))/(SUM(CI6:CJ6)-SUM(CE6:CF6)))</f>
        <v>0.14632732458111841</v>
      </c>
      <c r="CK48" s="188"/>
      <c r="CL48" s="188">
        <f>((SUM(CK16:CL16)-SUM(CG16:CH16))/(SUM(CK6:CL6)-SUM(CG6:CH6)))</f>
        <v>0.26738416988416985</v>
      </c>
      <c r="CM48" s="188"/>
      <c r="CN48" s="188">
        <f>((SUM(CM16:CN16)-SUM(CI16:CJ16))/(SUM(CM6:CN6)-SUM(CI6:CJ6)))</f>
        <v>-0.11239305274148095</v>
      </c>
      <c r="CO48" s="188"/>
      <c r="CP48" s="188">
        <f>((SUM(CO16:CP16)-SUM(CK16:CL16))/(SUM(CO6:CP6)-SUM(CK6:CL6)))</f>
        <v>-0.23311021687451253</v>
      </c>
      <c r="CQ48" s="188"/>
      <c r="CR48" s="188">
        <f>((SUM(CQ16:CR16)-SUM(CM16:CN16))/(SUM(CQ6:CR6)-SUM(CM6:CN6)))</f>
        <v>0.1199743416904069</v>
      </c>
      <c r="CS48" s="188"/>
      <c r="CT48" s="188">
        <f>((SUM(CS16:CT16)-SUM(CO16:CP16))/(SUM(CS6:CT6)-SUM(CO6:CP6)))</f>
        <v>0.10184040219873342</v>
      </c>
      <c r="CU48" s="188"/>
      <c r="CV48" s="188">
        <f>((SUM(CU16:CV16)-SUM(CQ16:CR16))/(SUM(CU6:CV6)-SUM(CQ6:CR6)))</f>
        <v>0.18694358699056016</v>
      </c>
      <c r="CW48" s="188"/>
      <c r="CX48" s="188">
        <f>((SUM(CW16:CX16)-SUM(CS16:CT16))/(SUM(CW6:CX6)-SUM(CS6:CT6)))</f>
        <v>0.6835666548259467</v>
      </c>
      <c r="CY48" s="188"/>
      <c r="CZ48" s="188">
        <f>((SUM(CY16:CZ16)-SUM(CU16:CV16))/(SUM(CY6:CZ6)-SUM(CU6:CV6)))</f>
        <v>0.60312266403250292</v>
      </c>
    </row>
    <row r="49" spans="2:153">
      <c r="B49" s="266" t="s">
        <v>153</v>
      </c>
      <c r="C49" s="267"/>
      <c r="D49" s="267"/>
      <c r="E49" s="267"/>
      <c r="F49" s="267"/>
      <c r="G49" s="267"/>
      <c r="H49" s="156">
        <v>2.23</v>
      </c>
      <c r="I49" s="156">
        <v>2.48</v>
      </c>
      <c r="J49" s="156">
        <v>1.1499999999999999</v>
      </c>
      <c r="K49" s="156">
        <v>2</v>
      </c>
      <c r="L49" s="156">
        <v>2.8</v>
      </c>
      <c r="M49" s="156">
        <v>3.6</v>
      </c>
      <c r="N49" s="156">
        <v>4.5999999999999996</v>
      </c>
      <c r="O49" s="156">
        <v>5.6</v>
      </c>
      <c r="P49" s="156">
        <f>SUM(BU49:BX49)</f>
        <v>6.4</v>
      </c>
      <c r="Q49" s="156">
        <f>SUM(BY49:CB49)</f>
        <v>6.94</v>
      </c>
      <c r="R49" s="156">
        <f>SUM(CC49:CF49)</f>
        <v>7.46</v>
      </c>
      <c r="S49" s="156">
        <f>SUM(CG49:CJ49)</f>
        <v>8.5500000000000007</v>
      </c>
      <c r="T49" s="156">
        <f>SUM(CK49:CN49)</f>
        <v>9.8000000000000007</v>
      </c>
      <c r="U49" s="156">
        <f>SUM(CO49:CR49)</f>
        <v>10.8</v>
      </c>
      <c r="V49" s="156">
        <f>SUM(CS49:CV49)</f>
        <v>12</v>
      </c>
      <c r="W49" s="268">
        <f>V49*1.1</f>
        <v>13.200000000000001</v>
      </c>
      <c r="X49" s="268">
        <f>W49*1.1</f>
        <v>14.520000000000003</v>
      </c>
      <c r="Y49" s="268">
        <f>X49*1.1</f>
        <v>15.972000000000005</v>
      </c>
      <c r="AA49" s="53"/>
      <c r="AB49" s="53">
        <f t="shared" ref="AB49:AQ49" si="81">(J49/I49-1)*100</f>
        <v>-53.629032258064527</v>
      </c>
      <c r="AC49" s="53">
        <f t="shared" si="81"/>
        <v>73.913043478260889</v>
      </c>
      <c r="AD49" s="53">
        <f t="shared" si="81"/>
        <v>39.999999999999993</v>
      </c>
      <c r="AE49" s="53">
        <f t="shared" si="81"/>
        <v>28.57142857142858</v>
      </c>
      <c r="AF49" s="53">
        <f t="shared" si="81"/>
        <v>27.777777777777768</v>
      </c>
      <c r="AG49" s="53">
        <f t="shared" si="81"/>
        <v>21.739130434782616</v>
      </c>
      <c r="AH49" s="53">
        <f t="shared" si="81"/>
        <v>14.285714285714302</v>
      </c>
      <c r="AI49" s="53">
        <f t="shared" si="81"/>
        <v>8.4375000000000089</v>
      </c>
      <c r="AJ49" s="53">
        <f t="shared" si="81"/>
        <v>7.4927953890489896</v>
      </c>
      <c r="AK49" s="53">
        <f t="shared" si="81"/>
        <v>14.611260053619324</v>
      </c>
      <c r="AL49" s="53">
        <f t="shared" si="81"/>
        <v>14.619883040935665</v>
      </c>
      <c r="AM49" s="53">
        <f t="shared" si="81"/>
        <v>10.20408163265305</v>
      </c>
      <c r="AN49" s="53">
        <f t="shared" si="81"/>
        <v>11.111111111111093</v>
      </c>
      <c r="AO49" s="53">
        <f t="shared" si="81"/>
        <v>10.000000000000009</v>
      </c>
      <c r="AP49" s="53">
        <f t="shared" si="81"/>
        <v>10.000000000000009</v>
      </c>
      <c r="AQ49" s="53">
        <f t="shared" si="81"/>
        <v>10.000000000000009</v>
      </c>
      <c r="AR49" s="7"/>
      <c r="AS49" s="269"/>
      <c r="AU49" s="269"/>
      <c r="AY49" s="266" t="s">
        <v>154</v>
      </c>
      <c r="BA49" s="53"/>
      <c r="BB49" s="53"/>
      <c r="BC49" s="53"/>
      <c r="BD49" s="53"/>
      <c r="BE49" s="270">
        <v>0.7</v>
      </c>
      <c r="BF49" s="270">
        <v>0.7</v>
      </c>
      <c r="BG49" s="270">
        <v>0.7</v>
      </c>
      <c r="BH49" s="270">
        <f>+L49-SUM(BE49:BG49)</f>
        <v>0.70000000000000018</v>
      </c>
      <c r="BI49" s="270">
        <v>0.85</v>
      </c>
      <c r="BJ49" s="270">
        <v>0.85</v>
      </c>
      <c r="BK49" s="270">
        <v>0.85</v>
      </c>
      <c r="BL49" s="270">
        <f>+M49-SUM(BI49:BK49)</f>
        <v>1.0500000000000003</v>
      </c>
      <c r="BM49" s="270">
        <v>1.05</v>
      </c>
      <c r="BN49" s="270">
        <v>1.05</v>
      </c>
      <c r="BO49" s="270">
        <v>1.25</v>
      </c>
      <c r="BP49" s="270">
        <f>+N49-SUM(BM49:BO49)</f>
        <v>1.2499999999999996</v>
      </c>
      <c r="BQ49" s="270">
        <v>1.45</v>
      </c>
      <c r="BR49" s="270">
        <v>1.45</v>
      </c>
      <c r="BS49" s="270">
        <v>1.45</v>
      </c>
      <c r="BT49" s="270">
        <f>+O49-SUM(BQ49:BS49)</f>
        <v>1.25</v>
      </c>
      <c r="BU49" s="270">
        <v>1.6</v>
      </c>
      <c r="BV49" s="270">
        <v>1.6</v>
      </c>
      <c r="BW49" s="270">
        <v>1.6</v>
      </c>
      <c r="BX49" s="270">
        <v>1.6</v>
      </c>
      <c r="BY49" s="270">
        <v>1.6</v>
      </c>
      <c r="BZ49" s="270">
        <v>1.78</v>
      </c>
      <c r="CA49" s="270">
        <v>1.78</v>
      </c>
      <c r="CB49" s="270">
        <v>1.78</v>
      </c>
      <c r="CC49" s="156">
        <v>1.95</v>
      </c>
      <c r="CD49" s="156">
        <v>1.78</v>
      </c>
      <c r="CE49" s="156">
        <v>1.78</v>
      </c>
      <c r="CF49" s="156">
        <v>1.95</v>
      </c>
      <c r="CG49" s="156">
        <v>1.95</v>
      </c>
      <c r="CH49" s="156">
        <v>2.2000000000000002</v>
      </c>
      <c r="CI49" s="156">
        <v>2.2000000000000002</v>
      </c>
      <c r="CJ49" s="156">
        <v>2.2000000000000002</v>
      </c>
      <c r="CK49" s="156">
        <v>2.4500000000000002</v>
      </c>
      <c r="CL49" s="156">
        <v>2.4500000000000002</v>
      </c>
      <c r="CM49" s="156">
        <v>2.4500000000000002</v>
      </c>
      <c r="CN49" s="156">
        <v>2.4500000000000002</v>
      </c>
      <c r="CO49" s="156">
        <v>2.7</v>
      </c>
      <c r="CP49" s="156">
        <v>2.7</v>
      </c>
      <c r="CQ49" s="156">
        <v>2.7</v>
      </c>
      <c r="CR49" s="156">
        <v>2.7</v>
      </c>
      <c r="CS49" s="156">
        <v>3</v>
      </c>
      <c r="CT49" s="156">
        <v>3</v>
      </c>
      <c r="CU49" s="156">
        <v>3</v>
      </c>
      <c r="CV49" s="156">
        <v>3</v>
      </c>
      <c r="CW49" s="268">
        <v>3.3</v>
      </c>
      <c r="CX49" s="268">
        <v>3.3</v>
      </c>
      <c r="CY49" s="268">
        <v>3.3</v>
      </c>
      <c r="CZ49" s="268">
        <v>3.3</v>
      </c>
      <c r="DB49" s="9"/>
      <c r="DC49" s="9"/>
      <c r="DD49" s="9"/>
      <c r="DE49" s="9"/>
      <c r="DF49" s="53">
        <f t="shared" ref="DF49:EW49" si="82">(BI49/BE49-1)*100</f>
        <v>21.428571428571441</v>
      </c>
      <c r="DG49" s="53">
        <f t="shared" si="82"/>
        <v>21.428571428571441</v>
      </c>
      <c r="DH49" s="53">
        <f t="shared" si="82"/>
        <v>21.428571428571441</v>
      </c>
      <c r="DI49" s="53">
        <f t="shared" si="82"/>
        <v>50</v>
      </c>
      <c r="DJ49" s="53">
        <f t="shared" si="82"/>
        <v>23.529411764705888</v>
      </c>
      <c r="DK49" s="53">
        <f t="shared" si="82"/>
        <v>23.529411764705888</v>
      </c>
      <c r="DL49" s="53">
        <f t="shared" si="82"/>
        <v>47.058823529411775</v>
      </c>
      <c r="DM49" s="53">
        <f t="shared" si="82"/>
        <v>19.04761904761898</v>
      </c>
      <c r="DN49" s="53">
        <f t="shared" si="82"/>
        <v>38.095238095238095</v>
      </c>
      <c r="DO49" s="53">
        <f t="shared" si="82"/>
        <v>38.095238095238095</v>
      </c>
      <c r="DP49" s="53">
        <f t="shared" si="82"/>
        <v>15.999999999999993</v>
      </c>
      <c r="DQ49" s="53">
        <f t="shared" si="82"/>
        <v>4.4408920985006262E-14</v>
      </c>
      <c r="DR49" s="53">
        <f t="shared" si="82"/>
        <v>10.344827586206895</v>
      </c>
      <c r="DS49" s="53">
        <f t="shared" si="82"/>
        <v>10.344827586206895</v>
      </c>
      <c r="DT49" s="53">
        <f t="shared" si="82"/>
        <v>10.344827586206895</v>
      </c>
      <c r="DU49" s="53">
        <f t="shared" si="82"/>
        <v>28.000000000000004</v>
      </c>
      <c r="DV49" s="53">
        <f t="shared" si="82"/>
        <v>0</v>
      </c>
      <c r="DW49" s="53">
        <f t="shared" si="82"/>
        <v>11.250000000000004</v>
      </c>
      <c r="DX49" s="53">
        <f t="shared" si="82"/>
        <v>11.250000000000004</v>
      </c>
      <c r="DY49" s="53">
        <f t="shared" si="82"/>
        <v>11.250000000000004</v>
      </c>
      <c r="DZ49" s="53">
        <f t="shared" si="82"/>
        <v>21.875</v>
      </c>
      <c r="EA49" s="53">
        <f t="shared" si="82"/>
        <v>0</v>
      </c>
      <c r="EB49" s="53">
        <f t="shared" si="82"/>
        <v>0</v>
      </c>
      <c r="EC49" s="53">
        <f t="shared" si="82"/>
        <v>9.550561797752799</v>
      </c>
      <c r="ED49" s="53">
        <f t="shared" si="82"/>
        <v>0</v>
      </c>
      <c r="EE49" s="53">
        <f t="shared" si="82"/>
        <v>23.59550561797754</v>
      </c>
      <c r="EF49" s="53">
        <f t="shared" si="82"/>
        <v>23.59550561797754</v>
      </c>
      <c r="EG49" s="53">
        <f t="shared" si="82"/>
        <v>12.820512820512842</v>
      </c>
      <c r="EH49" s="53">
        <f t="shared" si="82"/>
        <v>25.64102564102566</v>
      </c>
      <c r="EI49" s="53">
        <f t="shared" si="82"/>
        <v>11.363636363636353</v>
      </c>
      <c r="EJ49" s="53">
        <f t="shared" si="82"/>
        <v>11.363636363636353</v>
      </c>
      <c r="EK49" s="53">
        <f t="shared" si="82"/>
        <v>11.363636363636353</v>
      </c>
      <c r="EL49" s="53">
        <f t="shared" si="82"/>
        <v>10.20408163265305</v>
      </c>
      <c r="EM49" s="53">
        <f t="shared" si="82"/>
        <v>10.20408163265305</v>
      </c>
      <c r="EN49" s="53">
        <f t="shared" si="82"/>
        <v>10.20408163265305</v>
      </c>
      <c r="EO49" s="53">
        <f t="shared" si="82"/>
        <v>10.20408163265305</v>
      </c>
      <c r="EP49" s="53">
        <f t="shared" si="82"/>
        <v>11.111111111111093</v>
      </c>
      <c r="EQ49" s="53">
        <f t="shared" si="82"/>
        <v>11.111111111111093</v>
      </c>
      <c r="ER49" s="53">
        <f t="shared" si="82"/>
        <v>11.111111111111093</v>
      </c>
      <c r="ES49" s="53">
        <f t="shared" si="82"/>
        <v>11.111111111111093</v>
      </c>
      <c r="ET49" s="53">
        <f t="shared" si="82"/>
        <v>9.9999999999999858</v>
      </c>
      <c r="EU49" s="53">
        <f t="shared" si="82"/>
        <v>9.9999999999999858</v>
      </c>
      <c r="EV49" s="53">
        <f t="shared" si="82"/>
        <v>9.9999999999999858</v>
      </c>
      <c r="EW49" s="53">
        <f t="shared" si="82"/>
        <v>9.9999999999999858</v>
      </c>
    </row>
    <row r="50" spans="2:153" s="70" customFormat="1">
      <c r="B50" s="271" t="s">
        <v>155</v>
      </c>
      <c r="C50" s="68"/>
      <c r="D50" s="68"/>
      <c r="E50" s="68"/>
      <c r="F50" s="68"/>
      <c r="G50" s="68"/>
      <c r="H50" s="272"/>
      <c r="I50" s="272">
        <f t="shared" ref="I50:Y50" si="83">I49/I29</f>
        <v>0.91886026191087533</v>
      </c>
      <c r="J50" s="272">
        <f t="shared" si="83"/>
        <v>0.31260451841240489</v>
      </c>
      <c r="K50" s="272">
        <f t="shared" si="83"/>
        <v>0.46242788956213543</v>
      </c>
      <c r="L50" s="272">
        <f t="shared" si="83"/>
        <v>0.57089318343032036</v>
      </c>
      <c r="M50" s="272">
        <f t="shared" si="83"/>
        <v>0.6988876453047147</v>
      </c>
      <c r="N50" s="272">
        <f t="shared" si="83"/>
        <v>0.79231061668605907</v>
      </c>
      <c r="O50" s="272">
        <f t="shared" si="83"/>
        <v>0.86265329294088111</v>
      </c>
      <c r="P50" s="272">
        <f t="shared" si="83"/>
        <v>0.98397218396818176</v>
      </c>
      <c r="Q50" s="272">
        <f t="shared" si="83"/>
        <v>0.98987969736932846</v>
      </c>
      <c r="R50" s="272">
        <f t="shared" si="83"/>
        <v>0.69228689777666053</v>
      </c>
      <c r="S50" s="272">
        <f t="shared" si="83"/>
        <v>0.60272284069028292</v>
      </c>
      <c r="T50" s="272">
        <f t="shared" si="83"/>
        <v>0.71687406693965849</v>
      </c>
      <c r="U50" s="272">
        <f t="shared" si="83"/>
        <v>0.81198192404748648</v>
      </c>
      <c r="V50" s="272">
        <f t="shared" si="83"/>
        <v>0.99092802454233575</v>
      </c>
      <c r="W50" s="272">
        <f t="shared" si="83"/>
        <v>1.055981034561098</v>
      </c>
      <c r="X50" s="272">
        <f t="shared" si="83"/>
        <v>1.071550533839958</v>
      </c>
      <c r="Y50" s="272">
        <f t="shared" si="83"/>
        <v>1.0827128437045672</v>
      </c>
      <c r="AA50" s="68"/>
      <c r="AB50" s="68"/>
      <c r="AC50" s="68"/>
      <c r="AD50" s="68"/>
      <c r="AE50" s="68"/>
      <c r="AF50" s="68"/>
      <c r="AG50" s="68"/>
      <c r="AH50" s="68"/>
      <c r="AI50" s="68"/>
      <c r="AJ50" s="68"/>
      <c r="AK50" s="68"/>
      <c r="AL50" s="68"/>
      <c r="AM50" s="68"/>
      <c r="AN50" s="68"/>
      <c r="AO50" s="68"/>
      <c r="AP50" s="68"/>
      <c r="AQ50" s="68"/>
      <c r="AS50" s="68"/>
      <c r="AT50" s="273"/>
      <c r="AU50" s="68"/>
      <c r="AV50" s="273"/>
      <c r="AW50" s="273"/>
      <c r="AY50" s="271"/>
      <c r="BA50" s="68"/>
      <c r="BB50" s="68"/>
      <c r="BC50" s="68"/>
      <c r="BD50" s="68"/>
      <c r="BE50" s="272">
        <f t="shared" ref="BE50:CZ50" si="84">BE49/BE29</f>
        <v>1.0718486260623223</v>
      </c>
      <c r="BF50" s="272">
        <f t="shared" si="84"/>
        <v>0.37736676515503537</v>
      </c>
      <c r="BG50" s="272">
        <f t="shared" si="84"/>
        <v>0.42620653289868193</v>
      </c>
      <c r="BH50" s="272">
        <f t="shared" si="84"/>
        <v>0.92883257968414756</v>
      </c>
      <c r="BI50" s="272">
        <f t="shared" si="84"/>
        <v>1.1960145844144607</v>
      </c>
      <c r="BJ50" s="272">
        <f t="shared" si="84"/>
        <v>0.46682475324237815</v>
      </c>
      <c r="BK50" s="272">
        <f t="shared" si="84"/>
        <v>0.47832043656607126</v>
      </c>
      <c r="BL50" s="272">
        <f t="shared" si="84"/>
        <v>1.2473797210300299</v>
      </c>
      <c r="BM50" s="272">
        <f t="shared" si="84"/>
        <v>1.4879578639261068</v>
      </c>
      <c r="BN50" s="272">
        <f t="shared" si="84"/>
        <v>0.50827406097380501</v>
      </c>
      <c r="BO50" s="272">
        <f t="shared" si="84"/>
        <v>0.68724429576400836</v>
      </c>
      <c r="BP50" s="272">
        <f t="shared" si="84"/>
        <v>1.025505640116247</v>
      </c>
      <c r="BQ50" s="272">
        <f t="shared" si="84"/>
        <v>1.6346130436210757</v>
      </c>
      <c r="BR50" s="272">
        <f t="shared" si="84"/>
        <v>0.60363310548175797</v>
      </c>
      <c r="BS50" s="272">
        <f t="shared" si="84"/>
        <v>0.68595357285291858</v>
      </c>
      <c r="BT50" s="272">
        <f t="shared" si="84"/>
        <v>1.2215283459757376</v>
      </c>
      <c r="BU50" s="272">
        <f t="shared" si="84"/>
        <v>1.8279202736359719</v>
      </c>
      <c r="BV50" s="272">
        <f t="shared" si="84"/>
        <v>0.66720797638061913</v>
      </c>
      <c r="BW50" s="272">
        <f t="shared" si="84"/>
        <v>0.72752653936138201</v>
      </c>
      <c r="BX50" s="272">
        <f t="shared" si="84"/>
        <v>1.7375521291123492</v>
      </c>
      <c r="BY50" s="272">
        <f t="shared" si="84"/>
        <v>2.2176731330879824</v>
      </c>
      <c r="BZ50" s="272">
        <f t="shared" si="84"/>
        <v>0.78867796636298082</v>
      </c>
      <c r="CA50" s="272">
        <f t="shared" si="84"/>
        <v>0.64426627729728536</v>
      </c>
      <c r="CB50" s="272">
        <f t="shared" si="84"/>
        <v>1.5641904426895226</v>
      </c>
      <c r="CC50" s="272">
        <f t="shared" si="84"/>
        <v>1.4048936804111118</v>
      </c>
      <c r="CD50" s="272">
        <f t="shared" si="84"/>
        <v>0.48008692571219752</v>
      </c>
      <c r="CE50" s="272">
        <f t="shared" si="84"/>
        <v>0.49170489033686154</v>
      </c>
      <c r="CF50" s="272">
        <f t="shared" si="84"/>
        <v>0.96404926456249929</v>
      </c>
      <c r="CG50" s="272">
        <f t="shared" si="84"/>
        <v>0.67216377510897962</v>
      </c>
      <c r="CH50" s="272">
        <f t="shared" si="84"/>
        <v>0.44658493830970275</v>
      </c>
      <c r="CI50" s="272">
        <f t="shared" si="84"/>
        <v>0.54606958045130638</v>
      </c>
      <c r="CJ50" s="272">
        <f t="shared" si="84"/>
        <v>0.93614620107840485</v>
      </c>
      <c r="CK50" s="272">
        <f t="shared" si="84"/>
        <v>0.86633300150006731</v>
      </c>
      <c r="CL50" s="272">
        <f t="shared" si="84"/>
        <v>0.5548924801676115</v>
      </c>
      <c r="CM50" s="272">
        <f t="shared" si="84"/>
        <v>0.56346777491355005</v>
      </c>
      <c r="CN50" s="272">
        <f t="shared" si="84"/>
        <v>1.1891239754746847</v>
      </c>
      <c r="CO50" s="274">
        <f t="shared" si="84"/>
        <v>1.2461178974154277</v>
      </c>
      <c r="CP50" s="274">
        <f t="shared" si="84"/>
        <v>0.60185673096290326</v>
      </c>
      <c r="CQ50" s="274">
        <f t="shared" si="84"/>
        <v>0.63912614533915546</v>
      </c>
      <c r="CR50" s="272">
        <f t="shared" si="84"/>
        <v>1.1414909324132052</v>
      </c>
      <c r="CS50" s="272">
        <f t="shared" si="84"/>
        <v>1.5579822058198074</v>
      </c>
      <c r="CT50" s="272">
        <f t="shared" si="84"/>
        <v>0.66314165898724986</v>
      </c>
      <c r="CU50" s="272">
        <f t="shared" si="84"/>
        <v>0.75398467575162931</v>
      </c>
      <c r="CV50" s="272">
        <f t="shared" si="84"/>
        <v>1.7848999952938929</v>
      </c>
      <c r="CW50" s="272">
        <f t="shared" si="84"/>
        <v>2.4416726108393849</v>
      </c>
      <c r="CX50" s="272">
        <f t="shared" si="84"/>
        <v>0.72577538711080014</v>
      </c>
      <c r="CY50" s="272">
        <f t="shared" si="84"/>
        <v>0.73369693989889118</v>
      </c>
      <c r="CZ50" s="272">
        <f t="shared" si="84"/>
        <v>1.5736513752853307</v>
      </c>
      <c r="DB50" s="273"/>
      <c r="DC50" s="273"/>
      <c r="DD50" s="273"/>
      <c r="DE50" s="273"/>
      <c r="DF50" s="68"/>
      <c r="DG50" s="68"/>
      <c r="DH50" s="68"/>
      <c r="DI50" s="68"/>
      <c r="DJ50" s="68"/>
      <c r="DK50" s="68"/>
      <c r="DL50" s="68"/>
      <c r="DM50" s="68"/>
      <c r="DN50" s="68"/>
      <c r="DO50" s="68"/>
      <c r="DP50" s="68"/>
      <c r="DQ50" s="68"/>
      <c r="DR50" s="68"/>
      <c r="DS50" s="68"/>
      <c r="DT50" s="68"/>
      <c r="DU50" s="68"/>
      <c r="DV50" s="68"/>
      <c r="DW50" s="68"/>
      <c r="DX50" s="68"/>
      <c r="DY50" s="68"/>
      <c r="DZ50" s="68"/>
      <c r="EA50" s="68"/>
      <c r="EB50" s="68"/>
      <c r="EC50" s="68"/>
      <c r="ED50" s="68"/>
      <c r="EE50" s="68"/>
      <c r="EF50" s="68"/>
      <c r="EG50" s="68"/>
      <c r="EH50" s="68"/>
      <c r="EI50" s="68"/>
      <c r="EJ50" s="68"/>
      <c r="EK50" s="68"/>
      <c r="EL50" s="68"/>
      <c r="EM50" s="68"/>
      <c r="EN50" s="68"/>
      <c r="EO50" s="68"/>
      <c r="EP50" s="68"/>
      <c r="EQ50" s="68"/>
      <c r="ER50" s="68"/>
      <c r="ES50" s="68"/>
      <c r="ET50" s="68"/>
      <c r="EU50" s="68"/>
      <c r="EV50" s="68"/>
      <c r="EW50" s="68"/>
    </row>
    <row r="51" spans="2:153">
      <c r="B51" s="264"/>
      <c r="C51" s="174"/>
      <c r="D51" s="174"/>
      <c r="E51" s="174"/>
      <c r="F51" s="174"/>
      <c r="G51" s="174"/>
      <c r="H51" s="174"/>
      <c r="I51" s="174"/>
      <c r="J51" s="174"/>
      <c r="K51" s="174"/>
      <c r="L51" s="174"/>
      <c r="M51" s="174"/>
      <c r="N51" s="174"/>
      <c r="O51" s="275"/>
      <c r="P51" s="275"/>
      <c r="Q51" s="188"/>
      <c r="R51" s="188"/>
      <c r="S51" s="188"/>
      <c r="T51" s="188"/>
      <c r="U51" s="188"/>
      <c r="V51" s="188"/>
      <c r="W51" s="188"/>
      <c r="X51" s="188"/>
      <c r="Y51" s="188"/>
      <c r="AR51" s="7"/>
      <c r="AS51" s="188"/>
      <c r="AU51" s="188"/>
      <c r="AY51" s="264"/>
      <c r="BA51" s="188"/>
      <c r="BB51" s="188"/>
      <c r="BC51" s="188"/>
      <c r="BD51" s="188"/>
      <c r="BE51" s="174"/>
      <c r="BF51" s="174"/>
      <c r="BG51" s="174"/>
      <c r="BH51" s="174"/>
      <c r="BI51" s="188">
        <f>+BI20/BI18</f>
        <v>0.17384565838734348</v>
      </c>
      <c r="BJ51" s="188">
        <f t="shared" ref="BJ51:BT51" si="85">+BJ20/BJ18</f>
        <v>0.14418720395414292</v>
      </c>
      <c r="BK51" s="188">
        <f t="shared" si="85"/>
        <v>0.1472393156613471</v>
      </c>
      <c r="BL51" s="188">
        <f t="shared" si="85"/>
        <v>0.17969580291652781</v>
      </c>
      <c r="BM51" s="188">
        <f t="shared" si="85"/>
        <v>0.15991484697748912</v>
      </c>
      <c r="BN51" s="188">
        <f t="shared" si="85"/>
        <v>0.13383607019522165</v>
      </c>
      <c r="BO51" s="188">
        <f t="shared" si="85"/>
        <v>0.13342946663818289</v>
      </c>
      <c r="BP51" s="188">
        <f t="shared" si="85"/>
        <v>0.15662590383526007</v>
      </c>
      <c r="BQ51" s="188">
        <f t="shared" si="85"/>
        <v>0.15285168253016568</v>
      </c>
      <c r="BR51" s="188">
        <f t="shared" si="85"/>
        <v>0.13403571454719843</v>
      </c>
      <c r="BS51" s="188">
        <f t="shared" si="85"/>
        <v>0.1461690721649484</v>
      </c>
      <c r="BT51" s="188">
        <f t="shared" si="85"/>
        <v>0.16184185630493489</v>
      </c>
    </row>
    <row r="52" spans="2:153">
      <c r="B52" s="276" t="s">
        <v>156</v>
      </c>
      <c r="C52" s="277"/>
      <c r="D52" s="277"/>
      <c r="E52" s="277"/>
      <c r="F52" s="277"/>
      <c r="G52" s="277"/>
      <c r="H52" s="277">
        <f t="shared" ref="H52:Y52" si="86">H16+H11</f>
        <v>210.77499999999984</v>
      </c>
      <c r="I52" s="277">
        <f t="shared" si="86"/>
        <v>240.81900000000002</v>
      </c>
      <c r="J52" s="277">
        <f t="shared" si="86"/>
        <v>288.91499999999974</v>
      </c>
      <c r="K52" s="277">
        <f t="shared" si="86"/>
        <v>323.67400000000009</v>
      </c>
      <c r="L52" s="277">
        <f t="shared" si="86"/>
        <v>355.8649999999995</v>
      </c>
      <c r="M52" s="277">
        <f t="shared" si="86"/>
        <v>365.69800000000026</v>
      </c>
      <c r="N52" s="277">
        <f t="shared" si="86"/>
        <v>375.9070000000001</v>
      </c>
      <c r="O52" s="277">
        <f t="shared" si="86"/>
        <v>394.17700000000002</v>
      </c>
      <c r="P52" s="277">
        <f>P16+P11</f>
        <v>391.3960000000003</v>
      </c>
      <c r="Q52" s="277">
        <f t="shared" si="86"/>
        <v>426.94200000000006</v>
      </c>
      <c r="R52" s="277">
        <f t="shared" si="86"/>
        <v>656.65499999999975</v>
      </c>
      <c r="S52" s="277">
        <f t="shared" si="86"/>
        <v>866.89699999999993</v>
      </c>
      <c r="T52" s="277">
        <f t="shared" si="86"/>
        <v>829.89999999999986</v>
      </c>
      <c r="U52" s="277">
        <f t="shared" si="86"/>
        <v>822.59700000000021</v>
      </c>
      <c r="V52" s="277">
        <f t="shared" si="86"/>
        <v>764.0990000000005</v>
      </c>
      <c r="W52" s="277">
        <f t="shared" si="86"/>
        <v>809.90915931500035</v>
      </c>
      <c r="X52" s="277">
        <f t="shared" si="86"/>
        <v>872.10233406240025</v>
      </c>
      <c r="Y52" s="277">
        <f t="shared" si="86"/>
        <v>941.57385043577676</v>
      </c>
      <c r="AA52" s="65">
        <f t="shared" ref="AA52:AQ52" si="87">(I52/H52-1)*100</f>
        <v>14.254062388803312</v>
      </c>
      <c r="AB52" s="54">
        <f t="shared" si="87"/>
        <v>19.971846075268029</v>
      </c>
      <c r="AC52" s="54">
        <f t="shared" si="87"/>
        <v>12.030874132530457</v>
      </c>
      <c r="AD52" s="54">
        <f t="shared" si="87"/>
        <v>9.9455007198599112</v>
      </c>
      <c r="AE52" s="54">
        <f t="shared" si="87"/>
        <v>2.7631264664973454</v>
      </c>
      <c r="AF52" s="54">
        <f t="shared" si="87"/>
        <v>2.7916477530639527</v>
      </c>
      <c r="AG52" s="54">
        <f t="shared" si="87"/>
        <v>4.8602446881808259</v>
      </c>
      <c r="AH52" s="65">
        <f t="shared" si="87"/>
        <v>-0.70552061637277896</v>
      </c>
      <c r="AI52" s="54">
        <f t="shared" si="87"/>
        <v>9.0818506065467588</v>
      </c>
      <c r="AJ52" s="54">
        <f t="shared" si="87"/>
        <v>53.804263811009378</v>
      </c>
      <c r="AK52" s="54">
        <f t="shared" si="87"/>
        <v>32.017117055379195</v>
      </c>
      <c r="AL52" s="54">
        <f t="shared" si="87"/>
        <v>-4.2677503786493709</v>
      </c>
      <c r="AM52" s="54">
        <f t="shared" si="87"/>
        <v>-0.87998554042652</v>
      </c>
      <c r="AN52" s="54">
        <f t="shared" si="87"/>
        <v>-7.1113801776568231</v>
      </c>
      <c r="AO52" s="54">
        <f t="shared" si="87"/>
        <v>5.9953172710603964</v>
      </c>
      <c r="AP52" s="54">
        <f t="shared" si="87"/>
        <v>7.67903091749218</v>
      </c>
      <c r="AQ52" s="54">
        <f t="shared" si="87"/>
        <v>7.9659821628691674</v>
      </c>
      <c r="AR52" s="7"/>
      <c r="AS52" s="278">
        <f>AS16+AS11</f>
        <v>957.13098040000068</v>
      </c>
      <c r="AU52" s="278">
        <f>AU16+AU11</f>
        <v>1058.2430849376995</v>
      </c>
      <c r="AY52" s="276" t="s">
        <v>156</v>
      </c>
      <c r="AZ52" s="60"/>
      <c r="BA52" s="277"/>
      <c r="BB52" s="277"/>
      <c r="BC52" s="277"/>
      <c r="BD52" s="279"/>
      <c r="BE52" s="277">
        <f t="shared" ref="BE52:CZ52" si="88">BE16+BE11</f>
        <v>51.629000000000012</v>
      </c>
      <c r="BF52" s="277">
        <f t="shared" si="88"/>
        <v>129.64700000000013</v>
      </c>
      <c r="BG52" s="277">
        <f t="shared" si="88"/>
        <v>115.4869999999999</v>
      </c>
      <c r="BH52" s="277">
        <f t="shared" si="88"/>
        <v>59.101999999999286</v>
      </c>
      <c r="BI52" s="277">
        <f t="shared" si="88"/>
        <v>55.625000000000007</v>
      </c>
      <c r="BJ52" s="277">
        <f t="shared" si="88"/>
        <v>122.676</v>
      </c>
      <c r="BK52" s="277">
        <f t="shared" si="88"/>
        <v>124.33499999999995</v>
      </c>
      <c r="BL52" s="277">
        <f t="shared" si="88"/>
        <v>63.062000000000296</v>
      </c>
      <c r="BM52" s="277">
        <f t="shared" si="88"/>
        <v>54.064000000000043</v>
      </c>
      <c r="BN52" s="277">
        <f t="shared" si="88"/>
        <v>134.917</v>
      </c>
      <c r="BO52" s="277">
        <f t="shared" si="88"/>
        <v>120.03599999999986</v>
      </c>
      <c r="BP52" s="277">
        <f t="shared" si="88"/>
        <v>66.890000000000114</v>
      </c>
      <c r="BQ52" s="277">
        <f t="shared" si="88"/>
        <v>59.47499999999998</v>
      </c>
      <c r="BR52" s="277">
        <f t="shared" si="88"/>
        <v>142.83499999999998</v>
      </c>
      <c r="BS52" s="277">
        <f t="shared" si="88"/>
        <v>127.77000000000002</v>
      </c>
      <c r="BT52" s="277">
        <f t="shared" si="88"/>
        <v>64.097000000000008</v>
      </c>
      <c r="BU52" s="280">
        <f t="shared" si="88"/>
        <v>60.899999999999991</v>
      </c>
      <c r="BV52" s="277">
        <f t="shared" si="88"/>
        <v>140.28800000000015</v>
      </c>
      <c r="BW52" s="277">
        <f t="shared" si="88"/>
        <v>131.64600000000004</v>
      </c>
      <c r="BX52" s="279">
        <f t="shared" si="88"/>
        <v>58.562000000000069</v>
      </c>
      <c r="BY52" s="277">
        <f t="shared" si="88"/>
        <v>51.721999999999902</v>
      </c>
      <c r="BZ52" s="277">
        <f t="shared" si="88"/>
        <v>135.66800000000009</v>
      </c>
      <c r="CA52" s="277">
        <f t="shared" si="88"/>
        <v>163.23300000000015</v>
      </c>
      <c r="CB52" s="279">
        <f t="shared" si="88"/>
        <v>76.318999999999917</v>
      </c>
      <c r="CC52" s="277">
        <f t="shared" si="88"/>
        <v>88.777999999999921</v>
      </c>
      <c r="CD52" s="277">
        <f t="shared" si="88"/>
        <v>223.76200000000003</v>
      </c>
      <c r="CE52" s="277">
        <f t="shared" si="88"/>
        <v>213.79599999999994</v>
      </c>
      <c r="CF52" s="279">
        <f t="shared" si="88"/>
        <v>130.31899999999993</v>
      </c>
      <c r="CG52" s="277">
        <f t="shared" si="88"/>
        <v>178.64199999999994</v>
      </c>
      <c r="CH52" s="277">
        <f t="shared" si="88"/>
        <v>294.88000000000017</v>
      </c>
      <c r="CI52" s="277">
        <f t="shared" si="88"/>
        <v>244.31699999999995</v>
      </c>
      <c r="CJ52" s="279">
        <f t="shared" si="88"/>
        <v>149.05799999999999</v>
      </c>
      <c r="CK52" s="277">
        <f t="shared" si="88"/>
        <v>172.92300000000012</v>
      </c>
      <c r="CL52" s="277">
        <f t="shared" si="88"/>
        <v>274.13700000000011</v>
      </c>
      <c r="CM52" s="277">
        <f t="shared" si="88"/>
        <v>265.40799999999973</v>
      </c>
      <c r="CN52" s="279">
        <f t="shared" si="88"/>
        <v>117.43199999999993</v>
      </c>
      <c r="CO52" s="280">
        <f t="shared" si="88"/>
        <v>136.41899999999998</v>
      </c>
      <c r="CP52" s="277">
        <f t="shared" si="88"/>
        <v>278.81400000000002</v>
      </c>
      <c r="CQ52" s="277">
        <f t="shared" si="88"/>
        <v>260.68500000000017</v>
      </c>
      <c r="CR52" s="279">
        <f t="shared" si="88"/>
        <v>146.67900000000006</v>
      </c>
      <c r="CS52" s="277">
        <f t="shared" si="88"/>
        <v>122.96500000000003</v>
      </c>
      <c r="CT52" s="277">
        <f t="shared" si="88"/>
        <v>282.77900000000011</v>
      </c>
      <c r="CU52" s="277">
        <f t="shared" si="88"/>
        <v>245.75500000000022</v>
      </c>
      <c r="CV52" s="279">
        <f t="shared" si="88"/>
        <v>112.60000000000012</v>
      </c>
      <c r="CW52" s="277">
        <f t="shared" si="88"/>
        <v>104.44289873300004</v>
      </c>
      <c r="CX52" s="277">
        <f t="shared" si="88"/>
        <v>284.91428699599993</v>
      </c>
      <c r="CY52" s="277">
        <f t="shared" si="88"/>
        <v>276.48984181999992</v>
      </c>
      <c r="CZ52" s="279">
        <f t="shared" si="88"/>
        <v>144.06213176600002</v>
      </c>
      <c r="DB52" s="281"/>
      <c r="DC52" s="282"/>
      <c r="DD52" s="282"/>
      <c r="DE52" s="283"/>
      <c r="DF52" s="65">
        <f t="shared" ref="DF52:EW52" si="89">(BI52/BE52-1)*100</f>
        <v>7.7398361386042724</v>
      </c>
      <c r="DG52" s="54">
        <f t="shared" si="89"/>
        <v>-5.3769080657478536</v>
      </c>
      <c r="DH52" s="54">
        <f t="shared" si="89"/>
        <v>7.6614683903816649</v>
      </c>
      <c r="DI52" s="55">
        <f t="shared" si="89"/>
        <v>6.7002808703614969</v>
      </c>
      <c r="DJ52" s="65">
        <f t="shared" si="89"/>
        <v>-2.8062921348314007</v>
      </c>
      <c r="DK52" s="54">
        <f t="shared" si="89"/>
        <v>9.9783168671948808</v>
      </c>
      <c r="DL52" s="54">
        <f t="shared" si="89"/>
        <v>-3.4575944022198879</v>
      </c>
      <c r="DM52" s="55">
        <f t="shared" si="89"/>
        <v>6.0702166122225787</v>
      </c>
      <c r="DN52" s="65">
        <f t="shared" si="89"/>
        <v>10.008508434447938</v>
      </c>
      <c r="DO52" s="54">
        <f t="shared" si="89"/>
        <v>5.8687934063164526</v>
      </c>
      <c r="DP52" s="54">
        <f t="shared" si="89"/>
        <v>6.4430670798761858</v>
      </c>
      <c r="DQ52" s="55">
        <f t="shared" si="89"/>
        <v>-4.1755120346839592</v>
      </c>
      <c r="DR52" s="65">
        <f t="shared" si="89"/>
        <v>2.3959646910466814</v>
      </c>
      <c r="DS52" s="54">
        <f t="shared" si="89"/>
        <v>-1.7831763923406907</v>
      </c>
      <c r="DT52" s="54">
        <f t="shared" si="89"/>
        <v>3.0335759567973852</v>
      </c>
      <c r="DU52" s="55">
        <f t="shared" si="89"/>
        <v>-8.6353495483406988</v>
      </c>
      <c r="DV52" s="65">
        <f t="shared" si="89"/>
        <v>-15.070607553366322</v>
      </c>
      <c r="DW52" s="54">
        <f t="shared" si="89"/>
        <v>-3.2932253649635479</v>
      </c>
      <c r="DX52" s="54">
        <f t="shared" si="89"/>
        <v>23.993892712273901</v>
      </c>
      <c r="DY52" s="55">
        <f t="shared" si="89"/>
        <v>30.32171032410065</v>
      </c>
      <c r="DZ52" s="54">
        <f t="shared" si="89"/>
        <v>71.64456130853425</v>
      </c>
      <c r="EA52" s="54">
        <f t="shared" si="89"/>
        <v>64.933514166936845</v>
      </c>
      <c r="EB52" s="54">
        <f t="shared" si="89"/>
        <v>30.975966869444129</v>
      </c>
      <c r="EC52" s="55">
        <f t="shared" si="89"/>
        <v>70.755644072904616</v>
      </c>
      <c r="ED52" s="65">
        <f t="shared" si="89"/>
        <v>101.22327603685611</v>
      </c>
      <c r="EE52" s="54">
        <f t="shared" si="89"/>
        <v>31.782876449084352</v>
      </c>
      <c r="EF52" s="54">
        <f t="shared" si="89"/>
        <v>14.275758199405054</v>
      </c>
      <c r="EG52" s="55">
        <f t="shared" si="89"/>
        <v>14.379330719235162</v>
      </c>
      <c r="EH52" s="65">
        <f t="shared" si="89"/>
        <v>-3.2013748166723532</v>
      </c>
      <c r="EI52" s="54">
        <f t="shared" si="89"/>
        <v>-7.0343868692349538</v>
      </c>
      <c r="EJ52" s="54">
        <f t="shared" si="89"/>
        <v>8.6326371067096286</v>
      </c>
      <c r="EK52" s="55">
        <f t="shared" si="89"/>
        <v>-21.217244294167415</v>
      </c>
      <c r="EL52" s="65">
        <f t="shared" si="89"/>
        <v>-21.109973803369197</v>
      </c>
      <c r="EM52" s="54">
        <f t="shared" si="89"/>
        <v>1.7060812659363433</v>
      </c>
      <c r="EN52" s="54">
        <f t="shared" si="89"/>
        <v>-1.7795243549552198</v>
      </c>
      <c r="EO52" s="55">
        <f t="shared" si="89"/>
        <v>24.905477212344284</v>
      </c>
      <c r="EP52" s="54">
        <f t="shared" si="89"/>
        <v>-9.8622625880558807</v>
      </c>
      <c r="EQ52" s="54">
        <f t="shared" si="89"/>
        <v>1.4220950167495472</v>
      </c>
      <c r="ER52" s="54">
        <f t="shared" si="89"/>
        <v>-5.7272186738784097</v>
      </c>
      <c r="ES52" s="55">
        <f t="shared" si="89"/>
        <v>-23.233728072866544</v>
      </c>
      <c r="ET52" s="54">
        <f t="shared" si="89"/>
        <v>-15.062905108770785</v>
      </c>
      <c r="EU52" s="54">
        <f t="shared" si="89"/>
        <v>0.75510805116356661</v>
      </c>
      <c r="EV52" s="54">
        <f t="shared" si="89"/>
        <v>12.506293593212625</v>
      </c>
      <c r="EW52" s="55">
        <f t="shared" si="89"/>
        <v>27.941502456483015</v>
      </c>
    </row>
    <row r="53" spans="2:153">
      <c r="B53" s="284" t="s">
        <v>157</v>
      </c>
      <c r="C53" s="251"/>
      <c r="D53" s="251"/>
      <c r="E53" s="251"/>
      <c r="F53" s="251"/>
      <c r="G53" s="251"/>
      <c r="H53" s="285">
        <f t="shared" ref="H53:Y53" si="90">H52/H6</f>
        <v>7.0783095609819269E-2</v>
      </c>
      <c r="I53" s="285">
        <f t="shared" si="90"/>
        <v>7.0174595070915044E-2</v>
      </c>
      <c r="J53" s="285">
        <f t="shared" si="90"/>
        <v>7.718127976961682E-2</v>
      </c>
      <c r="K53" s="285">
        <f t="shared" si="90"/>
        <v>8.2056209342534256E-2</v>
      </c>
      <c r="L53" s="285">
        <f t="shared" si="90"/>
        <v>8.6516976037618903E-2</v>
      </c>
      <c r="M53" s="285">
        <f t="shared" si="90"/>
        <v>8.6643880567735004E-2</v>
      </c>
      <c r="N53" s="285">
        <f t="shared" si="90"/>
        <v>8.6575517249718181E-2</v>
      </c>
      <c r="O53" s="285">
        <f t="shared" si="90"/>
        <v>8.6696081711096051E-2</v>
      </c>
      <c r="P53" s="285">
        <f t="shared" si="90"/>
        <v>8.2047442101878282E-2</v>
      </c>
      <c r="Q53" s="285">
        <f t="shared" si="90"/>
        <v>8.4460550179943236E-2</v>
      </c>
      <c r="R53" s="285">
        <f t="shared" si="90"/>
        <v>0.10455970135944886</v>
      </c>
      <c r="S53" s="285">
        <f t="shared" si="90"/>
        <v>0.11917184559872339</v>
      </c>
      <c r="T53" s="285">
        <f t="shared" si="90"/>
        <v>0.11393829593945</v>
      </c>
      <c r="U53" s="285">
        <f t="shared" si="90"/>
        <v>0.10797621049373507</v>
      </c>
      <c r="V53" s="285">
        <f t="shared" si="90"/>
        <v>0.10554888670021513</v>
      </c>
      <c r="W53" s="285">
        <f t="shared" si="90"/>
        <v>0.11076918547917337</v>
      </c>
      <c r="X53" s="285">
        <f t="shared" si="90"/>
        <v>0.11468767834535899</v>
      </c>
      <c r="Y53" s="285">
        <f t="shared" si="90"/>
        <v>0.11906122917822987</v>
      </c>
      <c r="AA53" s="262"/>
      <c r="AB53" s="258"/>
      <c r="AC53" s="286"/>
      <c r="AD53" s="286"/>
      <c r="AE53" s="286"/>
      <c r="AF53" s="286"/>
      <c r="AG53" s="286"/>
      <c r="AH53" s="287"/>
      <c r="AI53" s="286"/>
      <c r="AJ53" s="286"/>
      <c r="AK53" s="286"/>
      <c r="AL53" s="286"/>
      <c r="AM53" s="286"/>
      <c r="AN53" s="286"/>
      <c r="AO53" s="286"/>
      <c r="AP53" s="286"/>
      <c r="AQ53" s="286"/>
      <c r="AR53" s="7"/>
      <c r="AS53" s="288">
        <f>AS52/AS6</f>
        <v>0.11911115075131995</v>
      </c>
      <c r="AU53" s="288">
        <f>AU52/AU6</f>
        <v>0.12542300071554266</v>
      </c>
      <c r="AY53" s="284" t="s">
        <v>157</v>
      </c>
      <c r="AZ53" s="258"/>
      <c r="BA53" s="285"/>
      <c r="BB53" s="285"/>
      <c r="BC53" s="285"/>
      <c r="BD53" s="289"/>
      <c r="BE53" s="285">
        <f t="shared" ref="BE53:CZ53" si="91">BE52/BE6</f>
        <v>6.3820503058202277E-2</v>
      </c>
      <c r="BF53" s="285">
        <f t="shared" si="91"/>
        <v>0.10596932090606898</v>
      </c>
      <c r="BG53" s="285">
        <f t="shared" si="91"/>
        <v>9.8118795730204877E-2</v>
      </c>
      <c r="BH53" s="285">
        <f t="shared" si="91"/>
        <v>6.5391628384537687E-2</v>
      </c>
      <c r="BI53" s="285">
        <f t="shared" si="91"/>
        <v>6.5331726613297267E-2</v>
      </c>
      <c r="BJ53" s="285">
        <f t="shared" si="91"/>
        <v>0.10101487523004525</v>
      </c>
      <c r="BK53" s="285">
        <f t="shared" si="91"/>
        <v>0.10017063691558062</v>
      </c>
      <c r="BL53" s="285">
        <f t="shared" si="91"/>
        <v>6.9025000793554669E-2</v>
      </c>
      <c r="BM53" s="285">
        <f t="shared" si="91"/>
        <v>6.1993246148642107E-2</v>
      </c>
      <c r="BN53" s="285">
        <f t="shared" si="91"/>
        <v>0.1057406240497083</v>
      </c>
      <c r="BO53" s="285">
        <f t="shared" si="91"/>
        <v>9.762270543619779E-2</v>
      </c>
      <c r="BP53" s="285">
        <f t="shared" si="91"/>
        <v>6.9363142858624383E-2</v>
      </c>
      <c r="BQ53" s="285">
        <f t="shared" si="91"/>
        <v>6.4187865660382218E-2</v>
      </c>
      <c r="BR53" s="285">
        <f t="shared" si="91"/>
        <v>0.10717370115618689</v>
      </c>
      <c r="BS53" s="285">
        <f t="shared" si="91"/>
        <v>9.8587430469125562E-2</v>
      </c>
      <c r="BT53" s="285">
        <f t="shared" si="91"/>
        <v>6.4657842122571196E-2</v>
      </c>
      <c r="BU53" s="290">
        <f t="shared" si="91"/>
        <v>6.5394006945294514E-2</v>
      </c>
      <c r="BV53" s="285">
        <f t="shared" si="91"/>
        <v>0.10226161092944304</v>
      </c>
      <c r="BW53" s="285">
        <f t="shared" si="91"/>
        <v>9.4375642960323775E-2</v>
      </c>
      <c r="BX53" s="289">
        <f t="shared" si="91"/>
        <v>5.4612683772958567E-2</v>
      </c>
      <c r="BY53" s="285">
        <f t="shared" si="91"/>
        <v>5.1303568098587819E-2</v>
      </c>
      <c r="BZ53" s="285">
        <f t="shared" si="91"/>
        <v>0.10009554480830177</v>
      </c>
      <c r="CA53" s="285">
        <f t="shared" si="91"/>
        <v>0.10622508005942725</v>
      </c>
      <c r="CB53" s="289">
        <f t="shared" si="91"/>
        <v>6.6093307791699363E-2</v>
      </c>
      <c r="CC53" s="285">
        <f t="shared" si="91"/>
        <v>7.8141531073356751E-2</v>
      </c>
      <c r="CD53" s="285">
        <f t="shared" si="91"/>
        <v>0.12097597370299086</v>
      </c>
      <c r="CE53" s="285">
        <f t="shared" si="91"/>
        <v>0.11993701225590703</v>
      </c>
      <c r="CF53" s="289">
        <f t="shared" si="91"/>
        <v>8.6197511021155943E-2</v>
      </c>
      <c r="CG53" s="285">
        <f t="shared" si="91"/>
        <v>0.1172522430869602</v>
      </c>
      <c r="CH53" s="285">
        <f t="shared" si="91"/>
        <v>0.13819768436395</v>
      </c>
      <c r="CI53" s="285">
        <f t="shared" si="91"/>
        <v>0.12001055115542027</v>
      </c>
      <c r="CJ53" s="289">
        <f t="shared" si="91"/>
        <v>9.4267538481289478E-2</v>
      </c>
      <c r="CK53" s="285">
        <f t="shared" si="91"/>
        <v>0.11151710808626891</v>
      </c>
      <c r="CL53" s="285">
        <f t="shared" si="91"/>
        <v>0.13685746578775534</v>
      </c>
      <c r="CM53" s="285">
        <f t="shared" si="91"/>
        <v>0.12478953567373258</v>
      </c>
      <c r="CN53" s="289">
        <f t="shared" si="91"/>
        <v>7.3248640061077924E-2</v>
      </c>
      <c r="CO53" s="291">
        <f t="shared" si="91"/>
        <v>8.7169191388321077E-2</v>
      </c>
      <c r="CP53" s="292">
        <f t="shared" si="91"/>
        <v>0.13032784126604244</v>
      </c>
      <c r="CQ53" s="292">
        <f t="shared" si="91"/>
        <v>0.12068548857519049</v>
      </c>
      <c r="CR53" s="289">
        <f t="shared" si="91"/>
        <v>8.3627239358663452E-2</v>
      </c>
      <c r="CS53" s="292">
        <f t="shared" si="91"/>
        <v>8.0312275077951231E-2</v>
      </c>
      <c r="CT53" s="292">
        <f t="shared" si="91"/>
        <v>0.13710882536333149</v>
      </c>
      <c r="CU53" s="292">
        <f t="shared" si="91"/>
        <v>0.11889424553883528</v>
      </c>
      <c r="CV53" s="289">
        <f t="shared" si="91"/>
        <v>7.1321932380980807E-2</v>
      </c>
      <c r="CW53" s="292">
        <f t="shared" si="91"/>
        <v>7.0324652878623176E-2</v>
      </c>
      <c r="CX53" s="292">
        <f t="shared" si="91"/>
        <v>0.13677638132921366</v>
      </c>
      <c r="CY53" s="292">
        <f t="shared" si="91"/>
        <v>0.13114069505035011</v>
      </c>
      <c r="CZ53" s="289">
        <f t="shared" si="91"/>
        <v>8.8105039079871633E-2</v>
      </c>
      <c r="DB53" s="287"/>
      <c r="DC53" s="286"/>
      <c r="DD53" s="286"/>
      <c r="DE53" s="293"/>
      <c r="DF53" s="255"/>
      <c r="DG53" s="103"/>
      <c r="DH53" s="103"/>
      <c r="DI53" s="104"/>
      <c r="DJ53" s="255"/>
      <c r="DK53" s="103"/>
      <c r="DL53" s="103"/>
      <c r="DM53" s="104"/>
      <c r="DN53" s="255"/>
      <c r="DO53" s="103"/>
      <c r="DP53" s="103"/>
      <c r="DQ53" s="104"/>
      <c r="DR53" s="255"/>
      <c r="DS53" s="103"/>
      <c r="DT53" s="103"/>
      <c r="DU53" s="104"/>
      <c r="DV53" s="255"/>
      <c r="DW53" s="103"/>
      <c r="DX53" s="103"/>
      <c r="DY53" s="104"/>
      <c r="DZ53" s="103"/>
      <c r="EA53" s="103"/>
      <c r="EB53" s="103"/>
      <c r="EC53" s="104"/>
      <c r="ED53" s="255"/>
      <c r="EE53" s="103"/>
      <c r="EF53" s="103"/>
      <c r="EG53" s="104"/>
      <c r="EH53" s="255"/>
      <c r="EI53" s="103"/>
      <c r="EJ53" s="103"/>
      <c r="EK53" s="104"/>
      <c r="EL53" s="255"/>
      <c r="EM53" s="103"/>
      <c r="EN53" s="103"/>
      <c r="EO53" s="104"/>
      <c r="EP53" s="103"/>
      <c r="EQ53" s="103"/>
      <c r="ER53" s="103"/>
      <c r="ES53" s="104"/>
      <c r="ET53" s="103"/>
      <c r="EU53" s="103"/>
      <c r="EV53" s="103"/>
      <c r="EW53" s="104"/>
    </row>
    <row r="54" spans="2:153">
      <c r="B54" s="294"/>
      <c r="C54" s="174"/>
      <c r="D54" s="174"/>
      <c r="E54" s="174"/>
      <c r="F54" s="174"/>
      <c r="G54" s="174"/>
      <c r="H54" s="275"/>
      <c r="I54" s="275"/>
      <c r="J54" s="275"/>
      <c r="K54" s="275"/>
      <c r="L54" s="275"/>
      <c r="M54" s="275"/>
      <c r="N54" s="275"/>
      <c r="O54" s="275"/>
      <c r="P54" s="275"/>
      <c r="Q54" s="275"/>
      <c r="R54" s="275"/>
      <c r="S54" s="275"/>
      <c r="T54" s="275"/>
      <c r="U54" s="275"/>
      <c r="V54" s="275"/>
      <c r="W54" s="275"/>
      <c r="X54" s="275"/>
      <c r="Y54" s="275"/>
      <c r="AR54" s="7"/>
      <c r="AS54" s="275"/>
      <c r="AU54" s="275"/>
      <c r="AY54" s="294"/>
      <c r="BA54" s="275"/>
      <c r="BB54" s="275"/>
      <c r="BC54" s="275"/>
      <c r="BD54" s="275"/>
      <c r="BE54" s="275"/>
      <c r="BF54" s="275"/>
      <c r="BG54" s="275"/>
      <c r="BH54" s="275"/>
      <c r="BI54" s="275"/>
      <c r="BJ54" s="275"/>
      <c r="BK54" s="275"/>
      <c r="BL54" s="275"/>
      <c r="BM54" s="275"/>
      <c r="BN54" s="275"/>
      <c r="BO54" s="275"/>
      <c r="BP54" s="275"/>
      <c r="BQ54" s="275"/>
      <c r="BR54" s="275"/>
      <c r="BS54" s="275"/>
      <c r="BT54" s="275"/>
      <c r="BU54" s="275"/>
      <c r="BV54" s="275"/>
      <c r="BW54" s="275"/>
      <c r="BX54" s="275"/>
      <c r="BY54" s="275"/>
      <c r="BZ54" s="275"/>
      <c r="CA54" s="275"/>
      <c r="CB54" s="275"/>
      <c r="CC54" s="275"/>
      <c r="CD54" s="275"/>
      <c r="CE54" s="275"/>
      <c r="CF54" s="275"/>
      <c r="CG54" s="275"/>
      <c r="CH54" s="275"/>
      <c r="CI54" s="275"/>
      <c r="CJ54" s="275"/>
      <c r="CK54" s="275"/>
      <c r="CL54" s="275"/>
      <c r="CM54" s="275"/>
      <c r="CN54" s="275"/>
      <c r="CO54" s="295"/>
      <c r="CP54" s="295"/>
      <c r="CQ54" s="295"/>
      <c r="CR54" s="275"/>
      <c r="CS54" s="295"/>
      <c r="CT54" s="295"/>
      <c r="CU54" s="295"/>
      <c r="CV54" s="275"/>
      <c r="CW54" s="295"/>
      <c r="CX54" s="295"/>
      <c r="CY54" s="295"/>
      <c r="CZ54" s="275"/>
      <c r="DB54" s="9"/>
      <c r="DC54" s="9"/>
      <c r="DD54" s="9"/>
      <c r="DE54" s="9"/>
      <c r="DF54" s="53"/>
      <c r="DG54" s="53"/>
      <c r="DH54" s="53"/>
      <c r="DI54" s="53"/>
      <c r="DJ54" s="53"/>
      <c r="DK54" s="53"/>
      <c r="DL54" s="53"/>
      <c r="DM54" s="53"/>
      <c r="DN54" s="53"/>
      <c r="DO54" s="53"/>
      <c r="DP54" s="53"/>
      <c r="DQ54" s="53"/>
      <c r="DR54" s="53"/>
      <c r="DS54" s="53"/>
      <c r="DT54" s="53"/>
      <c r="DU54" s="53"/>
      <c r="DV54" s="53"/>
      <c r="DW54" s="53"/>
      <c r="DX54" s="53"/>
      <c r="DY54" s="53"/>
      <c r="DZ54" s="53"/>
      <c r="EA54" s="53"/>
      <c r="EB54" s="53"/>
      <c r="EC54" s="53"/>
      <c r="ED54" s="53"/>
      <c r="EE54" s="53"/>
      <c r="EF54" s="53"/>
      <c r="EG54" s="53"/>
      <c r="EH54" s="53"/>
      <c r="EI54" s="53"/>
      <c r="EJ54" s="53"/>
      <c r="EK54" s="53"/>
      <c r="EL54" s="53"/>
      <c r="EM54" s="53"/>
      <c r="EN54" s="53"/>
      <c r="EO54" s="53"/>
      <c r="EP54" s="53"/>
      <c r="EQ54" s="53"/>
      <c r="ER54" s="53"/>
      <c r="ES54" s="53"/>
      <c r="ET54" s="53"/>
      <c r="EU54" s="53"/>
      <c r="EV54" s="53"/>
      <c r="EW54" s="53"/>
    </row>
    <row r="55" spans="2:153" s="84" customFormat="1" ht="13.15">
      <c r="B55" s="296" t="s">
        <v>158</v>
      </c>
      <c r="H55" s="149"/>
      <c r="I55" s="149"/>
      <c r="J55" s="149"/>
      <c r="K55" s="149"/>
      <c r="L55" s="149"/>
      <c r="M55" s="149"/>
      <c r="N55" s="149"/>
      <c r="O55" s="149"/>
      <c r="P55" s="149"/>
      <c r="Q55" s="149"/>
      <c r="R55" s="53">
        <f t="shared" ref="R55:Y55" si="92">R6</f>
        <v>6280.1919999999991</v>
      </c>
      <c r="S55" s="53">
        <f t="shared" si="92"/>
        <v>7274.3440000000001</v>
      </c>
      <c r="T55" s="53">
        <f t="shared" si="92"/>
        <v>7283.7669999999998</v>
      </c>
      <c r="U55" s="53">
        <f t="shared" si="92"/>
        <v>7618.3169999999991</v>
      </c>
      <c r="V55" s="53">
        <f t="shared" si="92"/>
        <v>7239.2900000000009</v>
      </c>
      <c r="W55" s="53">
        <f t="shared" si="92"/>
        <v>7311.6829000000007</v>
      </c>
      <c r="X55" s="53">
        <f t="shared" si="92"/>
        <v>7604.1502160000009</v>
      </c>
      <c r="Y55" s="53">
        <f t="shared" si="92"/>
        <v>7908.3162246400016</v>
      </c>
      <c r="Z55" s="7"/>
      <c r="AA55" s="7"/>
      <c r="AB55" s="7"/>
      <c r="AC55" s="9"/>
      <c r="AD55" s="9"/>
      <c r="AE55" s="9"/>
      <c r="AF55" s="9"/>
      <c r="AG55" s="9"/>
      <c r="AH55" s="9"/>
      <c r="AI55" s="9"/>
      <c r="AJ55" s="9"/>
      <c r="AK55" s="53">
        <f t="shared" ref="AK55:AQ55" si="93">(S55/R55-1)*100</f>
        <v>15.829961886515598</v>
      </c>
      <c r="AL55" s="53">
        <f t="shared" si="93"/>
        <v>0.12953745382400239</v>
      </c>
      <c r="AM55" s="53">
        <f t="shared" si="93"/>
        <v>4.5930903610727603</v>
      </c>
      <c r="AN55" s="53">
        <f t="shared" si="93"/>
        <v>-4.9752064662050515</v>
      </c>
      <c r="AO55" s="53">
        <f t="shared" si="93"/>
        <v>1.0000000000000009</v>
      </c>
      <c r="AP55" s="53">
        <f t="shared" si="93"/>
        <v>4.0000000000000036</v>
      </c>
      <c r="AQ55" s="53">
        <f t="shared" si="93"/>
        <v>4.0000000000000036</v>
      </c>
      <c r="AR55" s="297"/>
      <c r="AS55" s="149"/>
      <c r="AT55" s="149"/>
      <c r="AU55" s="149"/>
      <c r="AV55" s="149"/>
      <c r="AW55" s="149"/>
      <c r="AY55" s="296" t="s">
        <v>159</v>
      </c>
      <c r="BA55" s="149"/>
      <c r="BB55" s="149"/>
      <c r="BC55" s="149"/>
      <c r="BD55" s="149"/>
      <c r="BE55" s="149"/>
      <c r="BF55" s="149"/>
      <c r="BG55" s="149"/>
      <c r="BH55" s="149"/>
      <c r="BI55" s="149"/>
      <c r="BJ55" s="149"/>
      <c r="BK55" s="149"/>
      <c r="BL55" s="149"/>
      <c r="BM55" s="149"/>
      <c r="BN55" s="149"/>
      <c r="BO55" s="149"/>
      <c r="BP55" s="149"/>
      <c r="BQ55" s="149"/>
      <c r="BR55" s="149"/>
      <c r="BS55" s="149"/>
      <c r="BT55" s="149"/>
      <c r="BU55" s="149"/>
      <c r="BV55" s="149"/>
      <c r="BW55" s="149"/>
      <c r="BX55" s="149"/>
      <c r="BY55" s="149"/>
      <c r="BZ55" s="149"/>
      <c r="CA55" s="149"/>
      <c r="CB55" s="149"/>
      <c r="CC55" s="90">
        <f t="shared" ref="CC55:CY55" si="94">CC6</f>
        <v>1136.1179999999999</v>
      </c>
      <c r="CD55" s="90">
        <f t="shared" si="94"/>
        <v>1849.64</v>
      </c>
      <c r="CE55" s="90">
        <f t="shared" si="94"/>
        <v>1782.569</v>
      </c>
      <c r="CF55" s="90">
        <f t="shared" si="94"/>
        <v>1511.865</v>
      </c>
      <c r="CG55" s="90">
        <f t="shared" si="94"/>
        <v>1523.57</v>
      </c>
      <c r="CH55" s="90">
        <f t="shared" si="94"/>
        <v>2133.7550000000001</v>
      </c>
      <c r="CI55" s="90">
        <f t="shared" si="94"/>
        <v>2035.796</v>
      </c>
      <c r="CJ55" s="90">
        <f t="shared" si="94"/>
        <v>1581.223</v>
      </c>
      <c r="CK55" s="53">
        <f t="shared" si="94"/>
        <v>1550.6410000000001</v>
      </c>
      <c r="CL55" s="53">
        <f t="shared" si="94"/>
        <v>2003.0840000000001</v>
      </c>
      <c r="CM55" s="53">
        <f t="shared" si="94"/>
        <v>2126.8449999999998</v>
      </c>
      <c r="CN55" s="53">
        <f t="shared" si="94"/>
        <v>1603.1969999999999</v>
      </c>
      <c r="CO55" s="53">
        <f t="shared" si="94"/>
        <v>1564.991</v>
      </c>
      <c r="CP55" s="53">
        <f t="shared" si="94"/>
        <v>2139.328</v>
      </c>
      <c r="CQ55" s="53">
        <f t="shared" si="94"/>
        <v>2160.0360000000001</v>
      </c>
      <c r="CR55" s="53">
        <f>CR6</f>
        <v>1753.962</v>
      </c>
      <c r="CS55" s="53">
        <f t="shared" si="94"/>
        <v>1531.086</v>
      </c>
      <c r="CT55" s="53">
        <f t="shared" si="94"/>
        <v>2062.442</v>
      </c>
      <c r="CU55" s="53">
        <f t="shared" si="94"/>
        <v>2067.0050000000001</v>
      </c>
      <c r="CV55" s="53">
        <f t="shared" si="94"/>
        <v>1578.7570000000001</v>
      </c>
      <c r="CW55" s="53">
        <f t="shared" si="94"/>
        <v>1485.1534199999999</v>
      </c>
      <c r="CX55" s="53">
        <f t="shared" si="94"/>
        <v>2083.0664200000001</v>
      </c>
      <c r="CY55" s="53">
        <f t="shared" si="94"/>
        <v>2108.3451</v>
      </c>
      <c r="CZ55" s="53">
        <f>CZ6</f>
        <v>1635.1179600000005</v>
      </c>
      <c r="DA55" s="9"/>
      <c r="DB55" s="7"/>
      <c r="DC55" s="7"/>
      <c r="DD55" s="7"/>
      <c r="DE55" s="7"/>
      <c r="DF55" s="7"/>
      <c r="DG55" s="7"/>
      <c r="DH55" s="7"/>
      <c r="DI55" s="7"/>
      <c r="DJ55" s="7"/>
      <c r="DK55" s="7"/>
      <c r="DL55" s="7"/>
      <c r="DM55" s="7"/>
      <c r="DN55" s="7"/>
      <c r="DO55" s="7"/>
      <c r="DP55" s="7"/>
      <c r="DQ55" s="7"/>
      <c r="DR55" s="7"/>
      <c r="DS55" s="7"/>
      <c r="DT55" s="7"/>
      <c r="DU55" s="7"/>
      <c r="DV55" s="7"/>
      <c r="DW55" s="7"/>
      <c r="DX55" s="7"/>
      <c r="DY55" s="7"/>
      <c r="DZ55" s="53"/>
      <c r="EA55" s="53"/>
      <c r="EB55" s="53"/>
      <c r="EC55" s="53"/>
      <c r="ED55" s="53">
        <f t="shared" ref="ED55:EW55" si="95">(CG55/CC55-1)*100</f>
        <v>34.103147736414698</v>
      </c>
      <c r="EE55" s="53">
        <f t="shared" si="95"/>
        <v>15.360556648861401</v>
      </c>
      <c r="EF55" s="53">
        <f t="shared" si="95"/>
        <v>14.205733410600097</v>
      </c>
      <c r="EG55" s="53">
        <f t="shared" si="95"/>
        <v>4.5875789174298021</v>
      </c>
      <c r="EH55" s="53">
        <f t="shared" si="95"/>
        <v>1.7768136678984359</v>
      </c>
      <c r="EI55" s="53">
        <f t="shared" si="95"/>
        <v>-6.1239926795719324</v>
      </c>
      <c r="EJ55" s="53">
        <f t="shared" si="95"/>
        <v>4.4724029323173653</v>
      </c>
      <c r="EK55" s="53">
        <f t="shared" si="95"/>
        <v>1.3896838080397211</v>
      </c>
      <c r="EL55" s="53">
        <f t="shared" si="95"/>
        <v>0.92542374411612727</v>
      </c>
      <c r="EM55" s="53">
        <f t="shared" si="95"/>
        <v>6.8017117604653565</v>
      </c>
      <c r="EN55" s="53">
        <f t="shared" si="95"/>
        <v>1.5605744659342946</v>
      </c>
      <c r="EO55" s="53">
        <f t="shared" si="95"/>
        <v>9.4040220883646839</v>
      </c>
      <c r="EP55" s="53">
        <f t="shared" si="95"/>
        <v>-2.1664661330320745</v>
      </c>
      <c r="EQ55" s="53">
        <f t="shared" si="95"/>
        <v>-3.5939323002363355</v>
      </c>
      <c r="ER55" s="53">
        <f t="shared" si="95"/>
        <v>-4.3069189587580876</v>
      </c>
      <c r="ES55" s="53">
        <f t="shared" si="95"/>
        <v>-9.9890989656560407</v>
      </c>
      <c r="ET55" s="53">
        <f t="shared" si="95"/>
        <v>-3.0000000000000138</v>
      </c>
      <c r="EU55" s="53">
        <f t="shared" si="95"/>
        <v>1.0000000000000009</v>
      </c>
      <c r="EV55" s="53">
        <f t="shared" si="95"/>
        <v>2.0000000000000018</v>
      </c>
      <c r="EW55" s="53">
        <f t="shared" si="95"/>
        <v>3.5699578845889812</v>
      </c>
    </row>
    <row r="56" spans="2:153" s="84" customFormat="1" ht="13.15">
      <c r="B56" s="298" t="s">
        <v>160</v>
      </c>
      <c r="H56" s="149"/>
      <c r="I56" s="149"/>
      <c r="J56" s="149"/>
      <c r="K56" s="149"/>
      <c r="L56" s="149"/>
      <c r="M56" s="149"/>
      <c r="N56" s="149"/>
      <c r="O56" s="149"/>
      <c r="P56" s="149"/>
      <c r="Q56" s="149"/>
      <c r="R56" s="299"/>
      <c r="S56" s="299">
        <f>SUM(CG56:CJ56)</f>
        <v>822.67517000000021</v>
      </c>
      <c r="T56" s="299">
        <f>SUM(CK56:CN56)</f>
        <v>363.14067000000045</v>
      </c>
      <c r="U56" s="299">
        <f>SUM(CO56:CR56)</f>
        <v>26.774429999999938</v>
      </c>
      <c r="V56" s="299">
        <f>SUM(CS56:CV56)</f>
        <v>744.32249000000047</v>
      </c>
      <c r="W56" s="299">
        <f>(V55*(1+(AO56/100)))-V55</f>
        <v>253.37514999999985</v>
      </c>
      <c r="X56" s="299">
        <f>(W55*(1+(AP56/100)))-W55</f>
        <v>109.67524349999894</v>
      </c>
      <c r="Y56" s="299">
        <f>(X55*(1+(AQ56/100)))-X55</f>
        <v>114.06225323999934</v>
      </c>
      <c r="AC56" s="149"/>
      <c r="AD56" s="149"/>
      <c r="AE56" s="149"/>
      <c r="AF56" s="149"/>
      <c r="AG56" s="149"/>
      <c r="AH56" s="149"/>
      <c r="AI56" s="149"/>
      <c r="AJ56" s="149"/>
      <c r="AK56" s="299">
        <f t="shared" ref="AK56:AQ58" si="96">(((R$55+S56)/R$55)-1)*100</f>
        <v>13.099522594213697</v>
      </c>
      <c r="AL56" s="299">
        <f t="shared" si="96"/>
        <v>4.9920744743443546</v>
      </c>
      <c r="AM56" s="299">
        <f t="shared" si="96"/>
        <v>0.36759042402096931</v>
      </c>
      <c r="AN56" s="299">
        <f t="shared" si="96"/>
        <v>9.7701695794491172</v>
      </c>
      <c r="AO56" s="86">
        <v>3.5</v>
      </c>
      <c r="AP56" s="86">
        <v>1.5</v>
      </c>
      <c r="AQ56" s="86">
        <v>1.5</v>
      </c>
      <c r="AR56" s="297"/>
      <c r="AS56" s="149"/>
      <c r="AT56" s="149"/>
      <c r="AU56" s="149"/>
      <c r="AV56" s="149"/>
      <c r="AW56" s="149"/>
      <c r="AY56" s="298" t="s">
        <v>160</v>
      </c>
      <c r="BA56" s="149"/>
      <c r="BB56" s="149"/>
      <c r="BC56" s="149"/>
      <c r="BD56" s="149"/>
      <c r="BE56" s="149"/>
      <c r="BF56" s="149"/>
      <c r="BG56" s="149"/>
      <c r="BH56" s="149"/>
      <c r="BI56" s="149"/>
      <c r="BJ56" s="149"/>
      <c r="BK56" s="149"/>
      <c r="BL56" s="149"/>
      <c r="BM56" s="149"/>
      <c r="BN56" s="149"/>
      <c r="BO56" s="149"/>
      <c r="BP56" s="149"/>
      <c r="BQ56" s="149"/>
      <c r="BR56" s="149"/>
      <c r="BS56" s="149"/>
      <c r="BT56" s="149"/>
      <c r="BU56" s="149"/>
      <c r="BV56" s="149"/>
      <c r="BW56" s="149"/>
      <c r="BX56" s="149"/>
      <c r="BY56" s="149"/>
      <c r="BZ56" s="149"/>
      <c r="CA56" s="149"/>
      <c r="CB56" s="149"/>
      <c r="CC56" s="299"/>
      <c r="CD56" s="299"/>
      <c r="CE56" s="299"/>
      <c r="CF56" s="299"/>
      <c r="CG56" s="299">
        <f t="shared" ref="CG56:CV58" si="97">(CC$6*(1+(ED56/100))-CC$6)</f>
        <v>204.50123999999983</v>
      </c>
      <c r="CH56" s="299">
        <f t="shared" si="97"/>
        <v>268.19780000000014</v>
      </c>
      <c r="CI56" s="299">
        <f t="shared" si="97"/>
        <v>213.9082800000001</v>
      </c>
      <c r="CJ56" s="299">
        <f t="shared" si="97"/>
        <v>136.06785000000013</v>
      </c>
      <c r="CK56" s="299">
        <f t="shared" si="97"/>
        <v>91.414200000000164</v>
      </c>
      <c r="CL56" s="299">
        <f t="shared" si="97"/>
        <v>106.68775000000005</v>
      </c>
      <c r="CM56" s="299">
        <f t="shared" si="97"/>
        <v>101.78980000000024</v>
      </c>
      <c r="CN56" s="299">
        <f t="shared" si="97"/>
        <v>63.248919999999998</v>
      </c>
      <c r="CO56" s="299">
        <f t="shared" si="97"/>
        <v>46.519230000000107</v>
      </c>
      <c r="CP56" s="299">
        <f t="shared" si="97"/>
        <v>60.092519999999922</v>
      </c>
      <c r="CQ56" s="299">
        <f t="shared" si="97"/>
        <v>-63.805350000000089</v>
      </c>
      <c r="CR56" s="299">
        <f t="shared" si="97"/>
        <v>-16.031970000000001</v>
      </c>
      <c r="CS56" s="299">
        <f t="shared" si="97"/>
        <v>78.249549999999999</v>
      </c>
      <c r="CT56" s="299">
        <f t="shared" si="97"/>
        <v>213.93280000000004</v>
      </c>
      <c r="CU56" s="299">
        <f t="shared" si="97"/>
        <v>259.20432000000028</v>
      </c>
      <c r="CV56" s="299">
        <f t="shared" si="97"/>
        <v>192.93582000000015</v>
      </c>
      <c r="CW56" s="299">
        <f t="shared" ref="CW56:CY58" si="98">(CS$6*(1+(ET56/100))-CS$6)</f>
        <v>107.17602000000011</v>
      </c>
      <c r="CX56" s="299">
        <f t="shared" si="98"/>
        <v>82.497679999999946</v>
      </c>
      <c r="CY56" s="299">
        <f t="shared" si="98"/>
        <v>41.340099999999893</v>
      </c>
      <c r="CZ56" s="299">
        <f>W56-CY56-CX56-CW56</f>
        <v>22.361349999999902</v>
      </c>
      <c r="ED56" s="86">
        <v>18</v>
      </c>
      <c r="EE56" s="86">
        <v>14.5</v>
      </c>
      <c r="EF56" s="86">
        <v>12</v>
      </c>
      <c r="EG56" s="86">
        <v>9</v>
      </c>
      <c r="EH56" s="149">
        <v>6</v>
      </c>
      <c r="EI56" s="149">
        <v>5</v>
      </c>
      <c r="EJ56" s="149">
        <v>5</v>
      </c>
      <c r="EK56" s="149">
        <v>4</v>
      </c>
      <c r="EL56" s="149">
        <v>3</v>
      </c>
      <c r="EM56" s="149">
        <v>3</v>
      </c>
      <c r="EN56" s="149">
        <v>-3</v>
      </c>
      <c r="EO56" s="149">
        <v>-1</v>
      </c>
      <c r="EP56" s="149">
        <v>5</v>
      </c>
      <c r="EQ56" s="86">
        <v>10</v>
      </c>
      <c r="ER56" s="86">
        <v>12</v>
      </c>
      <c r="ES56" s="149">
        <v>11</v>
      </c>
      <c r="ET56" s="86">
        <v>7</v>
      </c>
      <c r="EU56" s="86">
        <v>4</v>
      </c>
      <c r="EV56" s="86">
        <v>2</v>
      </c>
      <c r="EW56" s="149">
        <f>(((CV55+CZ56)/CV55)-1)*100</f>
        <v>1.4163896027064249</v>
      </c>
    </row>
    <row r="57" spans="2:153" s="84" customFormat="1" ht="13.15">
      <c r="B57" s="298" t="s">
        <v>161</v>
      </c>
      <c r="H57" s="149"/>
      <c r="I57" s="149"/>
      <c r="J57" s="149"/>
      <c r="K57" s="149"/>
      <c r="L57" s="149"/>
      <c r="M57" s="149"/>
      <c r="N57" s="149"/>
      <c r="O57" s="149"/>
      <c r="P57" s="149"/>
      <c r="Q57" s="149"/>
      <c r="R57" s="299"/>
      <c r="S57" s="299">
        <f>SUM(CG57:CJ57)</f>
        <v>34.524830000000065</v>
      </c>
      <c r="T57" s="299">
        <f>SUM(CK57:CN57)</f>
        <v>-418.16967000000045</v>
      </c>
      <c r="U57" s="299">
        <f>SUM(CO57:CR57)</f>
        <v>158.42556999999988</v>
      </c>
      <c r="V57" s="299">
        <f>SUM(CS57:CV57)</f>
        <v>-1126.3224899999996</v>
      </c>
      <c r="W57" s="299">
        <f>W7-W56</f>
        <v>-180.98225000000002</v>
      </c>
      <c r="X57" s="299">
        <f>X7-X56</f>
        <v>182.79207250000127</v>
      </c>
      <c r="Y57" s="299">
        <f>Y7-Y56</f>
        <v>190.10375540000132</v>
      </c>
      <c r="AC57" s="149"/>
      <c r="AD57" s="149"/>
      <c r="AE57" s="149"/>
      <c r="AF57" s="149"/>
      <c r="AG57" s="149"/>
      <c r="AH57" s="149"/>
      <c r="AI57" s="149"/>
      <c r="AJ57" s="149"/>
      <c r="AK57" s="299">
        <f t="shared" si="96"/>
        <v>0.54974163210297355</v>
      </c>
      <c r="AL57" s="299">
        <f t="shared" si="96"/>
        <v>-5.7485550587104477</v>
      </c>
      <c r="AM57" s="299">
        <f t="shared" si="96"/>
        <v>2.1750499432505066</v>
      </c>
      <c r="AN57" s="299">
        <f t="shared" si="96"/>
        <v>-14.784400412847088</v>
      </c>
      <c r="AO57" s="299">
        <f t="shared" si="96"/>
        <v>-2.5000000000000022</v>
      </c>
      <c r="AP57" s="299">
        <f t="shared" si="96"/>
        <v>2.5000000000000133</v>
      </c>
      <c r="AQ57" s="299">
        <f t="shared" si="96"/>
        <v>2.5000000000000133</v>
      </c>
      <c r="AR57" s="297"/>
      <c r="AS57" s="149"/>
      <c r="AT57" s="149"/>
      <c r="AU57" s="149"/>
      <c r="AV57" s="149"/>
      <c r="AW57" s="149"/>
      <c r="AY57" s="298" t="s">
        <v>161</v>
      </c>
      <c r="BA57" s="149"/>
      <c r="BB57" s="149"/>
      <c r="BC57" s="149"/>
      <c r="BD57" s="149"/>
      <c r="BE57" s="149"/>
      <c r="BF57" s="149"/>
      <c r="BG57" s="149"/>
      <c r="BH57" s="149"/>
      <c r="BI57" s="149"/>
      <c r="BJ57" s="149"/>
      <c r="BK57" s="149"/>
      <c r="BL57" s="149"/>
      <c r="BM57" s="149"/>
      <c r="BN57" s="149"/>
      <c r="BO57" s="149"/>
      <c r="BP57" s="149"/>
      <c r="BQ57" s="149"/>
      <c r="BR57" s="149"/>
      <c r="BS57" s="149"/>
      <c r="BT57" s="149"/>
      <c r="BU57" s="149"/>
      <c r="BV57" s="149"/>
      <c r="BW57" s="149"/>
      <c r="BX57" s="149"/>
      <c r="BY57" s="149"/>
      <c r="BZ57" s="149"/>
      <c r="CA57" s="149"/>
      <c r="CB57" s="149"/>
      <c r="CC57" s="299"/>
      <c r="CD57" s="299"/>
      <c r="CE57" s="299"/>
      <c r="CF57" s="299"/>
      <c r="CG57" s="299">
        <f t="shared" si="97"/>
        <v>84.598760000000084</v>
      </c>
      <c r="CH57" s="299">
        <f t="shared" si="97"/>
        <v>-4.3977999999999611</v>
      </c>
      <c r="CI57" s="299">
        <f t="shared" si="97"/>
        <v>34.591719999999896</v>
      </c>
      <c r="CJ57" s="299">
        <f t="shared" si="97"/>
        <v>-80.267849999999953</v>
      </c>
      <c r="CK57" s="299">
        <f t="shared" si="97"/>
        <v>-64.343200000000252</v>
      </c>
      <c r="CL57" s="299">
        <f t="shared" si="97"/>
        <v>-237.68775000000005</v>
      </c>
      <c r="CM57" s="299">
        <f t="shared" si="97"/>
        <v>-27.88980000000015</v>
      </c>
      <c r="CN57" s="299">
        <f t="shared" si="97"/>
        <v>-88.248919999999998</v>
      </c>
      <c r="CO57" s="299">
        <f t="shared" si="97"/>
        <v>-77.519230000000107</v>
      </c>
      <c r="CP57" s="299">
        <f t="shared" si="97"/>
        <v>29.90747999999985</v>
      </c>
      <c r="CQ57" s="299">
        <f t="shared" si="97"/>
        <v>63.805350000000089</v>
      </c>
      <c r="CR57" s="299">
        <f t="shared" si="97"/>
        <v>142.23197000000005</v>
      </c>
      <c r="CS57" s="299">
        <f t="shared" si="97"/>
        <v>-115.34954999999991</v>
      </c>
      <c r="CT57" s="299">
        <f t="shared" si="97"/>
        <v>-290.93279999999982</v>
      </c>
      <c r="CU57" s="299">
        <f t="shared" si="97"/>
        <v>-352.23531999999977</v>
      </c>
      <c r="CV57" s="299">
        <f t="shared" si="97"/>
        <v>-367.80482000000006</v>
      </c>
      <c r="CW57" s="299">
        <f t="shared" si="98"/>
        <v>-153.10860000000002</v>
      </c>
      <c r="CX57" s="299">
        <f t="shared" si="98"/>
        <v>-61.873260000000073</v>
      </c>
      <c r="CY57" s="299">
        <f t="shared" si="98"/>
        <v>0</v>
      </c>
      <c r="CZ57" s="299">
        <f>W57-CY57-CX57-CW57</f>
        <v>33.999610000000075</v>
      </c>
      <c r="ED57" s="149">
        <f t="shared" ref="ED57:EV57" si="99">ED7-ED56</f>
        <v>7.4463004723100923</v>
      </c>
      <c r="EE57" s="149">
        <f t="shared" si="99"/>
        <v>-0.23776518673903446</v>
      </c>
      <c r="EF57" s="149">
        <f t="shared" si="99"/>
        <v>1.9405543347831173</v>
      </c>
      <c r="EG57" s="149">
        <f t="shared" si="99"/>
        <v>-5.3091942732982043</v>
      </c>
      <c r="EH57" s="90">
        <f t="shared" si="99"/>
        <v>-4.2231863321015863</v>
      </c>
      <c r="EI57" s="90">
        <f t="shared" si="99"/>
        <v>-11.139411506944326</v>
      </c>
      <c r="EJ57" s="90">
        <f t="shared" si="99"/>
        <v>-1.3699702720704821</v>
      </c>
      <c r="EK57" s="90">
        <f t="shared" si="99"/>
        <v>-5.5810546646488177</v>
      </c>
      <c r="EL57" s="90">
        <f t="shared" si="99"/>
        <v>-4.999173245128949</v>
      </c>
      <c r="EM57" s="90">
        <f t="shared" si="99"/>
        <v>1.4930716834640894</v>
      </c>
      <c r="EN57" s="90">
        <f t="shared" si="99"/>
        <v>3</v>
      </c>
      <c r="EO57" s="90">
        <f t="shared" si="99"/>
        <v>8.8717712171367573</v>
      </c>
      <c r="EP57" s="90">
        <f t="shared" si="99"/>
        <v>-7.3706206617162611</v>
      </c>
      <c r="EQ57" s="90">
        <f t="shared" si="99"/>
        <v>-13.599261076375381</v>
      </c>
      <c r="ER57" s="90">
        <f t="shared" si="99"/>
        <v>-16.306918958758089</v>
      </c>
      <c r="ES57" s="90">
        <f t="shared" si="99"/>
        <v>-20.969942336264992</v>
      </c>
      <c r="ET57" s="90">
        <f t="shared" si="99"/>
        <v>-10</v>
      </c>
      <c r="EU57" s="90">
        <f t="shared" si="99"/>
        <v>-3</v>
      </c>
      <c r="EV57" s="90">
        <f t="shared" si="99"/>
        <v>0</v>
      </c>
      <c r="EW57" s="90">
        <f>(((CV55+CZ57)/CV55)-1)*100</f>
        <v>2.1535682818825341</v>
      </c>
    </row>
    <row r="58" spans="2:153" s="84" customFormat="1" ht="13.15">
      <c r="B58" s="298" t="s">
        <v>162</v>
      </c>
      <c r="H58" s="149"/>
      <c r="I58" s="149"/>
      <c r="J58" s="149"/>
      <c r="K58" s="149"/>
      <c r="L58" s="149"/>
      <c r="M58" s="149"/>
      <c r="N58" s="149"/>
      <c r="O58" s="149"/>
      <c r="P58" s="149"/>
      <c r="Q58" s="149"/>
      <c r="R58" s="299"/>
      <c r="S58" s="299">
        <f>S55-R55-S56-S57</f>
        <v>136.95200000000068</v>
      </c>
      <c r="T58" s="299">
        <f>T55-S55-T56-T57</f>
        <v>64.451999999999771</v>
      </c>
      <c r="U58" s="299">
        <f>U55-T55-U56-U57</f>
        <v>149.34999999999945</v>
      </c>
      <c r="V58" s="299">
        <f>V55-U55-V56-V57</f>
        <v>2.9730000000008658</v>
      </c>
      <c r="W58" s="299">
        <f>W8</f>
        <v>0</v>
      </c>
      <c r="X58" s="299">
        <f>X8</f>
        <v>0</v>
      </c>
      <c r="Y58" s="299">
        <f>Y8</f>
        <v>0</v>
      </c>
      <c r="AC58" s="149"/>
      <c r="AD58" s="149"/>
      <c r="AE58" s="149"/>
      <c r="AF58" s="149"/>
      <c r="AG58" s="149"/>
      <c r="AH58" s="149"/>
      <c r="AI58" s="149"/>
      <c r="AJ58" s="149"/>
      <c r="AK58" s="299">
        <f t="shared" si="96"/>
        <v>2.1806976601989492</v>
      </c>
      <c r="AL58" s="299">
        <f t="shared" si="96"/>
        <v>0.88601803819010616</v>
      </c>
      <c r="AM58" s="299">
        <f t="shared" si="96"/>
        <v>2.0504499938012843</v>
      </c>
      <c r="AN58" s="299">
        <f t="shared" si="96"/>
        <v>3.9024367192919129E-2</v>
      </c>
      <c r="AO58" s="299">
        <f t="shared" si="96"/>
        <v>0</v>
      </c>
      <c r="AP58" s="299">
        <f t="shared" si="96"/>
        <v>0</v>
      </c>
      <c r="AQ58" s="299">
        <f t="shared" si="96"/>
        <v>0</v>
      </c>
      <c r="AR58" s="297"/>
      <c r="AS58" s="149"/>
      <c r="AT58" s="149"/>
      <c r="AU58" s="149"/>
      <c r="AV58" s="149"/>
      <c r="AW58" s="149"/>
      <c r="AY58" s="298" t="s">
        <v>162</v>
      </c>
      <c r="BA58" s="149"/>
      <c r="BB58" s="149"/>
      <c r="BC58" s="149"/>
      <c r="BD58" s="149"/>
      <c r="BE58" s="149"/>
      <c r="BF58" s="149"/>
      <c r="BG58" s="149"/>
      <c r="BH58" s="149"/>
      <c r="BI58" s="149"/>
      <c r="BJ58" s="149"/>
      <c r="BK58" s="149"/>
      <c r="BL58" s="149"/>
      <c r="BM58" s="149"/>
      <c r="BN58" s="149"/>
      <c r="BO58" s="149"/>
      <c r="BP58" s="149"/>
      <c r="BQ58" s="149"/>
      <c r="BR58" s="149"/>
      <c r="BS58" s="149"/>
      <c r="BT58" s="149"/>
      <c r="BU58" s="149"/>
      <c r="BV58" s="149"/>
      <c r="BW58" s="149"/>
      <c r="BX58" s="149"/>
      <c r="BY58" s="149"/>
      <c r="BZ58" s="149"/>
      <c r="CA58" s="149"/>
      <c r="CB58" s="149"/>
      <c r="CC58" s="299"/>
      <c r="CD58" s="299"/>
      <c r="CE58" s="299"/>
      <c r="CF58" s="299"/>
      <c r="CG58" s="299">
        <f t="shared" si="97"/>
        <v>98.352000000000317</v>
      </c>
      <c r="CH58" s="299">
        <f t="shared" si="97"/>
        <v>20.314999999999827</v>
      </c>
      <c r="CI58" s="299">
        <f t="shared" si="97"/>
        <v>4.7269999999998618</v>
      </c>
      <c r="CJ58" s="299">
        <f t="shared" si="97"/>
        <v>13.557999999999993</v>
      </c>
      <c r="CK58" s="299">
        <f t="shared" si="97"/>
        <v>0</v>
      </c>
      <c r="CL58" s="299">
        <f t="shared" si="97"/>
        <v>0.32899999999972351</v>
      </c>
      <c r="CM58" s="299">
        <f t="shared" si="97"/>
        <v>17.14899999999966</v>
      </c>
      <c r="CN58" s="299">
        <f t="shared" si="97"/>
        <v>46.973999999999933</v>
      </c>
      <c r="CO58" s="299">
        <f t="shared" si="97"/>
        <v>45.349999999999682</v>
      </c>
      <c r="CP58" s="299">
        <f t="shared" si="97"/>
        <v>46.244000000000369</v>
      </c>
      <c r="CQ58" s="299">
        <f t="shared" si="97"/>
        <v>33.191000000000258</v>
      </c>
      <c r="CR58" s="299">
        <f t="shared" si="97"/>
        <v>24.565000000000055</v>
      </c>
      <c r="CS58" s="299">
        <f t="shared" si="97"/>
        <v>3.1949999999999363</v>
      </c>
      <c r="CT58" s="299">
        <f t="shared" si="97"/>
        <v>0.11400000000003274</v>
      </c>
      <c r="CU58" s="299">
        <f t="shared" si="97"/>
        <v>0</v>
      </c>
      <c r="CV58" s="299">
        <f t="shared" si="97"/>
        <v>-0.33599999999978536</v>
      </c>
      <c r="CW58" s="299">
        <f t="shared" si="98"/>
        <v>0</v>
      </c>
      <c r="CX58" s="299">
        <f t="shared" si="98"/>
        <v>0</v>
      </c>
      <c r="CY58" s="299">
        <f t="shared" si="98"/>
        <v>0</v>
      </c>
      <c r="CZ58" s="299">
        <f>W58-CY58-CX58-CW58</f>
        <v>0</v>
      </c>
      <c r="ED58" s="149">
        <f t="shared" ref="ED58:EV58" si="100">ED8</f>
        <v>8.656847264104627</v>
      </c>
      <c r="EE58" s="149">
        <f t="shared" si="100"/>
        <v>1.0983218356004354</v>
      </c>
      <c r="EF58" s="149">
        <f t="shared" si="100"/>
        <v>0.26517907581697919</v>
      </c>
      <c r="EG58" s="149">
        <f t="shared" si="100"/>
        <v>0.89677319072800632</v>
      </c>
      <c r="EH58" s="90">
        <f t="shared" si="100"/>
        <v>0</v>
      </c>
      <c r="EI58" s="90">
        <f t="shared" si="100"/>
        <v>1.5418827372393196E-2</v>
      </c>
      <c r="EJ58" s="90">
        <f t="shared" si="100"/>
        <v>0.84237320438784735</v>
      </c>
      <c r="EK58" s="90">
        <f t="shared" si="100"/>
        <v>2.9707384726885389</v>
      </c>
      <c r="EL58" s="90">
        <f t="shared" si="100"/>
        <v>2.9245969892450763</v>
      </c>
      <c r="EM58" s="90">
        <f t="shared" si="100"/>
        <v>2.3086400770012894</v>
      </c>
      <c r="EN58" s="90">
        <f t="shared" si="100"/>
        <v>1.5605744659342946</v>
      </c>
      <c r="EO58" s="90">
        <f t="shared" si="100"/>
        <v>1.5322508712279248</v>
      </c>
      <c r="EP58" s="90">
        <f t="shared" si="100"/>
        <v>0.20415452868418615</v>
      </c>
      <c r="EQ58" s="90">
        <f t="shared" si="100"/>
        <v>5.3287761390574673E-3</v>
      </c>
      <c r="ER58" s="90">
        <f t="shared" si="100"/>
        <v>0</v>
      </c>
      <c r="ES58" s="90">
        <f t="shared" si="100"/>
        <v>-1.9156629391048341E-2</v>
      </c>
      <c r="ET58" s="90">
        <f t="shared" si="100"/>
        <v>0</v>
      </c>
      <c r="EU58" s="90">
        <f t="shared" si="100"/>
        <v>0</v>
      </c>
      <c r="EV58" s="90">
        <f t="shared" si="100"/>
        <v>0</v>
      </c>
      <c r="EW58" s="149">
        <f>(((CV55+CZ58)/CV55)-1)*100</f>
        <v>0</v>
      </c>
    </row>
    <row r="59" spans="2:153">
      <c r="CC59" s="53"/>
      <c r="CD59" s="53"/>
      <c r="CE59" s="53"/>
      <c r="CF59" s="53"/>
      <c r="CG59" s="53"/>
      <c r="CH59" s="53"/>
      <c r="CI59" s="53"/>
      <c r="CJ59" s="53"/>
      <c r="CK59" s="53"/>
      <c r="CL59" s="53"/>
      <c r="CM59" s="53"/>
      <c r="CN59" s="53"/>
      <c r="CO59" s="53"/>
      <c r="CP59" s="53"/>
      <c r="CQ59" s="53"/>
      <c r="CR59" s="53"/>
      <c r="CS59" s="53"/>
      <c r="CT59" s="53"/>
      <c r="CU59" s="53"/>
      <c r="CV59" s="53"/>
      <c r="CW59" s="53"/>
      <c r="CX59" s="53"/>
      <c r="CY59" s="53"/>
      <c r="CZ59" s="53"/>
    </row>
    <row r="60" spans="2:153" hidden="1" outlineLevel="1">
      <c r="AY60" s="6" t="s">
        <v>163</v>
      </c>
      <c r="CC60" s="53"/>
      <c r="CD60" s="53">
        <f t="shared" ref="CD60:CF63" si="101">SUM(CC55:CD55)</f>
        <v>2985.7579999999998</v>
      </c>
      <c r="CE60" s="53"/>
      <c r="CF60" s="53">
        <f>SUM(CE55:CF55)</f>
        <v>3294.4340000000002</v>
      </c>
      <c r="CG60" s="53"/>
      <c r="CH60" s="53">
        <f>SUM(CG55:CH55)</f>
        <v>3657.3249999999998</v>
      </c>
      <c r="CI60" s="53"/>
      <c r="CJ60" s="53">
        <f>SUM(CI55:CJ55)</f>
        <v>3617.0190000000002</v>
      </c>
      <c r="CK60" s="53"/>
      <c r="CL60" s="53">
        <f>SUM(CK55:CL55)</f>
        <v>3553.7250000000004</v>
      </c>
      <c r="CM60" s="53"/>
      <c r="CN60" s="53">
        <f>SUM(CM55:CN55)</f>
        <v>3730.0419999999995</v>
      </c>
      <c r="CO60" s="53"/>
      <c r="CP60" s="53"/>
      <c r="CQ60" s="53"/>
      <c r="CR60" s="53">
        <f>SUM(CQ55:CR55)</f>
        <v>3913.998</v>
      </c>
      <c r="CS60" s="53"/>
      <c r="CT60" s="53"/>
      <c r="CU60" s="53"/>
      <c r="CV60" s="53"/>
      <c r="CW60" s="53"/>
      <c r="CX60" s="53"/>
      <c r="CY60" s="53"/>
      <c r="CZ60" s="53"/>
      <c r="EE60" s="15">
        <f>SUM(CG6:CH6)/SUM(CC6:CD6)-1</f>
        <v>0.224923453273842</v>
      </c>
      <c r="EG60" s="15">
        <f>SUM(CI6:CJ6)/SUM(CE6:CF6)-1</f>
        <v>9.7918185642814626E-2</v>
      </c>
      <c r="EI60" s="15">
        <f>SUM(CK6:CL6)/SUM(CG6:CH6)-1</f>
        <v>-2.8326714196851399E-2</v>
      </c>
      <c r="EK60" s="15">
        <f>SUM(CM6:CN6)/SUM(CI6:CJ6)-1</f>
        <v>3.1247554961696178E-2</v>
      </c>
      <c r="EO60" s="15">
        <f>SUM(CQ6:CR6)/SUM(CM6:CN6)-1</f>
        <v>4.9317407149839232E-2</v>
      </c>
      <c r="EP60" s="15"/>
      <c r="EQ60" s="15"/>
      <c r="ER60" s="15"/>
      <c r="ES60" s="15"/>
    </row>
    <row r="61" spans="2:153" hidden="1" outlineLevel="1">
      <c r="B61" s="6" t="s">
        <v>160</v>
      </c>
      <c r="AY61" s="300" t="s">
        <v>160</v>
      </c>
      <c r="CC61" s="53"/>
      <c r="CD61" s="53">
        <f t="shared" si="101"/>
        <v>0</v>
      </c>
      <c r="CE61" s="53"/>
      <c r="CF61" s="53">
        <f t="shared" si="101"/>
        <v>0</v>
      </c>
      <c r="CG61" s="53"/>
      <c r="CH61" s="53">
        <f t="shared" ref="CH61:CN63" si="102">SUM(CG56:CH56)</f>
        <v>472.69903999999997</v>
      </c>
      <c r="CI61" s="53"/>
      <c r="CJ61" s="53">
        <f t="shared" si="102"/>
        <v>349.97613000000024</v>
      </c>
      <c r="CK61" s="53"/>
      <c r="CL61" s="53">
        <f>SUM(CK56:CL56)</f>
        <v>198.10195000000022</v>
      </c>
      <c r="CM61" s="53"/>
      <c r="CN61" s="53">
        <f t="shared" si="102"/>
        <v>165.03872000000024</v>
      </c>
      <c r="CO61" s="53"/>
      <c r="CP61" s="53"/>
      <c r="CQ61" s="53"/>
      <c r="CR61" s="53">
        <f>SUM(CQ56:CR56)</f>
        <v>-79.837320000000091</v>
      </c>
      <c r="CS61" s="53"/>
      <c r="CT61" s="53"/>
      <c r="CU61" s="53"/>
      <c r="CV61" s="53"/>
      <c r="CW61" s="53"/>
      <c r="CX61" s="53"/>
      <c r="CY61" s="53"/>
      <c r="CZ61" s="53"/>
      <c r="EE61" s="68">
        <f>(((CD$60+CH61)/CD$60)-1)*100</f>
        <v>15.831793467521482</v>
      </c>
      <c r="EG61" s="68">
        <f>(((CF$60+CJ61)/CF$60)-1)*100</f>
        <v>10.623255163102364</v>
      </c>
      <c r="EI61" s="68">
        <f>(((CH$60+CL61)/CH$60)-1)*100</f>
        <v>5.4165804242171545</v>
      </c>
      <c r="EK61" s="68">
        <f>(((CJ$60+CN61)/CJ$60)-1)*100</f>
        <v>4.5628380719039852</v>
      </c>
      <c r="EO61" s="68">
        <f>(((CN$60+CR61)/CN$60)-1)*100</f>
        <v>-2.1403866229924517</v>
      </c>
      <c r="EP61" s="68"/>
      <c r="EQ61" s="68"/>
      <c r="ER61" s="68"/>
      <c r="ES61" s="68"/>
    </row>
    <row r="62" spans="2:153" hidden="1" outlineLevel="1">
      <c r="B62" s="6" t="s">
        <v>161</v>
      </c>
      <c r="AY62" s="300" t="s">
        <v>161</v>
      </c>
      <c r="CC62" s="53"/>
      <c r="CD62" s="53">
        <f t="shared" si="101"/>
        <v>0</v>
      </c>
      <c r="CE62" s="53"/>
      <c r="CF62" s="53">
        <f t="shared" si="101"/>
        <v>0</v>
      </c>
      <c r="CG62" s="53"/>
      <c r="CH62" s="53">
        <f t="shared" si="102"/>
        <v>80.200960000000123</v>
      </c>
      <c r="CI62" s="53"/>
      <c r="CJ62" s="53">
        <f t="shared" si="102"/>
        <v>-45.676130000000057</v>
      </c>
      <c r="CK62" s="53"/>
      <c r="CL62" s="53">
        <f t="shared" si="102"/>
        <v>-302.0309500000003</v>
      </c>
      <c r="CM62" s="53"/>
      <c r="CN62" s="53">
        <f t="shared" si="102"/>
        <v>-116.13872000000015</v>
      </c>
      <c r="CO62" s="53"/>
      <c r="CP62" s="53"/>
      <c r="CQ62" s="53"/>
      <c r="CR62" s="53">
        <f>SUM(CQ57:CR57)</f>
        <v>206.03732000000014</v>
      </c>
      <c r="CS62" s="53"/>
      <c r="CT62" s="53"/>
      <c r="CU62" s="53"/>
      <c r="CV62" s="53"/>
      <c r="CW62" s="53"/>
      <c r="CX62" s="53"/>
      <c r="CY62" s="53"/>
      <c r="CZ62" s="53"/>
      <c r="EE62" s="68">
        <f>(((CD$60+CH62)/CD$60)-1)*100</f>
        <v>2.6861172271831935</v>
      </c>
      <c r="EG62" s="68">
        <f>(((CF$60+CJ62)/CF$60)-1)*100</f>
        <v>-1.3864636535441233</v>
      </c>
      <c r="EI62" s="68">
        <f>(((CH$60+CL62)/CH$60)-1)*100</f>
        <v>-8.2582474896269904</v>
      </c>
      <c r="EK62" s="68">
        <f>(((CJ$60+CN62)/CJ$60)-1)*100</f>
        <v>-3.2108960445051515</v>
      </c>
      <c r="EO62" s="68">
        <f>(((CN$60+CR62)/CN$60)-1)*100</f>
        <v>5.5237265424893378</v>
      </c>
      <c r="EP62" s="68"/>
      <c r="EQ62" s="68"/>
      <c r="ER62" s="68"/>
      <c r="ES62" s="68"/>
    </row>
    <row r="63" spans="2:153" hidden="1" outlineLevel="1">
      <c r="B63" s="6" t="s">
        <v>162</v>
      </c>
      <c r="AY63" s="300" t="s">
        <v>162</v>
      </c>
      <c r="CC63" s="53"/>
      <c r="CD63" s="53">
        <f t="shared" si="101"/>
        <v>0</v>
      </c>
      <c r="CE63" s="53"/>
      <c r="CF63" s="53">
        <f t="shared" si="101"/>
        <v>0</v>
      </c>
      <c r="CG63" s="53"/>
      <c r="CH63" s="53">
        <f t="shared" si="102"/>
        <v>118.66700000000014</v>
      </c>
      <c r="CI63" s="53"/>
      <c r="CJ63" s="53">
        <f t="shared" si="102"/>
        <v>18.284999999999854</v>
      </c>
      <c r="CK63" s="53"/>
      <c r="CL63" s="53">
        <f t="shared" si="102"/>
        <v>0.32899999999972351</v>
      </c>
      <c r="CM63" s="53"/>
      <c r="CN63" s="53">
        <f t="shared" si="102"/>
        <v>64.122999999999593</v>
      </c>
      <c r="CO63" s="53"/>
      <c r="CP63" s="53"/>
      <c r="CQ63" s="53"/>
      <c r="CR63" s="53">
        <f>SUM(CQ58:CR58)</f>
        <v>57.756000000000313</v>
      </c>
      <c r="CS63" s="53"/>
      <c r="CT63" s="53"/>
      <c r="CU63" s="53"/>
      <c r="CV63" s="53"/>
      <c r="CW63" s="53"/>
      <c r="CX63" s="53"/>
      <c r="CY63" s="53"/>
      <c r="CZ63" s="53"/>
      <c r="EE63" s="68">
        <f>(((CD$60+CH63)/CD$60)-1)*100</f>
        <v>3.9744346326795466</v>
      </c>
      <c r="EG63" s="68">
        <f>(((CF$60+CJ63)/CF$60)-1)*100</f>
        <v>0.55502705472321168</v>
      </c>
      <c r="EI63" s="68">
        <f>(((CH$60+CL63)/CH$60)-1)*100</f>
        <v>8.9956457246742616E-3</v>
      </c>
      <c r="EK63" s="68">
        <f>(((CJ$60+CN63)/CJ$60)-1)*100</f>
        <v>1.7728134687708286</v>
      </c>
      <c r="EO63" s="68">
        <f>(((CN$60+CR63)/CN$60)-1)*100</f>
        <v>1.5484007954870371</v>
      </c>
      <c r="EP63" s="68"/>
      <c r="EQ63" s="68"/>
      <c r="ER63" s="68"/>
      <c r="ES63" s="68"/>
    </row>
    <row r="64" spans="2:153" collapsed="1">
      <c r="O64" s="275"/>
      <c r="P64" s="265"/>
      <c r="Q64" s="275"/>
      <c r="R64" s="275"/>
      <c r="S64" s="275"/>
      <c r="T64" s="275"/>
      <c r="U64" s="275"/>
      <c r="V64" s="275"/>
      <c r="W64" s="275"/>
      <c r="X64" s="275"/>
      <c r="Y64" s="285"/>
      <c r="Z64" s="301"/>
      <c r="AA64" s="301"/>
      <c r="AB64" s="301"/>
      <c r="AR64" s="7"/>
      <c r="AS64" s="275"/>
      <c r="AU64" s="275"/>
      <c r="BA64" s="275"/>
      <c r="BB64" s="275"/>
      <c r="BC64" s="275"/>
      <c r="BD64" s="275"/>
    </row>
    <row r="65" spans="1:153" ht="13.15">
      <c r="B65" s="21" t="s">
        <v>3</v>
      </c>
      <c r="C65" s="22"/>
      <c r="D65" s="22"/>
      <c r="E65" s="22"/>
      <c r="F65" s="22"/>
      <c r="G65" s="22"/>
      <c r="H65" s="22"/>
      <c r="I65" s="22"/>
      <c r="J65" s="22"/>
      <c r="K65" s="22"/>
      <c r="L65" s="22"/>
      <c r="M65" s="22"/>
      <c r="N65" s="22"/>
      <c r="O65" s="22"/>
      <c r="P65" s="22"/>
      <c r="Q65" s="22"/>
      <c r="R65" s="22"/>
      <c r="S65" s="22"/>
      <c r="T65" s="22"/>
      <c r="U65" s="22"/>
      <c r="V65" s="22"/>
      <c r="W65" s="22"/>
      <c r="X65" s="22"/>
      <c r="Y65" s="23"/>
      <c r="AA65" s="24"/>
      <c r="AB65" s="22"/>
      <c r="AC65" s="22"/>
      <c r="AD65" s="22"/>
      <c r="AE65" s="22"/>
      <c r="AF65" s="22"/>
      <c r="AG65" s="22"/>
      <c r="AH65" s="24"/>
      <c r="AI65" s="22"/>
      <c r="AJ65" s="22"/>
      <c r="AK65" s="24"/>
      <c r="AL65" s="22"/>
      <c r="AM65" s="24"/>
      <c r="AN65" s="22"/>
      <c r="AO65" s="22"/>
      <c r="AP65" s="22"/>
      <c r="AQ65" s="23"/>
      <c r="AR65" s="7"/>
      <c r="AS65" s="25" t="s">
        <v>4</v>
      </c>
      <c r="AU65" s="25"/>
      <c r="AW65" s="25" t="s">
        <v>5</v>
      </c>
      <c r="AY65" s="26" t="s">
        <v>3</v>
      </c>
      <c r="AZ65" s="22"/>
      <c r="BA65" s="22"/>
      <c r="BB65" s="22"/>
      <c r="BC65" s="22"/>
      <c r="BD65" s="22"/>
      <c r="BE65" s="22"/>
      <c r="BF65" s="22"/>
      <c r="BG65" s="22"/>
      <c r="BH65" s="22"/>
      <c r="BI65" s="22"/>
      <c r="BJ65" s="22"/>
      <c r="BK65" s="22"/>
      <c r="BL65" s="22"/>
      <c r="BM65" s="22"/>
      <c r="BN65" s="22"/>
      <c r="BO65" s="22"/>
      <c r="BP65" s="22"/>
      <c r="BQ65" s="24"/>
      <c r="BR65" s="22"/>
      <c r="BS65" s="22"/>
      <c r="BT65" s="23"/>
      <c r="BU65" s="24"/>
      <c r="BV65" s="22"/>
      <c r="BW65" s="22"/>
      <c r="BX65" s="23"/>
      <c r="BY65" s="24"/>
      <c r="BZ65" s="22"/>
      <c r="CA65" s="22"/>
      <c r="CB65" s="23"/>
      <c r="CC65" s="22"/>
      <c r="CD65" s="22"/>
      <c r="CE65" s="22"/>
      <c r="CF65" s="23"/>
      <c r="CG65" s="22"/>
      <c r="CH65" s="22"/>
      <c r="CI65" s="22"/>
      <c r="CJ65" s="23"/>
      <c r="CK65" s="22"/>
      <c r="CL65" s="22"/>
      <c r="CM65" s="22"/>
      <c r="CN65" s="23"/>
      <c r="CO65" s="22"/>
      <c r="CP65" s="22"/>
      <c r="CQ65" s="22"/>
      <c r="CR65" s="23"/>
      <c r="CS65" s="22"/>
      <c r="CT65" s="22"/>
      <c r="CU65" s="22"/>
      <c r="CV65" s="23"/>
      <c r="CW65" s="22"/>
      <c r="CX65" s="22"/>
      <c r="CY65" s="22"/>
      <c r="CZ65" s="23"/>
      <c r="DB65" s="24"/>
      <c r="DC65" s="22"/>
      <c r="DD65" s="22"/>
      <c r="DE65" s="23"/>
      <c r="DF65" s="24"/>
      <c r="DG65" s="22"/>
      <c r="DH65" s="22"/>
      <c r="DI65" s="23"/>
      <c r="DJ65" s="22"/>
      <c r="DK65" s="22"/>
      <c r="DL65" s="22"/>
      <c r="DM65" s="23"/>
      <c r="DN65" s="24"/>
      <c r="DO65" s="22"/>
      <c r="DP65" s="22"/>
      <c r="DQ65" s="22"/>
      <c r="DR65" s="24"/>
      <c r="DS65" s="22"/>
      <c r="DT65" s="22"/>
      <c r="DU65" s="23"/>
      <c r="DV65" s="24"/>
      <c r="DW65" s="22"/>
      <c r="DX65" s="22"/>
      <c r="DY65" s="23"/>
      <c r="DZ65" s="24"/>
      <c r="EA65" s="22"/>
      <c r="EB65" s="22"/>
      <c r="EC65" s="23"/>
      <c r="ED65" s="24"/>
      <c r="EE65" s="22"/>
      <c r="EF65" s="22"/>
      <c r="EG65" s="23"/>
      <c r="EH65" s="24"/>
      <c r="EI65" s="22"/>
      <c r="EJ65" s="22"/>
      <c r="EK65" s="23"/>
      <c r="EL65" s="24"/>
      <c r="EM65" s="22"/>
      <c r="EN65" s="22"/>
      <c r="EO65" s="23"/>
      <c r="EP65" s="28"/>
      <c r="EQ65" s="28"/>
      <c r="ER65" s="28"/>
      <c r="ES65" s="29"/>
      <c r="ET65" s="28"/>
      <c r="EU65" s="28"/>
      <c r="EV65" s="28"/>
      <c r="EW65" s="29"/>
    </row>
    <row r="66" spans="1:153" ht="13.15">
      <c r="B66" s="27" t="s">
        <v>164</v>
      </c>
      <c r="C66" s="28"/>
      <c r="D66" s="28"/>
      <c r="E66" s="28"/>
      <c r="F66" s="28"/>
      <c r="G66" s="28"/>
      <c r="H66" s="28"/>
      <c r="I66" s="28"/>
      <c r="J66" s="28"/>
      <c r="K66" s="28"/>
      <c r="L66" s="28"/>
      <c r="M66" s="28"/>
      <c r="N66" s="28"/>
      <c r="O66" s="28"/>
      <c r="P66" s="28"/>
      <c r="Q66" s="28"/>
      <c r="R66" s="28"/>
      <c r="S66" s="28"/>
      <c r="T66" s="28"/>
      <c r="U66" s="28"/>
      <c r="V66" s="28"/>
      <c r="W66" s="28"/>
      <c r="X66" s="28"/>
      <c r="Y66" s="29"/>
      <c r="AA66" s="30"/>
      <c r="AB66" s="28"/>
      <c r="AC66" s="28"/>
      <c r="AD66" s="28"/>
      <c r="AE66" s="28"/>
      <c r="AF66" s="28"/>
      <c r="AG66" s="28"/>
      <c r="AH66" s="30"/>
      <c r="AI66" s="28"/>
      <c r="AJ66" s="28"/>
      <c r="AK66" s="30"/>
      <c r="AL66" s="28"/>
      <c r="AM66" s="30"/>
      <c r="AN66" s="28"/>
      <c r="AO66" s="28"/>
      <c r="AP66" s="28"/>
      <c r="AQ66" s="29"/>
      <c r="AR66" s="7"/>
      <c r="AS66" s="31" t="s">
        <v>7</v>
      </c>
      <c r="AU66" s="31"/>
      <c r="AW66" s="31" t="s">
        <v>8</v>
      </c>
      <c r="AY66" s="32" t="s">
        <v>165</v>
      </c>
      <c r="AZ66" s="28"/>
      <c r="BA66" s="28"/>
      <c r="BB66" s="28"/>
      <c r="BC66" s="28"/>
      <c r="BD66" s="28"/>
      <c r="BE66" s="28"/>
      <c r="BF66" s="28"/>
      <c r="BG66" s="28"/>
      <c r="BH66" s="28"/>
      <c r="BI66" s="28"/>
      <c r="BJ66" s="28"/>
      <c r="BK66" s="28"/>
      <c r="BL66" s="28"/>
      <c r="BM66" s="28"/>
      <c r="BN66" s="28"/>
      <c r="BO66" s="28"/>
      <c r="BP66" s="28"/>
      <c r="BQ66" s="30"/>
      <c r="BR66" s="28"/>
      <c r="BS66" s="28"/>
      <c r="BT66" s="29"/>
      <c r="BU66" s="30"/>
      <c r="BV66" s="28"/>
      <c r="BW66" s="28"/>
      <c r="BX66" s="29"/>
      <c r="BY66" s="30"/>
      <c r="BZ66" s="28"/>
      <c r="CA66" s="28"/>
      <c r="CB66" s="29"/>
      <c r="CC66" s="28"/>
      <c r="CD66" s="28"/>
      <c r="CE66" s="28"/>
      <c r="CF66" s="29"/>
      <c r="CG66" s="28"/>
      <c r="CH66" s="28"/>
      <c r="CI66" s="28"/>
      <c r="CJ66" s="29"/>
      <c r="CK66" s="28"/>
      <c r="CL66" s="28"/>
      <c r="CM66" s="28"/>
      <c r="CN66" s="29"/>
      <c r="CO66" s="28"/>
      <c r="CP66" s="28"/>
      <c r="CQ66" s="28"/>
      <c r="CR66" s="29"/>
      <c r="CS66" s="28"/>
      <c r="CT66" s="28"/>
      <c r="CU66" s="28"/>
      <c r="CV66" s="29"/>
      <c r="CW66" s="28"/>
      <c r="CX66" s="28"/>
      <c r="CY66" s="28"/>
      <c r="CZ66" s="29"/>
      <c r="DB66" s="465" t="str">
        <f>DB4</f>
        <v>2015/2014</v>
      </c>
      <c r="DC66" s="466"/>
      <c r="DD66" s="466"/>
      <c r="DE66" s="467"/>
      <c r="DF66" s="465" t="str">
        <f>DF4</f>
        <v>2016/2015</v>
      </c>
      <c r="DG66" s="466"/>
      <c r="DH66" s="466"/>
      <c r="DI66" s="467"/>
      <c r="DJ66" s="468" t="str">
        <f>DJ4</f>
        <v>2017/2016</v>
      </c>
      <c r="DK66" s="466"/>
      <c r="DL66" s="466"/>
      <c r="DM66" s="466"/>
      <c r="DN66" s="465" t="str">
        <f>DN4</f>
        <v>2018/2017</v>
      </c>
      <c r="DO66" s="466"/>
      <c r="DP66" s="466"/>
      <c r="DQ66" s="466"/>
      <c r="DR66" s="465" t="str">
        <f>DR4</f>
        <v>2019/2018</v>
      </c>
      <c r="DS66" s="466"/>
      <c r="DT66" s="466"/>
      <c r="DU66" s="467"/>
      <c r="DV66" s="465" t="str">
        <f>DV4</f>
        <v>2020/2019</v>
      </c>
      <c r="DW66" s="466"/>
      <c r="DX66" s="466"/>
      <c r="DY66" s="467"/>
      <c r="DZ66" s="465" t="str">
        <f>DZ4</f>
        <v>2021/2020</v>
      </c>
      <c r="EA66" s="466"/>
      <c r="EB66" s="466"/>
      <c r="EC66" s="467"/>
      <c r="ED66" s="465" t="str">
        <f>ED4</f>
        <v>2022/2021</v>
      </c>
      <c r="EE66" s="466"/>
      <c r="EF66" s="466"/>
      <c r="EG66" s="467"/>
      <c r="EH66" s="465" t="str">
        <f>EH4</f>
        <v>2022/2023</v>
      </c>
      <c r="EI66" s="466"/>
      <c r="EJ66" s="466"/>
      <c r="EK66" s="467"/>
      <c r="EL66" s="465" t="str">
        <f>EL4</f>
        <v>2024/2023</v>
      </c>
      <c r="EM66" s="466"/>
      <c r="EN66" s="466"/>
      <c r="EO66" s="467"/>
      <c r="EP66" s="465" t="str">
        <f>EP4</f>
        <v>2025/2024</v>
      </c>
      <c r="EQ66" s="466"/>
      <c r="ER66" s="466"/>
      <c r="ES66" s="467"/>
      <c r="ET66" s="465" t="str">
        <f>ET4</f>
        <v>2026E/2025</v>
      </c>
      <c r="EU66" s="466"/>
      <c r="EV66" s="466"/>
      <c r="EW66" s="467"/>
    </row>
    <row r="67" spans="1:153" ht="13.15">
      <c r="B67" s="36" t="s">
        <v>17</v>
      </c>
      <c r="C67" s="37"/>
      <c r="D67" s="37"/>
      <c r="E67" s="37"/>
      <c r="F67" s="37"/>
      <c r="G67" s="37"/>
      <c r="H67" s="37" t="str">
        <f t="shared" ref="H67:Y67" si="103">H5</f>
        <v>2011</v>
      </c>
      <c r="I67" s="37" t="str">
        <f t="shared" si="103"/>
        <v>2012</v>
      </c>
      <c r="J67" s="37" t="str">
        <f t="shared" si="103"/>
        <v>2013</v>
      </c>
      <c r="K67" s="37" t="str">
        <f t="shared" si="103"/>
        <v>2014</v>
      </c>
      <c r="L67" s="37" t="str">
        <f t="shared" si="103"/>
        <v>2015</v>
      </c>
      <c r="M67" s="37" t="str">
        <f t="shared" si="103"/>
        <v>2016</v>
      </c>
      <c r="N67" s="37" t="str">
        <f t="shared" si="103"/>
        <v>2017</v>
      </c>
      <c r="O67" s="37" t="str">
        <f t="shared" si="103"/>
        <v>2018</v>
      </c>
      <c r="P67" s="37" t="str">
        <f t="shared" si="103"/>
        <v>2019</v>
      </c>
      <c r="Q67" s="37" t="str">
        <f t="shared" si="103"/>
        <v>2020</v>
      </c>
      <c r="R67" s="37" t="str">
        <f t="shared" si="103"/>
        <v>2021</v>
      </c>
      <c r="S67" s="37" t="str">
        <f t="shared" si="103"/>
        <v>2022</v>
      </c>
      <c r="T67" s="37" t="str">
        <f t="shared" si="103"/>
        <v>2023</v>
      </c>
      <c r="U67" s="37" t="str">
        <f t="shared" si="103"/>
        <v>2024</v>
      </c>
      <c r="V67" s="37" t="str">
        <f t="shared" si="103"/>
        <v>2025</v>
      </c>
      <c r="W67" s="37" t="str">
        <f t="shared" si="103"/>
        <v>2026E</v>
      </c>
      <c r="X67" s="37" t="str">
        <f t="shared" si="103"/>
        <v>2027E</v>
      </c>
      <c r="Y67" s="38" t="str">
        <f t="shared" si="103"/>
        <v>2028E</v>
      </c>
      <c r="AA67" s="39" t="str">
        <f t="shared" ref="AA67:AQ67" si="104">AA5</f>
        <v>12/11</v>
      </c>
      <c r="AB67" s="37" t="str">
        <f t="shared" si="104"/>
        <v>13/12</v>
      </c>
      <c r="AC67" s="37" t="str">
        <f t="shared" si="104"/>
        <v>14/13</v>
      </c>
      <c r="AD67" s="37" t="str">
        <f t="shared" si="104"/>
        <v>15/14</v>
      </c>
      <c r="AE67" s="37" t="str">
        <f t="shared" si="104"/>
        <v>16/15</v>
      </c>
      <c r="AF67" s="37" t="str">
        <f t="shared" si="104"/>
        <v>17/16</v>
      </c>
      <c r="AG67" s="37" t="str">
        <f t="shared" si="104"/>
        <v>18/17</v>
      </c>
      <c r="AH67" s="39" t="str">
        <f t="shared" si="104"/>
        <v>19/18</v>
      </c>
      <c r="AI67" s="37" t="str">
        <f t="shared" si="104"/>
        <v>20/19</v>
      </c>
      <c r="AJ67" s="37" t="str">
        <f t="shared" si="104"/>
        <v>21/20</v>
      </c>
      <c r="AK67" s="39" t="str">
        <f t="shared" si="104"/>
        <v>22/21</v>
      </c>
      <c r="AL67" s="37" t="str">
        <f t="shared" si="104"/>
        <v>23/22</v>
      </c>
      <c r="AM67" s="39" t="str">
        <f t="shared" si="104"/>
        <v>24/23</v>
      </c>
      <c r="AN67" s="37" t="str">
        <f t="shared" si="104"/>
        <v>25/24</v>
      </c>
      <c r="AO67" s="37" t="str">
        <f t="shared" si="104"/>
        <v>26E/25</v>
      </c>
      <c r="AP67" s="37" t="str">
        <f t="shared" si="104"/>
        <v>27E/26E</v>
      </c>
      <c r="AQ67" s="38" t="str">
        <f t="shared" si="104"/>
        <v>28E/27E</v>
      </c>
      <c r="AR67" s="7"/>
      <c r="AS67" s="40" t="str">
        <f>AS5</f>
        <v>2026E</v>
      </c>
      <c r="AU67" s="40"/>
      <c r="AW67" s="40"/>
      <c r="AY67" s="302" t="s">
        <v>17</v>
      </c>
      <c r="AZ67" s="37"/>
      <c r="BA67" s="37" t="str">
        <f t="shared" ref="BA67:CZ67" si="105">BA5</f>
        <v>1Q14</v>
      </c>
      <c r="BB67" s="37" t="str">
        <f t="shared" si="105"/>
        <v>2Q14</v>
      </c>
      <c r="BC67" s="37" t="str">
        <f t="shared" si="105"/>
        <v>3Q14</v>
      </c>
      <c r="BD67" s="37" t="str">
        <f t="shared" si="105"/>
        <v>4Q14</v>
      </c>
      <c r="BE67" s="37" t="str">
        <f t="shared" si="105"/>
        <v>1Q15</v>
      </c>
      <c r="BF67" s="37" t="str">
        <f t="shared" si="105"/>
        <v>2Q15</v>
      </c>
      <c r="BG67" s="37" t="str">
        <f t="shared" si="105"/>
        <v>3Q15</v>
      </c>
      <c r="BH67" s="37" t="str">
        <f t="shared" si="105"/>
        <v>4Q15</v>
      </c>
      <c r="BI67" s="37" t="str">
        <f t="shared" si="105"/>
        <v>1Q16</v>
      </c>
      <c r="BJ67" s="37" t="str">
        <f t="shared" si="105"/>
        <v>2Q16</v>
      </c>
      <c r="BK67" s="37" t="str">
        <f t="shared" si="105"/>
        <v>3Q16</v>
      </c>
      <c r="BL67" s="37" t="str">
        <f t="shared" si="105"/>
        <v>4Q16</v>
      </c>
      <c r="BM67" s="37" t="str">
        <f t="shared" si="105"/>
        <v>1Q17</v>
      </c>
      <c r="BN67" s="37" t="str">
        <f t="shared" si="105"/>
        <v>2Q17</v>
      </c>
      <c r="BO67" s="37" t="str">
        <f t="shared" si="105"/>
        <v>3Q17</v>
      </c>
      <c r="BP67" s="37" t="str">
        <f t="shared" si="105"/>
        <v>4Q17</v>
      </c>
      <c r="BQ67" s="39" t="str">
        <f t="shared" si="105"/>
        <v>1Q18</v>
      </c>
      <c r="BR67" s="37" t="str">
        <f t="shared" si="105"/>
        <v>2Q18</v>
      </c>
      <c r="BS67" s="37" t="str">
        <f t="shared" si="105"/>
        <v>3Q18</v>
      </c>
      <c r="BT67" s="38" t="str">
        <f t="shared" si="105"/>
        <v>4Q18</v>
      </c>
      <c r="BU67" s="39" t="str">
        <f t="shared" si="105"/>
        <v>1Q19</v>
      </c>
      <c r="BV67" s="37" t="str">
        <f t="shared" si="105"/>
        <v>2Q19</v>
      </c>
      <c r="BW67" s="37" t="str">
        <f t="shared" si="105"/>
        <v>3Q19</v>
      </c>
      <c r="BX67" s="38" t="str">
        <f t="shared" si="105"/>
        <v>4Q19</v>
      </c>
      <c r="BY67" s="39" t="str">
        <f t="shared" si="105"/>
        <v>1Q20</v>
      </c>
      <c r="BZ67" s="37" t="str">
        <f t="shared" si="105"/>
        <v>2Q20</v>
      </c>
      <c r="CA67" s="37" t="str">
        <f t="shared" si="105"/>
        <v>3Q20</v>
      </c>
      <c r="CB67" s="38" t="str">
        <f t="shared" si="105"/>
        <v>4Q20</v>
      </c>
      <c r="CC67" s="37" t="str">
        <f t="shared" si="105"/>
        <v>1Q21</v>
      </c>
      <c r="CD67" s="37" t="str">
        <f t="shared" si="105"/>
        <v>2Q21</v>
      </c>
      <c r="CE67" s="37" t="str">
        <f t="shared" si="105"/>
        <v>3Q21</v>
      </c>
      <c r="CF67" s="38" t="str">
        <f t="shared" si="105"/>
        <v>4Q21</v>
      </c>
      <c r="CG67" s="37" t="str">
        <f t="shared" si="105"/>
        <v>1Q22</v>
      </c>
      <c r="CH67" s="37" t="str">
        <f t="shared" si="105"/>
        <v>2Q22</v>
      </c>
      <c r="CI67" s="37" t="str">
        <f t="shared" si="105"/>
        <v>3Q22</v>
      </c>
      <c r="CJ67" s="38" t="str">
        <f t="shared" si="105"/>
        <v>4Q22</v>
      </c>
      <c r="CK67" s="37" t="str">
        <f t="shared" si="105"/>
        <v>1Q23</v>
      </c>
      <c r="CL67" s="37" t="str">
        <f t="shared" si="105"/>
        <v>2Q23</v>
      </c>
      <c r="CM67" s="37" t="str">
        <f t="shared" si="105"/>
        <v>3Q23</v>
      </c>
      <c r="CN67" s="38" t="str">
        <f t="shared" si="105"/>
        <v>4Q23</v>
      </c>
      <c r="CO67" s="37" t="str">
        <f t="shared" si="105"/>
        <v>1Q24</v>
      </c>
      <c r="CP67" s="37" t="str">
        <f t="shared" si="105"/>
        <v>2Q24</v>
      </c>
      <c r="CQ67" s="37" t="str">
        <f t="shared" si="105"/>
        <v>3Q24</v>
      </c>
      <c r="CR67" s="38" t="str">
        <f t="shared" si="105"/>
        <v>4Q24</v>
      </c>
      <c r="CS67" s="37" t="str">
        <f t="shared" si="105"/>
        <v>1Q25</v>
      </c>
      <c r="CT67" s="37" t="str">
        <f t="shared" si="105"/>
        <v>2Q25</v>
      </c>
      <c r="CU67" s="37" t="str">
        <f t="shared" si="105"/>
        <v>3Q25</v>
      </c>
      <c r="CV67" s="38" t="str">
        <f t="shared" si="105"/>
        <v>4Q25</v>
      </c>
      <c r="CW67" s="37" t="str">
        <f t="shared" si="105"/>
        <v>1Q26E</v>
      </c>
      <c r="CX67" s="37" t="str">
        <f t="shared" si="105"/>
        <v>2Q26E</v>
      </c>
      <c r="CY67" s="37" t="str">
        <f t="shared" si="105"/>
        <v>3Q26E</v>
      </c>
      <c r="CZ67" s="38" t="str">
        <f t="shared" si="105"/>
        <v>4Q26E</v>
      </c>
      <c r="DB67" s="45" t="str">
        <f>DB5</f>
        <v>1Q</v>
      </c>
      <c r="DC67" s="46" t="str">
        <f>DC5</f>
        <v>2Q</v>
      </c>
      <c r="DD67" s="46" t="str">
        <f>DD5</f>
        <v>3Q</v>
      </c>
      <c r="DE67" s="47" t="str">
        <f>DE5</f>
        <v>4Q</v>
      </c>
      <c r="DF67" s="45" t="str">
        <f>DF5</f>
        <v>1Q</v>
      </c>
      <c r="DG67" s="46" t="str">
        <f>DG5</f>
        <v>2Q</v>
      </c>
      <c r="DH67" s="46" t="str">
        <f>DH5</f>
        <v>3Q</v>
      </c>
      <c r="DI67" s="47" t="str">
        <f>DI5</f>
        <v>4Q</v>
      </c>
      <c r="DJ67" s="46" t="str">
        <f>DJ5</f>
        <v>1Q</v>
      </c>
      <c r="DK67" s="46" t="str">
        <f>DK5</f>
        <v>2Q</v>
      </c>
      <c r="DL67" s="46" t="str">
        <f>DL5</f>
        <v>3Q</v>
      </c>
      <c r="DM67" s="47" t="str">
        <f>DM5</f>
        <v>4Q</v>
      </c>
      <c r="DN67" s="45" t="str">
        <f>DN5</f>
        <v>1Q</v>
      </c>
      <c r="DO67" s="46" t="str">
        <f>DO5</f>
        <v>2Q</v>
      </c>
      <c r="DP67" s="46" t="str">
        <f>DP5</f>
        <v>3Q</v>
      </c>
      <c r="DQ67" s="46" t="str">
        <f>DQ5</f>
        <v>4Q</v>
      </c>
      <c r="DR67" s="45" t="str">
        <f>DR5</f>
        <v>1Q</v>
      </c>
      <c r="DS67" s="46" t="str">
        <f>DS5</f>
        <v>2Q</v>
      </c>
      <c r="DT67" s="46" t="str">
        <f>DT5</f>
        <v>3Q</v>
      </c>
      <c r="DU67" s="47" t="str">
        <f>DU5</f>
        <v>4Q</v>
      </c>
      <c r="DV67" s="45" t="str">
        <f>DV5</f>
        <v>1Q</v>
      </c>
      <c r="DW67" s="46" t="str">
        <f>DW5</f>
        <v>2Q</v>
      </c>
      <c r="DX67" s="46" t="str">
        <f>DX5</f>
        <v>3Q</v>
      </c>
      <c r="DY67" s="47" t="str">
        <f>DY5</f>
        <v>4Q</v>
      </c>
      <c r="DZ67" s="45" t="str">
        <f>DZ5</f>
        <v>1Q</v>
      </c>
      <c r="EA67" s="46" t="str">
        <f>EA5</f>
        <v>2Q</v>
      </c>
      <c r="EB67" s="46" t="str">
        <f>EB5</f>
        <v>3Q</v>
      </c>
      <c r="EC67" s="47" t="str">
        <f>EC5</f>
        <v>4Q</v>
      </c>
      <c r="ED67" s="45" t="str">
        <f>ED5</f>
        <v>1Q</v>
      </c>
      <c r="EE67" s="46" t="str">
        <f>EE5</f>
        <v>2Q</v>
      </c>
      <c r="EF67" s="46" t="str">
        <f>EF5</f>
        <v>3Q</v>
      </c>
      <c r="EG67" s="47" t="str">
        <f>EG5</f>
        <v>4Q</v>
      </c>
      <c r="EH67" s="45" t="str">
        <f>EH5</f>
        <v>1Q</v>
      </c>
      <c r="EI67" s="46" t="str">
        <f>EI5</f>
        <v>2Q</v>
      </c>
      <c r="EJ67" s="46" t="str">
        <f>EJ5</f>
        <v>3Q</v>
      </c>
      <c r="EK67" s="47" t="str">
        <f>EK5</f>
        <v>4Q</v>
      </c>
      <c r="EL67" s="45" t="str">
        <f>EL5</f>
        <v>1Q</v>
      </c>
      <c r="EM67" s="46" t="str">
        <f>EM5</f>
        <v>2Q</v>
      </c>
      <c r="EN67" s="46" t="str">
        <f>EN5</f>
        <v>3Q</v>
      </c>
      <c r="EO67" s="47" t="str">
        <f>EO5</f>
        <v>4Q</v>
      </c>
      <c r="EP67" s="46" t="str">
        <f>EP5</f>
        <v>1Q</v>
      </c>
      <c r="EQ67" s="46" t="str">
        <f>EQ5</f>
        <v>2Q</v>
      </c>
      <c r="ER67" s="46" t="str">
        <f>ER5</f>
        <v>3Q</v>
      </c>
      <c r="ES67" s="47" t="str">
        <f>ES5</f>
        <v>4Q</v>
      </c>
      <c r="ET67" s="46" t="str">
        <f>ET5</f>
        <v>1QE</v>
      </c>
      <c r="EU67" s="46" t="str">
        <f>EU5</f>
        <v>2QE</v>
      </c>
      <c r="EV67" s="46" t="str">
        <f>EV5</f>
        <v>3QE</v>
      </c>
      <c r="EW67" s="47" t="str">
        <f>EW5</f>
        <v>4QE</v>
      </c>
    </row>
    <row r="68" spans="1:153" ht="13.15" outlineLevel="1">
      <c r="B68" s="303" t="s">
        <v>166</v>
      </c>
      <c r="V68" s="282"/>
      <c r="W68" s="282"/>
      <c r="Y68" s="120"/>
      <c r="AA68" s="163"/>
      <c r="AH68" s="119"/>
      <c r="AK68" s="119"/>
      <c r="AM68" s="119"/>
      <c r="AN68" s="282"/>
      <c r="AO68" s="282"/>
      <c r="AP68" s="282"/>
      <c r="AQ68" s="283"/>
      <c r="AR68" s="7"/>
      <c r="AS68" s="275"/>
      <c r="AY68" s="304" t="s">
        <v>166</v>
      </c>
      <c r="BA68" s="275"/>
      <c r="BB68" s="275"/>
      <c r="BC68" s="275"/>
      <c r="BD68" s="275"/>
      <c r="BE68" s="281"/>
      <c r="BI68" s="281"/>
      <c r="BM68" s="281"/>
      <c r="BQ68" s="119"/>
      <c r="BT68" s="120"/>
      <c r="BU68" s="119"/>
      <c r="BX68" s="283"/>
      <c r="CB68" s="283"/>
      <c r="CF68" s="283"/>
      <c r="CJ68" s="283"/>
      <c r="CN68" s="283"/>
      <c r="CR68" s="283"/>
      <c r="CV68" s="283"/>
      <c r="CZ68" s="283"/>
      <c r="DR68" s="163"/>
      <c r="DU68" s="237"/>
      <c r="DV68" s="163"/>
      <c r="DY68" s="237"/>
      <c r="DZ68" s="163"/>
      <c r="EC68" s="237"/>
      <c r="ED68" s="163"/>
      <c r="EG68" s="237"/>
      <c r="EH68" s="163"/>
      <c r="EK68" s="237"/>
      <c r="EL68" s="163"/>
      <c r="EO68" s="237"/>
      <c r="ES68" s="237"/>
      <c r="EW68" s="237"/>
    </row>
    <row r="69" spans="1:153" outlineLevel="1">
      <c r="A69" s="305">
        <f>U69/U$72</f>
        <v>0.9</v>
      </c>
      <c r="B69" s="114" t="s">
        <v>167</v>
      </c>
      <c r="H69" s="53">
        <v>2938.9070000000002</v>
      </c>
      <c r="I69" s="53">
        <v>3087.2559999999999</v>
      </c>
      <c r="J69" s="53">
        <v>3325.114</v>
      </c>
      <c r="K69" s="53">
        <v>3525.1759999999999</v>
      </c>
      <c r="L69" s="53">
        <v>3710.9769999999999</v>
      </c>
      <c r="M69" s="53">
        <v>3813.2040000000002</v>
      </c>
      <c r="N69" s="53">
        <v>3775.7289999999998</v>
      </c>
      <c r="O69" s="53">
        <v>3981.056</v>
      </c>
      <c r="P69" s="53">
        <v>4184.2060000000001</v>
      </c>
      <c r="Q69" s="53">
        <v>4535.2619999999997</v>
      </c>
      <c r="R69" s="53">
        <f>R72*0.9</f>
        <v>5652.1727999999994</v>
      </c>
      <c r="S69" s="53">
        <f>S72*0.91</f>
        <v>6619.6530400000001</v>
      </c>
      <c r="T69" s="53">
        <f>T72*0.9</f>
        <v>6555.3903</v>
      </c>
      <c r="U69" s="53">
        <f>U72*0.9</f>
        <v>6856.4852999999994</v>
      </c>
      <c r="V69" s="53">
        <f>V72*0.9</f>
        <v>6515.3610000000008</v>
      </c>
      <c r="W69" s="53">
        <f t="shared" ref="W69:Y70" si="106">V69*(1+(AO69/100))</f>
        <v>6880.2212160000008</v>
      </c>
      <c r="X69" s="53">
        <f t="shared" si="106"/>
        <v>7189.83117072</v>
      </c>
      <c r="Y69" s="64">
        <f t="shared" si="106"/>
        <v>7513.3735734023994</v>
      </c>
      <c r="AA69" s="52">
        <f t="shared" ref="AA69:AP72" si="107">(I69/H69-1)*100</f>
        <v>5.0477609533067902</v>
      </c>
      <c r="AB69" s="53">
        <f t="shared" si="107"/>
        <v>7.7045117087795933</v>
      </c>
      <c r="AC69" s="53">
        <f t="shared" si="107"/>
        <v>6.0166959689201605</v>
      </c>
      <c r="AD69" s="53">
        <f t="shared" si="107"/>
        <v>5.2706871940578326</v>
      </c>
      <c r="AE69" s="53">
        <f t="shared" si="107"/>
        <v>2.7547193097666733</v>
      </c>
      <c r="AF69" s="53">
        <f t="shared" si="107"/>
        <v>-0.98276934567361751</v>
      </c>
      <c r="AG69" s="53">
        <f t="shared" si="107"/>
        <v>5.4380756669771602</v>
      </c>
      <c r="AH69" s="52">
        <f t="shared" si="107"/>
        <v>5.1029174168863767</v>
      </c>
      <c r="AI69" s="53">
        <f t="shared" si="107"/>
        <v>8.3900266860665873</v>
      </c>
      <c r="AJ69" s="53">
        <f t="shared" si="107"/>
        <v>24.627260784492712</v>
      </c>
      <c r="AK69" s="52">
        <f t="shared" si="107"/>
        <v>17.116961463032432</v>
      </c>
      <c r="AL69" s="53">
        <f t="shared" si="107"/>
        <v>-0.97078713358064173</v>
      </c>
      <c r="AM69" s="52">
        <f t="shared" si="107"/>
        <v>4.5930903610727603</v>
      </c>
      <c r="AN69" s="53">
        <f>(V69/U69-1)*100</f>
        <v>-4.9752064662050515</v>
      </c>
      <c r="AO69" s="118">
        <v>5.6</v>
      </c>
      <c r="AP69" s="118">
        <v>4.5</v>
      </c>
      <c r="AQ69" s="306">
        <v>4.5</v>
      </c>
      <c r="AR69" s="7"/>
      <c r="AS69" s="275"/>
      <c r="AY69" s="307" t="s">
        <v>167</v>
      </c>
      <c r="BA69" s="275"/>
      <c r="BB69" s="275"/>
      <c r="BC69" s="275"/>
      <c r="BD69" s="275"/>
      <c r="BE69" s="119"/>
      <c r="BI69" s="119"/>
      <c r="BM69" s="52">
        <v>786.28</v>
      </c>
      <c r="BN69" s="53">
        <v>1163.739</v>
      </c>
      <c r="BO69" s="53">
        <v>1114.162</v>
      </c>
      <c r="BP69" s="64">
        <f>N69-BO69-BN69-BM69</f>
        <v>711.548</v>
      </c>
      <c r="BQ69" s="53">
        <v>840.26800000000003</v>
      </c>
      <c r="BR69" s="53">
        <v>1217.376</v>
      </c>
      <c r="BS69" s="53">
        <v>1134.8520000000001</v>
      </c>
      <c r="BT69" s="64">
        <f>O69-BS69-BR69-BQ69</f>
        <v>788.55999999999972</v>
      </c>
      <c r="BU69" s="52">
        <v>806.51099999999997</v>
      </c>
      <c r="BV69" s="53">
        <v>1219.2080000000001</v>
      </c>
      <c r="BW69" s="53">
        <v>1232.5640000000001</v>
      </c>
      <c r="BX69" s="64">
        <f>P69-BW69-BV69-BU69</f>
        <v>925.92299999999977</v>
      </c>
      <c r="BY69" s="53">
        <v>899.54499999999996</v>
      </c>
      <c r="BZ69" s="53">
        <v>1226.6489999999999</v>
      </c>
      <c r="CA69" s="53">
        <v>1391.34</v>
      </c>
      <c r="CB69" s="64">
        <f>Q69-CA69-BZ69-BY69</f>
        <v>1017.7279999999997</v>
      </c>
      <c r="CC69" s="53">
        <v>1011.266</v>
      </c>
      <c r="CD69" s="53">
        <v>1665.2349999999999</v>
      </c>
      <c r="CE69" s="53">
        <v>1615.319</v>
      </c>
      <c r="CF69" s="64">
        <f>R69-CE69-CD69-CC69</f>
        <v>1360.3527999999992</v>
      </c>
      <c r="CG69" s="53">
        <v>1371.34</v>
      </c>
      <c r="CH69" s="53">
        <v>1934.4349999999999</v>
      </c>
      <c r="CI69" s="53">
        <v>1851.0709999999999</v>
      </c>
      <c r="CJ69" s="64">
        <f>$S69-CI69-CH69-CG69</f>
        <v>1462.8070400000004</v>
      </c>
      <c r="CK69" s="53">
        <v>1395.0039999999999</v>
      </c>
      <c r="CL69" s="53">
        <v>1799.0309999999999</v>
      </c>
      <c r="CM69" s="53">
        <v>1924.556</v>
      </c>
      <c r="CN69" s="64">
        <f>$T69-CM69-CL69-CK69</f>
        <v>1436.7993000000006</v>
      </c>
      <c r="CO69" s="53">
        <v>1398.6859999999999</v>
      </c>
      <c r="CP69" s="53">
        <v>1926.499</v>
      </c>
      <c r="CQ69" s="53">
        <v>1954.991</v>
      </c>
      <c r="CR69" s="64">
        <f>$U69-CQ69-CP69-CO69</f>
        <v>1576.3092999999997</v>
      </c>
      <c r="CS69" s="53">
        <v>1377.633</v>
      </c>
      <c r="CT69" s="53">
        <v>1874.385</v>
      </c>
      <c r="CU69" s="118">
        <v>1910</v>
      </c>
      <c r="CV69" s="64">
        <f>$V69-CU69-CT69-CS69</f>
        <v>1353.3430000000005</v>
      </c>
      <c r="CW69" s="118">
        <v>1430</v>
      </c>
      <c r="CX69" s="118">
        <v>1960</v>
      </c>
      <c r="CY69" s="118">
        <v>1990</v>
      </c>
      <c r="CZ69" s="64">
        <f>$W69-CY69-CX69-CW69</f>
        <v>1500.2212160000008</v>
      </c>
      <c r="DF69" s="53"/>
      <c r="DG69" s="53"/>
      <c r="DH69" s="53"/>
      <c r="DI69" s="53"/>
      <c r="DJ69" s="53"/>
      <c r="DK69" s="53"/>
      <c r="DL69" s="53"/>
      <c r="DM69" s="53"/>
      <c r="DN69" s="53">
        <f t="shared" ref="DN69:DQ72" si="108">(BQ69/BM69-1)*100</f>
        <v>6.8662562954672657</v>
      </c>
      <c r="DO69" s="53">
        <f t="shared" si="108"/>
        <v>4.6090231572543328</v>
      </c>
      <c r="DP69" s="53">
        <f t="shared" si="108"/>
        <v>1.857001046526463</v>
      </c>
      <c r="DQ69" s="53">
        <f t="shared" si="108"/>
        <v>10.823163019220017</v>
      </c>
      <c r="DR69" s="163"/>
      <c r="DU69" s="237"/>
      <c r="DV69" s="52">
        <f t="shared" ref="DV69:EK72" si="109">(BY69/BU69-1)*100</f>
        <v>11.535366535608315</v>
      </c>
      <c r="DW69" s="53">
        <f t="shared" si="109"/>
        <v>0.61031423678321595</v>
      </c>
      <c r="DX69" s="53">
        <f t="shared" si="109"/>
        <v>12.881765165946746</v>
      </c>
      <c r="DY69" s="64">
        <f t="shared" si="109"/>
        <v>9.9149713313094079</v>
      </c>
      <c r="DZ69" s="52">
        <f t="shared" si="109"/>
        <v>12.419723304559538</v>
      </c>
      <c r="EA69" s="53">
        <f t="shared" si="109"/>
        <v>35.754808425230046</v>
      </c>
      <c r="EB69" s="53">
        <f t="shared" si="109"/>
        <v>16.098078111748393</v>
      </c>
      <c r="EC69" s="64">
        <f t="shared" si="109"/>
        <v>33.665655263488837</v>
      </c>
      <c r="ED69" s="52">
        <f t="shared" si="109"/>
        <v>35.606259876234333</v>
      </c>
      <c r="EE69" s="53">
        <f t="shared" si="109"/>
        <v>16.165886496500505</v>
      </c>
      <c r="EF69" s="53">
        <f t="shared" si="109"/>
        <v>14.59476425399564</v>
      </c>
      <c r="EG69" s="64">
        <f t="shared" si="109"/>
        <v>7.5314462542364957</v>
      </c>
      <c r="EH69" s="52">
        <f t="shared" si="109"/>
        <v>1.7256114457391947</v>
      </c>
      <c r="EI69" s="53">
        <f t="shared" si="109"/>
        <v>-6.9996665693083493</v>
      </c>
      <c r="EJ69" s="53">
        <f t="shared" si="109"/>
        <v>3.9698639328259233</v>
      </c>
      <c r="EK69" s="64">
        <f t="shared" si="109"/>
        <v>-1.7779337457932809</v>
      </c>
      <c r="EL69" s="52">
        <f t="shared" ref="EL69:EW72" si="110">(CO69/CK69-1)*100</f>
        <v>0.26394189550711378</v>
      </c>
      <c r="EM69" s="53">
        <f t="shared" si="110"/>
        <v>7.0853698463228199</v>
      </c>
      <c r="EN69" s="53">
        <f t="shared" si="110"/>
        <v>1.5814037107779733</v>
      </c>
      <c r="EO69" s="64">
        <f t="shared" si="110"/>
        <v>9.709776445464513</v>
      </c>
      <c r="EP69" s="53">
        <f t="shared" si="110"/>
        <v>-1.5051984505457194</v>
      </c>
      <c r="EQ69" s="53">
        <f t="shared" si="110"/>
        <v>-2.7051143031997404</v>
      </c>
      <c r="ER69" s="53">
        <f t="shared" si="110"/>
        <v>-2.3013405176801283</v>
      </c>
      <c r="ES69" s="64">
        <f t="shared" si="110"/>
        <v>-14.144831855017237</v>
      </c>
      <c r="ET69" s="53">
        <f t="shared" si="110"/>
        <v>3.8012300808705879</v>
      </c>
      <c r="EU69" s="53">
        <f t="shared" si="110"/>
        <v>4.5676315164707271</v>
      </c>
      <c r="EV69" s="53">
        <f t="shared" si="110"/>
        <v>4.1884816753926746</v>
      </c>
      <c r="EW69" s="64">
        <f t="shared" si="110"/>
        <v>10.852992626407376</v>
      </c>
    </row>
    <row r="70" spans="1:153" outlineLevel="1">
      <c r="A70" s="305">
        <f>U70/U$72</f>
        <v>0.05</v>
      </c>
      <c r="B70" s="114" t="s">
        <v>168</v>
      </c>
      <c r="H70" s="53">
        <v>0</v>
      </c>
      <c r="I70" s="53">
        <v>240.25399999999999</v>
      </c>
      <c r="J70" s="53">
        <v>318.16500000000002</v>
      </c>
      <c r="K70" s="53">
        <v>300.28899999999999</v>
      </c>
      <c r="L70" s="53">
        <v>263.90800000000002</v>
      </c>
      <c r="M70" s="53">
        <v>267.22000000000003</v>
      </c>
      <c r="N70" s="53">
        <v>269.60300000000001</v>
      </c>
      <c r="O70" s="53">
        <v>291.685</v>
      </c>
      <c r="P70" s="53">
        <v>294.04000000000002</v>
      </c>
      <c r="Q70" s="53">
        <v>301.72699999999998</v>
      </c>
      <c r="R70" s="53">
        <f>R72*0.06</f>
        <v>376.81151999999992</v>
      </c>
      <c r="S70" s="53">
        <f>S72*0.05</f>
        <v>363.71720000000005</v>
      </c>
      <c r="T70" s="53">
        <f>T72*0.05</f>
        <v>364.18835000000001</v>
      </c>
      <c r="U70" s="53">
        <f>U72*0.05</f>
        <v>380.91584999999998</v>
      </c>
      <c r="V70" s="53">
        <f>V72*0.05</f>
        <v>361.96450000000004</v>
      </c>
      <c r="W70" s="53">
        <f t="shared" si="106"/>
        <v>376.44308000000007</v>
      </c>
      <c r="X70" s="53">
        <f t="shared" si="106"/>
        <v>391.50080320000006</v>
      </c>
      <c r="Y70" s="64">
        <f t="shared" si="106"/>
        <v>409.11833934400005</v>
      </c>
      <c r="AA70" s="52"/>
      <c r="AB70" s="53">
        <f t="shared" si="107"/>
        <v>32.428596402141082</v>
      </c>
      <c r="AC70" s="53">
        <f t="shared" si="107"/>
        <v>-5.6184684047585476</v>
      </c>
      <c r="AD70" s="53">
        <f t="shared" si="107"/>
        <v>-12.115328899826494</v>
      </c>
      <c r="AE70" s="53">
        <f t="shared" si="107"/>
        <v>1.2549827970353311</v>
      </c>
      <c r="AF70" s="53">
        <f t="shared" si="107"/>
        <v>0.89177456777187469</v>
      </c>
      <c r="AG70" s="53">
        <f t="shared" si="107"/>
        <v>8.1905616777261372</v>
      </c>
      <c r="AH70" s="52">
        <f t="shared" si="107"/>
        <v>0.80737782196549368</v>
      </c>
      <c r="AI70" s="53">
        <f t="shared" si="107"/>
        <v>2.614270167324162</v>
      </c>
      <c r="AJ70" s="53">
        <f t="shared" si="107"/>
        <v>24.884919148766915</v>
      </c>
      <c r="AK70" s="52">
        <f t="shared" si="107"/>
        <v>-3.4750317612369908</v>
      </c>
      <c r="AL70" s="53">
        <f t="shared" si="107"/>
        <v>0.12953745382400239</v>
      </c>
      <c r="AM70" s="52">
        <f t="shared" si="107"/>
        <v>4.5930903610727603</v>
      </c>
      <c r="AN70" s="53">
        <f t="shared" si="107"/>
        <v>-4.9752064662050515</v>
      </c>
      <c r="AO70" s="118">
        <v>4</v>
      </c>
      <c r="AP70" s="118">
        <v>4</v>
      </c>
      <c r="AQ70" s="306">
        <v>4.5</v>
      </c>
      <c r="AR70" s="7"/>
      <c r="AS70" s="275"/>
      <c r="AY70" s="307" t="s">
        <v>168</v>
      </c>
      <c r="BA70" s="275"/>
      <c r="BB70" s="275"/>
      <c r="BC70" s="275"/>
      <c r="BD70" s="275"/>
      <c r="BE70" s="308"/>
      <c r="BF70" s="309"/>
      <c r="BG70" s="309"/>
      <c r="BH70" s="309"/>
      <c r="BI70" s="308"/>
      <c r="BJ70" s="309"/>
      <c r="BK70" s="309"/>
      <c r="BL70" s="309"/>
      <c r="BM70" s="52">
        <v>51.533000000000001</v>
      </c>
      <c r="BN70" s="53">
        <v>71.846999999999994</v>
      </c>
      <c r="BO70" s="53">
        <v>76.408000000000001</v>
      </c>
      <c r="BP70" s="64">
        <f>N70-BO70-BN70-BM70</f>
        <v>69.814999999999998</v>
      </c>
      <c r="BQ70" s="53">
        <v>52.36</v>
      </c>
      <c r="BR70" s="53">
        <v>79.119</v>
      </c>
      <c r="BS70" s="53">
        <v>87.251000000000005</v>
      </c>
      <c r="BT70" s="64">
        <f>O70-BS70-BR70-BQ70</f>
        <v>72.954999999999998</v>
      </c>
      <c r="BU70" s="53">
        <v>59.256</v>
      </c>
      <c r="BV70" s="53">
        <v>77.751000000000005</v>
      </c>
      <c r="BW70" s="53">
        <v>85.421999999999997</v>
      </c>
      <c r="BX70" s="64">
        <f>P70-BW70-BV70-BU70</f>
        <v>71.611000000000018</v>
      </c>
      <c r="BY70" s="53">
        <v>55.341000000000001</v>
      </c>
      <c r="BZ70" s="53">
        <v>71.917000000000002</v>
      </c>
      <c r="CA70" s="53">
        <v>91.429000000000002</v>
      </c>
      <c r="CB70" s="64">
        <f>Q70-CA70-BZ70-BY70</f>
        <v>83.039999999999964</v>
      </c>
      <c r="CC70" s="53">
        <v>74.492000000000004</v>
      </c>
      <c r="CD70" s="53">
        <v>113.88</v>
      </c>
      <c r="CE70" s="53">
        <v>102.491</v>
      </c>
      <c r="CF70" s="64">
        <f>R70-CE70-CD70-CC70</f>
        <v>85.948519999999931</v>
      </c>
      <c r="CG70" s="53">
        <v>89.423000000000002</v>
      </c>
      <c r="CH70" s="53">
        <v>113.15900000000001</v>
      </c>
      <c r="CI70" s="53">
        <v>100.56699999999999</v>
      </c>
      <c r="CJ70" s="64">
        <f>$S70-CI70-CH70-CG70</f>
        <v>60.568200000000047</v>
      </c>
      <c r="CK70" s="53">
        <v>81.263000000000005</v>
      </c>
      <c r="CL70" s="53">
        <v>107.36</v>
      </c>
      <c r="CM70" s="53">
        <v>100.03</v>
      </c>
      <c r="CN70" s="64">
        <f>$T70-CM70-CL70-CK70</f>
        <v>75.535350000000022</v>
      </c>
      <c r="CO70" s="53">
        <v>79.798000000000002</v>
      </c>
      <c r="CP70" s="53">
        <v>95.697000000000003</v>
      </c>
      <c r="CQ70" s="53">
        <v>96.603999999999999</v>
      </c>
      <c r="CR70" s="64">
        <f>$U70-CQ70-CP70-CO70</f>
        <v>108.81684999999999</v>
      </c>
      <c r="CS70" s="53">
        <v>76.412999999999997</v>
      </c>
      <c r="CT70" s="53">
        <v>93.706999999999994</v>
      </c>
      <c r="CU70" s="118">
        <v>90</v>
      </c>
      <c r="CV70" s="64">
        <f>$V70-CU70-CT70-CS70</f>
        <v>101.84450000000005</v>
      </c>
      <c r="CW70" s="118">
        <v>80</v>
      </c>
      <c r="CX70" s="118">
        <v>98</v>
      </c>
      <c r="CY70" s="118">
        <v>97</v>
      </c>
      <c r="CZ70" s="64">
        <f>$W70-CY70-CX70-CW70</f>
        <v>101.44308000000007</v>
      </c>
      <c r="DF70" s="53"/>
      <c r="DG70" s="53"/>
      <c r="DH70" s="53"/>
      <c r="DI70" s="53"/>
      <c r="DJ70" s="53"/>
      <c r="DK70" s="53"/>
      <c r="DL70" s="53"/>
      <c r="DM70" s="53"/>
      <c r="DN70" s="53">
        <f t="shared" si="108"/>
        <v>1.6047969262414252</v>
      </c>
      <c r="DO70" s="53">
        <f t="shared" si="108"/>
        <v>10.121508204935491</v>
      </c>
      <c r="DP70" s="53">
        <f t="shared" si="108"/>
        <v>14.190922416500884</v>
      </c>
      <c r="DQ70" s="53">
        <f t="shared" si="108"/>
        <v>4.4976008021198943</v>
      </c>
      <c r="DR70" s="163"/>
      <c r="DU70" s="237"/>
      <c r="DV70" s="52">
        <f t="shared" si="109"/>
        <v>-6.6069258809234537</v>
      </c>
      <c r="DW70" s="53">
        <f t="shared" si="109"/>
        <v>-7.5034404702190365</v>
      </c>
      <c r="DX70" s="53">
        <f t="shared" si="109"/>
        <v>7.0321462855002181</v>
      </c>
      <c r="DY70" s="64">
        <f t="shared" si="109"/>
        <v>15.959838572286289</v>
      </c>
      <c r="DZ70" s="52">
        <f t="shared" si="109"/>
        <v>34.60544623335322</v>
      </c>
      <c r="EA70" s="53">
        <f t="shared" si="109"/>
        <v>58.349208114910248</v>
      </c>
      <c r="EB70" s="53">
        <f t="shared" si="109"/>
        <v>12.099005785910366</v>
      </c>
      <c r="EC70" s="64">
        <f t="shared" si="109"/>
        <v>3.5025529865124971</v>
      </c>
      <c r="ED70" s="52">
        <f t="shared" si="109"/>
        <v>20.043763088653812</v>
      </c>
      <c r="EE70" s="53">
        <f t="shared" si="109"/>
        <v>-0.6331225851773703</v>
      </c>
      <c r="EF70" s="53">
        <f t="shared" si="109"/>
        <v>-1.877238001385495</v>
      </c>
      <c r="EG70" s="64">
        <f t="shared" si="109"/>
        <v>-29.529676601761036</v>
      </c>
      <c r="EH70" s="52">
        <f t="shared" si="109"/>
        <v>-9.1251691399304331</v>
      </c>
      <c r="EI70" s="53">
        <f t="shared" si="109"/>
        <v>-5.1246476197209345</v>
      </c>
      <c r="EJ70" s="53">
        <f t="shared" si="109"/>
        <v>-0.53397237662453634</v>
      </c>
      <c r="EK70" s="64">
        <f t="shared" si="109"/>
        <v>24.711234608259723</v>
      </c>
      <c r="EL70" s="52">
        <f t="shared" si="110"/>
        <v>-1.8027884769206248</v>
      </c>
      <c r="EM70" s="53">
        <f t="shared" si="110"/>
        <v>-10.863450074515645</v>
      </c>
      <c r="EN70" s="53">
        <f t="shared" si="110"/>
        <v>-3.4249725082475257</v>
      </c>
      <c r="EO70" s="64">
        <f t="shared" si="110"/>
        <v>44.060827149142703</v>
      </c>
      <c r="EP70" s="53">
        <f t="shared" si="110"/>
        <v>-4.2419609514023016</v>
      </c>
      <c r="EQ70" s="53">
        <f t="shared" si="110"/>
        <v>-2.0794800254971491</v>
      </c>
      <c r="ER70" s="53">
        <f t="shared" si="110"/>
        <v>-6.8361558527597177</v>
      </c>
      <c r="ES70" s="64">
        <f t="shared" si="110"/>
        <v>-6.4074176012262178</v>
      </c>
      <c r="ET70" s="53">
        <f t="shared" si="110"/>
        <v>4.6942274220355129</v>
      </c>
      <c r="EU70" s="53">
        <f t="shared" si="110"/>
        <v>4.581301290191786</v>
      </c>
      <c r="EV70" s="53">
        <f t="shared" si="110"/>
        <v>7.7777777777777724</v>
      </c>
      <c r="EW70" s="64">
        <f t="shared" si="110"/>
        <v>-0.3941499050022168</v>
      </c>
    </row>
    <row r="71" spans="1:153" outlineLevel="1">
      <c r="A71" s="305">
        <f>U71/U$72</f>
        <v>4.9999999999999975E-2</v>
      </c>
      <c r="B71" s="114" t="s">
        <v>169</v>
      </c>
      <c r="H71" s="53">
        <v>38.851999999999997</v>
      </c>
      <c r="I71" s="53">
        <v>104.202</v>
      </c>
      <c r="J71" s="53">
        <v>100.051</v>
      </c>
      <c r="K71" s="53">
        <v>119.075</v>
      </c>
      <c r="L71" s="53">
        <v>138.35400000000001</v>
      </c>
      <c r="M71" s="53">
        <f>M72-M69-M70</f>
        <v>140.27800000000002</v>
      </c>
      <c r="N71" s="53">
        <f>N72-N69-N70</f>
        <v>296.6230000000001</v>
      </c>
      <c r="O71" s="53">
        <f>O72-O69-O70</f>
        <v>273.91200000000021</v>
      </c>
      <c r="P71" s="53">
        <f>P72-P69-P70</f>
        <v>292.11599999999993</v>
      </c>
      <c r="Q71" s="53">
        <f t="shared" ref="Q71:W71" si="111">Q72-Q69-Q70</f>
        <v>217.93900000000019</v>
      </c>
      <c r="R71" s="53">
        <f t="shared" si="111"/>
        <v>251.20767999999981</v>
      </c>
      <c r="S71" s="53">
        <f t="shared" si="111"/>
        <v>290.97375999999986</v>
      </c>
      <c r="T71" s="53">
        <f t="shared" si="111"/>
        <v>364.18834999999979</v>
      </c>
      <c r="U71" s="53">
        <f t="shared" si="111"/>
        <v>380.91584999999975</v>
      </c>
      <c r="V71" s="53">
        <f t="shared" si="111"/>
        <v>361.96450000000004</v>
      </c>
      <c r="W71" s="53">
        <f t="shared" si="111"/>
        <v>55.018603999999812</v>
      </c>
      <c r="X71" s="53">
        <f>X72-X69-X70</f>
        <v>22.8182420800008</v>
      </c>
      <c r="Y71" s="64">
        <f>Y72-Y69-Y70</f>
        <v>-14.175688106397899</v>
      </c>
      <c r="AA71" s="52">
        <f>(I71/H71-1)*100</f>
        <v>168.2024091423865</v>
      </c>
      <c r="AB71" s="53">
        <f t="shared" si="107"/>
        <v>-3.9836087599086301</v>
      </c>
      <c r="AC71" s="53">
        <f t="shared" si="107"/>
        <v>19.014302705620146</v>
      </c>
      <c r="AD71" s="53">
        <f t="shared" si="107"/>
        <v>16.190636153684657</v>
      </c>
      <c r="AE71" s="53">
        <f t="shared" si="107"/>
        <v>1.3906356158839062</v>
      </c>
      <c r="AF71" s="53">
        <f t="shared" si="107"/>
        <v>111.45368482584588</v>
      </c>
      <c r="AG71" s="53">
        <f t="shared" si="107"/>
        <v>-7.6565202293820356</v>
      </c>
      <c r="AH71" s="52">
        <f t="shared" si="107"/>
        <v>6.6459300797335308</v>
      </c>
      <c r="AI71" s="53">
        <f t="shared" si="107"/>
        <v>-25.392994563803338</v>
      </c>
      <c r="AJ71" s="53">
        <f t="shared" si="107"/>
        <v>15.265133821849041</v>
      </c>
      <c r="AK71" s="52">
        <f t="shared" si="107"/>
        <v>15.829961886515598</v>
      </c>
      <c r="AL71" s="53">
        <f t="shared" si="107"/>
        <v>25.16192181728001</v>
      </c>
      <c r="AM71" s="52">
        <f t="shared" si="107"/>
        <v>4.5930903610727825</v>
      </c>
      <c r="AN71" s="53">
        <f t="shared" si="107"/>
        <v>-4.9752064662049955</v>
      </c>
      <c r="AO71" s="53">
        <f t="shared" si="107"/>
        <v>-84.800000000000054</v>
      </c>
      <c r="AP71" s="53">
        <f t="shared" si="107"/>
        <v>-58.526315789472093</v>
      </c>
      <c r="AQ71" s="64">
        <f t="shared" ref="AO71:AQ72" si="112">(Y71/X71-1)*100</f>
        <v>-162.12436548222212</v>
      </c>
      <c r="AR71" s="7"/>
      <c r="AY71" s="307" t="s">
        <v>170</v>
      </c>
      <c r="BE71" s="119"/>
      <c r="BI71" s="119"/>
      <c r="BM71" s="52">
        <f>BM72-BM69-BM70</f>
        <v>34.282000000000053</v>
      </c>
      <c r="BN71" s="53">
        <f>BN72-BN69-BN70</f>
        <v>40.337999999999951</v>
      </c>
      <c r="BO71" s="53">
        <f>BO72-BO69-BO70</f>
        <v>39.020999999999859</v>
      </c>
      <c r="BP71" s="64">
        <f>N71-BO71-BN71-BM71</f>
        <v>182.98200000000026</v>
      </c>
      <c r="BQ71" s="53">
        <f>BQ72-BQ69-BQ70</f>
        <v>33.94899999999997</v>
      </c>
      <c r="BR71" s="53">
        <f>BR72-BR69-BR70</f>
        <v>36.247999999999962</v>
      </c>
      <c r="BS71" s="53">
        <f>BS72-BS69-BS70</f>
        <v>73.903999999999968</v>
      </c>
      <c r="BT71" s="64">
        <f>O71-BS71-BR71-BQ71</f>
        <v>129.81100000000032</v>
      </c>
      <c r="BU71" s="53">
        <f>BU72-BU69-BU70</f>
        <v>65.511000000000053</v>
      </c>
      <c r="BV71" s="53">
        <f>BV72-BV69-BV70</f>
        <v>74.894999999999953</v>
      </c>
      <c r="BW71" s="53">
        <f>BW72-BW69-BW70</f>
        <v>76.928999999999888</v>
      </c>
      <c r="BX71" s="64">
        <f>BX72-BX69-BX70</f>
        <v>74.781000000000262</v>
      </c>
      <c r="BY71" s="53">
        <f t="shared" ref="BY71:CL71" si="113">BY72-BY69-BY70</f>
        <v>53.269999999999989</v>
      </c>
      <c r="BZ71" s="53">
        <f t="shared" si="113"/>
        <v>56.819000000000102</v>
      </c>
      <c r="CA71" s="53">
        <f t="shared" si="113"/>
        <v>53.902000000000129</v>
      </c>
      <c r="CB71" s="64">
        <f t="shared" si="113"/>
        <v>53.948000000000206</v>
      </c>
      <c r="CC71" s="53">
        <f>CC72-CC69-CC70</f>
        <v>50.359999999999971</v>
      </c>
      <c r="CD71" s="53">
        <v>70.507000000000005</v>
      </c>
      <c r="CE71" s="53">
        <f t="shared" si="113"/>
        <v>64.759</v>
      </c>
      <c r="CF71" s="64">
        <f t="shared" si="113"/>
        <v>65.563680000000872</v>
      </c>
      <c r="CG71" s="53">
        <f t="shared" si="113"/>
        <v>62.807000000000016</v>
      </c>
      <c r="CH71" s="53">
        <f t="shared" si="113"/>
        <v>86.161000000000158</v>
      </c>
      <c r="CI71" s="53">
        <f t="shared" si="113"/>
        <v>84.158000000000143</v>
      </c>
      <c r="CJ71" s="64">
        <f t="shared" si="113"/>
        <v>57.847759999999539</v>
      </c>
      <c r="CK71" s="53">
        <f t="shared" si="113"/>
        <v>74.374000000000166</v>
      </c>
      <c r="CL71" s="53">
        <f t="shared" si="113"/>
        <v>96.693000000000112</v>
      </c>
      <c r="CM71" s="53">
        <v>102.259</v>
      </c>
      <c r="CN71" s="64">
        <f>CN72-CN69-CN70</f>
        <v>90.862349999999282</v>
      </c>
      <c r="CO71" s="53">
        <v>86.507000000000005</v>
      </c>
      <c r="CP71" s="53">
        <v>117.13200000000001</v>
      </c>
      <c r="CQ71" s="53">
        <v>108.441</v>
      </c>
      <c r="CR71" s="64">
        <f t="shared" ref="CR71:CZ71" si="114">CR72-CR69-CR70</f>
        <v>68.835850000000335</v>
      </c>
      <c r="CS71" s="53">
        <f t="shared" si="114"/>
        <v>77.039999999999978</v>
      </c>
      <c r="CT71" s="53">
        <f t="shared" si="114"/>
        <v>94.350000000000023</v>
      </c>
      <c r="CU71" s="53">
        <f t="shared" si="114"/>
        <v>67.005000000000109</v>
      </c>
      <c r="CV71" s="64">
        <f t="shared" si="114"/>
        <v>123.56949999999948</v>
      </c>
      <c r="CW71" s="53">
        <f t="shared" si="114"/>
        <v>-24.846580000000131</v>
      </c>
      <c r="CX71" s="53">
        <f t="shared" si="114"/>
        <v>25.066420000000107</v>
      </c>
      <c r="CY71" s="53">
        <f t="shared" si="114"/>
        <v>21.345100000000002</v>
      </c>
      <c r="CZ71" s="64">
        <f t="shared" si="114"/>
        <v>33.453663999999605</v>
      </c>
      <c r="DF71" s="53"/>
      <c r="DG71" s="53"/>
      <c r="DH71" s="53"/>
      <c r="DI71" s="53"/>
      <c r="DJ71" s="53"/>
      <c r="DK71" s="53"/>
      <c r="DL71" s="53"/>
      <c r="DM71" s="53"/>
      <c r="DN71" s="53">
        <f t="shared" si="108"/>
        <v>-0.97135523015017267</v>
      </c>
      <c r="DO71" s="53">
        <f t="shared" si="108"/>
        <v>-10.139322722990718</v>
      </c>
      <c r="DP71" s="53">
        <f t="shared" si="108"/>
        <v>89.3954537300434</v>
      </c>
      <c r="DQ71" s="53">
        <f t="shared" si="108"/>
        <v>-29.058049425626486</v>
      </c>
      <c r="DR71" s="163"/>
      <c r="DU71" s="237"/>
      <c r="DV71" s="52">
        <f t="shared" si="109"/>
        <v>-18.685411610264001</v>
      </c>
      <c r="DW71" s="53">
        <f t="shared" si="109"/>
        <v>-24.135122504839924</v>
      </c>
      <c r="DX71" s="53">
        <f t="shared" si="109"/>
        <v>-29.932795174771275</v>
      </c>
      <c r="DY71" s="64">
        <f t="shared" si="109"/>
        <v>-27.858680680921598</v>
      </c>
      <c r="DZ71" s="52">
        <f t="shared" si="109"/>
        <v>-5.4627370001877562</v>
      </c>
      <c r="EA71" s="53">
        <f t="shared" si="109"/>
        <v>24.090533096323206</v>
      </c>
      <c r="EB71" s="53">
        <f t="shared" si="109"/>
        <v>20.142109754739799</v>
      </c>
      <c r="EC71" s="64">
        <f t="shared" si="109"/>
        <v>21.531252317047201</v>
      </c>
      <c r="ED71" s="52">
        <f t="shared" si="109"/>
        <v>24.716044479745936</v>
      </c>
      <c r="EE71" s="53">
        <f t="shared" si="109"/>
        <v>22.202050860198487</v>
      </c>
      <c r="EF71" s="53">
        <f t="shared" si="109"/>
        <v>29.955681835729607</v>
      </c>
      <c r="EG71" s="64">
        <f t="shared" si="109"/>
        <v>-11.768588950469571</v>
      </c>
      <c r="EH71" s="52">
        <f t="shared" si="109"/>
        <v>18.416736987915595</v>
      </c>
      <c r="EI71" s="53">
        <f t="shared" si="109"/>
        <v>12.223627859472309</v>
      </c>
      <c r="EJ71" s="53">
        <f t="shared" si="109"/>
        <v>21.508353335392737</v>
      </c>
      <c r="EK71" s="64">
        <f t="shared" si="109"/>
        <v>57.071509769781926</v>
      </c>
      <c r="EL71" s="52">
        <f t="shared" si="110"/>
        <v>16.313496652055569</v>
      </c>
      <c r="EM71" s="53">
        <f t="shared" si="110"/>
        <v>21.138034811206463</v>
      </c>
      <c r="EN71" s="53">
        <f t="shared" si="110"/>
        <v>6.0454336537615339</v>
      </c>
      <c r="EO71" s="64">
        <f t="shared" si="110"/>
        <v>-24.241613825747542</v>
      </c>
      <c r="EP71" s="53">
        <f t="shared" si="110"/>
        <v>-10.943623059405628</v>
      </c>
      <c r="EQ71" s="53">
        <f t="shared" si="110"/>
        <v>-19.449851449646538</v>
      </c>
      <c r="ER71" s="53">
        <f t="shared" si="110"/>
        <v>-38.210639887127464</v>
      </c>
      <c r="ES71" s="64">
        <f t="shared" si="110"/>
        <v>79.513291402661366</v>
      </c>
      <c r="ET71" s="53">
        <f t="shared" si="110"/>
        <v>-132.25153167185894</v>
      </c>
      <c r="EU71" s="53">
        <f t="shared" si="110"/>
        <v>-73.43251722310535</v>
      </c>
      <c r="EV71" s="53">
        <f t="shared" si="110"/>
        <v>-68.144019103052059</v>
      </c>
      <c r="EW71" s="64">
        <f t="shared" si="110"/>
        <v>-72.927248228729781</v>
      </c>
    </row>
    <row r="72" spans="1:153" s="310" customFormat="1" ht="13.15" outlineLevel="1">
      <c r="B72" s="230" t="s">
        <v>171</v>
      </c>
      <c r="H72" s="81">
        <f>+H69+H70+H71</f>
        <v>2977.759</v>
      </c>
      <c r="I72" s="81">
        <f>+I69+I70+I71</f>
        <v>3431.7119999999995</v>
      </c>
      <c r="J72" s="81">
        <f>+J69+J70+J71</f>
        <v>3743.33</v>
      </c>
      <c r="K72" s="81">
        <f>+K69+K70+K71</f>
        <v>3944.54</v>
      </c>
      <c r="L72" s="81">
        <f>+L69+L70+L71</f>
        <v>4113.2389999999996</v>
      </c>
      <c r="M72" s="81">
        <f t="shared" ref="M72:Y72" si="115">M6</f>
        <v>4220.7020000000002</v>
      </c>
      <c r="N72" s="81">
        <f t="shared" si="115"/>
        <v>4341.9549999999999</v>
      </c>
      <c r="O72" s="81">
        <f t="shared" si="115"/>
        <v>4546.6530000000002</v>
      </c>
      <c r="P72" s="81">
        <f t="shared" si="115"/>
        <v>4770.3620000000001</v>
      </c>
      <c r="Q72" s="81">
        <f t="shared" si="115"/>
        <v>5054.9279999999999</v>
      </c>
      <c r="R72" s="81">
        <f t="shared" si="115"/>
        <v>6280.1919999999991</v>
      </c>
      <c r="S72" s="81">
        <f t="shared" si="115"/>
        <v>7274.3440000000001</v>
      </c>
      <c r="T72" s="81">
        <f t="shared" si="115"/>
        <v>7283.7669999999998</v>
      </c>
      <c r="U72" s="81">
        <f t="shared" si="115"/>
        <v>7618.3169999999991</v>
      </c>
      <c r="V72" s="81">
        <f t="shared" si="115"/>
        <v>7239.2900000000009</v>
      </c>
      <c r="W72" s="81">
        <f t="shared" si="115"/>
        <v>7311.6829000000007</v>
      </c>
      <c r="X72" s="81">
        <f t="shared" si="115"/>
        <v>7604.1502160000009</v>
      </c>
      <c r="Y72" s="311">
        <f t="shared" si="115"/>
        <v>7908.3162246400016</v>
      </c>
      <c r="AA72" s="52">
        <f>(I72/H72-1)*100</f>
        <v>15.244786431675617</v>
      </c>
      <c r="AB72" s="53">
        <f t="shared" si="107"/>
        <v>9.0805405581820597</v>
      </c>
      <c r="AC72" s="53">
        <f t="shared" si="107"/>
        <v>5.3751606190210355</v>
      </c>
      <c r="AD72" s="53">
        <f t="shared" si="107"/>
        <v>4.276772450019517</v>
      </c>
      <c r="AE72" s="53">
        <f t="shared" si="107"/>
        <v>2.6126125907101505</v>
      </c>
      <c r="AF72" s="53">
        <f t="shared" si="107"/>
        <v>2.8728159438879963</v>
      </c>
      <c r="AG72" s="53">
        <f t="shared" si="107"/>
        <v>4.7144201172052647</v>
      </c>
      <c r="AH72" s="52">
        <f t="shared" si="107"/>
        <v>4.920300713513881</v>
      </c>
      <c r="AI72" s="53">
        <f t="shared" si="107"/>
        <v>5.9652915229494008</v>
      </c>
      <c r="AJ72" s="53">
        <f t="shared" si="107"/>
        <v>24.239000041147939</v>
      </c>
      <c r="AK72" s="52">
        <f t="shared" si="107"/>
        <v>15.829961886515598</v>
      </c>
      <c r="AL72" s="53">
        <f t="shared" si="107"/>
        <v>0.12953745382400239</v>
      </c>
      <c r="AM72" s="52">
        <f t="shared" si="107"/>
        <v>4.5930903610727603</v>
      </c>
      <c r="AN72" s="53">
        <f t="shared" si="107"/>
        <v>-4.9752064662050515</v>
      </c>
      <c r="AO72" s="53">
        <f t="shared" si="112"/>
        <v>1.0000000000000009</v>
      </c>
      <c r="AP72" s="53">
        <f t="shared" si="112"/>
        <v>4.0000000000000036</v>
      </c>
      <c r="AQ72" s="64">
        <f t="shared" si="112"/>
        <v>4.0000000000000036</v>
      </c>
      <c r="AS72" s="312"/>
      <c r="AT72" s="312"/>
      <c r="AU72" s="312"/>
      <c r="AV72" s="312"/>
      <c r="AW72" s="312"/>
      <c r="AY72" s="313" t="s">
        <v>171</v>
      </c>
      <c r="BA72" s="81">
        <f t="shared" ref="BA72:CZ72" si="116">BA6</f>
        <v>762.56799999999998</v>
      </c>
      <c r="BB72" s="81">
        <f t="shared" si="116"/>
        <v>1170.1859999999999</v>
      </c>
      <c r="BC72" s="81">
        <f t="shared" si="116"/>
        <v>1134.999</v>
      </c>
      <c r="BD72" s="81">
        <f t="shared" si="116"/>
        <v>876.78699999999981</v>
      </c>
      <c r="BE72" s="314">
        <f t="shared" si="116"/>
        <v>808.97199999999998</v>
      </c>
      <c r="BF72" s="81">
        <f t="shared" si="116"/>
        <v>1223.4390000000001</v>
      </c>
      <c r="BG72" s="81">
        <f t="shared" si="116"/>
        <v>1177.0119999999999</v>
      </c>
      <c r="BH72" s="81">
        <f t="shared" si="116"/>
        <v>903.81599999999958</v>
      </c>
      <c r="BI72" s="314">
        <f t="shared" si="116"/>
        <v>851.42399999999998</v>
      </c>
      <c r="BJ72" s="81">
        <f t="shared" si="116"/>
        <v>1214.4349999999999</v>
      </c>
      <c r="BK72" s="81">
        <f t="shared" si="116"/>
        <v>1241.232</v>
      </c>
      <c r="BL72" s="81">
        <f t="shared" si="116"/>
        <v>913.61100000000033</v>
      </c>
      <c r="BM72" s="314">
        <f t="shared" si="116"/>
        <v>872.09500000000003</v>
      </c>
      <c r="BN72" s="81">
        <f t="shared" si="116"/>
        <v>1275.924</v>
      </c>
      <c r="BO72" s="81">
        <f t="shared" si="116"/>
        <v>1229.5909999999999</v>
      </c>
      <c r="BP72" s="311">
        <f t="shared" si="116"/>
        <v>964.3449999999998</v>
      </c>
      <c r="BQ72" s="81">
        <f t="shared" si="116"/>
        <v>926.577</v>
      </c>
      <c r="BR72" s="81">
        <f t="shared" si="116"/>
        <v>1332.7429999999999</v>
      </c>
      <c r="BS72" s="81">
        <f t="shared" si="116"/>
        <v>1296.0070000000001</v>
      </c>
      <c r="BT72" s="311">
        <f t="shared" si="116"/>
        <v>991.32600000000002</v>
      </c>
      <c r="BU72" s="81">
        <f t="shared" si="116"/>
        <v>931.27800000000002</v>
      </c>
      <c r="BV72" s="81">
        <f t="shared" si="116"/>
        <v>1371.854</v>
      </c>
      <c r="BW72" s="81">
        <f t="shared" si="116"/>
        <v>1394.915</v>
      </c>
      <c r="BX72" s="311">
        <f t="shared" si="116"/>
        <v>1072.3150000000001</v>
      </c>
      <c r="BY72" s="81">
        <f t="shared" si="116"/>
        <v>1008.1559999999999</v>
      </c>
      <c r="BZ72" s="81">
        <f t="shared" si="116"/>
        <v>1355.385</v>
      </c>
      <c r="CA72" s="81">
        <f t="shared" si="116"/>
        <v>1536.671</v>
      </c>
      <c r="CB72" s="311">
        <f t="shared" si="116"/>
        <v>1154.7159999999999</v>
      </c>
      <c r="CC72" s="81">
        <f t="shared" si="116"/>
        <v>1136.1179999999999</v>
      </c>
      <c r="CD72" s="81">
        <f t="shared" si="116"/>
        <v>1849.64</v>
      </c>
      <c r="CE72" s="81">
        <f t="shared" si="116"/>
        <v>1782.569</v>
      </c>
      <c r="CF72" s="311">
        <f t="shared" si="116"/>
        <v>1511.865</v>
      </c>
      <c r="CG72" s="81">
        <f t="shared" si="116"/>
        <v>1523.57</v>
      </c>
      <c r="CH72" s="81">
        <f t="shared" si="116"/>
        <v>2133.7550000000001</v>
      </c>
      <c r="CI72" s="81">
        <f t="shared" si="116"/>
        <v>2035.796</v>
      </c>
      <c r="CJ72" s="311">
        <f t="shared" si="116"/>
        <v>1581.223</v>
      </c>
      <c r="CK72" s="81">
        <f t="shared" si="116"/>
        <v>1550.6410000000001</v>
      </c>
      <c r="CL72" s="81">
        <f t="shared" si="116"/>
        <v>2003.0840000000001</v>
      </c>
      <c r="CM72" s="81">
        <f t="shared" si="116"/>
        <v>2126.8449999999998</v>
      </c>
      <c r="CN72" s="311">
        <f t="shared" si="116"/>
        <v>1603.1969999999999</v>
      </c>
      <c r="CO72" s="81">
        <f t="shared" si="116"/>
        <v>1564.991</v>
      </c>
      <c r="CP72" s="81">
        <f t="shared" si="116"/>
        <v>2139.328</v>
      </c>
      <c r="CQ72" s="81">
        <f t="shared" si="116"/>
        <v>2160.0360000000001</v>
      </c>
      <c r="CR72" s="311">
        <f t="shared" si="116"/>
        <v>1753.962</v>
      </c>
      <c r="CS72" s="81">
        <f t="shared" si="116"/>
        <v>1531.086</v>
      </c>
      <c r="CT72" s="81">
        <f t="shared" si="116"/>
        <v>2062.442</v>
      </c>
      <c r="CU72" s="81">
        <f t="shared" si="116"/>
        <v>2067.0050000000001</v>
      </c>
      <c r="CV72" s="311">
        <f t="shared" si="116"/>
        <v>1578.7570000000001</v>
      </c>
      <c r="CW72" s="81">
        <f t="shared" si="116"/>
        <v>1485.1534199999999</v>
      </c>
      <c r="CX72" s="81">
        <f t="shared" si="116"/>
        <v>2083.0664200000001</v>
      </c>
      <c r="CY72" s="81">
        <f t="shared" si="116"/>
        <v>2108.3451</v>
      </c>
      <c r="CZ72" s="311">
        <f t="shared" si="116"/>
        <v>1635.1179600000005</v>
      </c>
      <c r="DF72" s="53">
        <f t="shared" ref="DF72:DM72" si="117">(BI72/BE72-1)*100</f>
        <v>5.2476476318092491</v>
      </c>
      <c r="DG72" s="53">
        <f t="shared" si="117"/>
        <v>-0.73595822922107867</v>
      </c>
      <c r="DH72" s="53">
        <f t="shared" si="117"/>
        <v>5.4561890617937703</v>
      </c>
      <c r="DI72" s="53">
        <f t="shared" si="117"/>
        <v>1.0837382830134468</v>
      </c>
      <c r="DJ72" s="53">
        <f t="shared" si="117"/>
        <v>2.4278150486714001</v>
      </c>
      <c r="DK72" s="53">
        <f t="shared" si="117"/>
        <v>5.0631775269981638</v>
      </c>
      <c r="DL72" s="53">
        <f t="shared" si="117"/>
        <v>-0.93785851476597681</v>
      </c>
      <c r="DM72" s="53">
        <f t="shared" si="117"/>
        <v>5.5531292858776338</v>
      </c>
      <c r="DN72" s="53">
        <f t="shared" si="108"/>
        <v>6.2472551728882664</v>
      </c>
      <c r="DO72" s="53">
        <f t="shared" si="108"/>
        <v>4.4531649220486358</v>
      </c>
      <c r="DP72" s="53">
        <f t="shared" si="108"/>
        <v>5.4014708956067636</v>
      </c>
      <c r="DQ72" s="53">
        <f t="shared" si="108"/>
        <v>2.7978576131986177</v>
      </c>
      <c r="DR72" s="52">
        <f>(BU72/BQ72-1)*100</f>
        <v>0.50735125089442779</v>
      </c>
      <c r="DS72" s="53">
        <f>(BV72/BR72-1)*100</f>
        <v>2.9346243049110043</v>
      </c>
      <c r="DT72" s="53">
        <f>(BW72/BS72-1)*100</f>
        <v>7.6317489025907959</v>
      </c>
      <c r="DU72" s="64">
        <f>(BX72/BT72-1)*100</f>
        <v>8.1697645375991446</v>
      </c>
      <c r="DV72" s="52">
        <f t="shared" si="109"/>
        <v>8.2551074974389849</v>
      </c>
      <c r="DW72" s="53">
        <f t="shared" si="109"/>
        <v>-1.2004921806547997</v>
      </c>
      <c r="DX72" s="53">
        <f t="shared" si="109"/>
        <v>10.16233964076665</v>
      </c>
      <c r="DY72" s="64">
        <f t="shared" si="109"/>
        <v>7.6844024377165088</v>
      </c>
      <c r="DZ72" s="52">
        <f t="shared" si="109"/>
        <v>12.692678514039502</v>
      </c>
      <c r="EA72" s="53">
        <f t="shared" si="109"/>
        <v>36.466022569233104</v>
      </c>
      <c r="EB72" s="53">
        <f t="shared" si="109"/>
        <v>16.001993920624514</v>
      </c>
      <c r="EC72" s="64">
        <f t="shared" si="109"/>
        <v>30.929596541487282</v>
      </c>
      <c r="ED72" s="52">
        <f t="shared" si="109"/>
        <v>34.103147736414698</v>
      </c>
      <c r="EE72" s="53">
        <f t="shared" si="109"/>
        <v>15.360556648861401</v>
      </c>
      <c r="EF72" s="53">
        <f t="shared" si="109"/>
        <v>14.205733410600097</v>
      </c>
      <c r="EG72" s="64">
        <f t="shared" si="109"/>
        <v>4.5875789174298021</v>
      </c>
      <c r="EH72" s="52">
        <f t="shared" si="109"/>
        <v>1.7768136678984359</v>
      </c>
      <c r="EI72" s="53">
        <f t="shared" si="109"/>
        <v>-6.1239926795719324</v>
      </c>
      <c r="EJ72" s="53">
        <f t="shared" si="109"/>
        <v>4.4724029323173653</v>
      </c>
      <c r="EK72" s="64">
        <f t="shared" si="109"/>
        <v>1.3896838080397211</v>
      </c>
      <c r="EL72" s="52">
        <f t="shared" si="110"/>
        <v>0.92542374411612727</v>
      </c>
      <c r="EM72" s="53">
        <f t="shared" si="110"/>
        <v>6.8017117604653565</v>
      </c>
      <c r="EN72" s="53">
        <f t="shared" si="110"/>
        <v>1.5605744659342946</v>
      </c>
      <c r="EO72" s="64">
        <f t="shared" si="110"/>
        <v>9.4040220883646839</v>
      </c>
      <c r="EP72" s="53">
        <f t="shared" si="110"/>
        <v>-2.1664661330320745</v>
      </c>
      <c r="EQ72" s="53">
        <f t="shared" si="110"/>
        <v>-3.5939323002363355</v>
      </c>
      <c r="ER72" s="53">
        <f t="shared" si="110"/>
        <v>-4.3069189587580876</v>
      </c>
      <c r="ES72" s="64">
        <f t="shared" si="110"/>
        <v>-9.9890989656560407</v>
      </c>
      <c r="ET72" s="53">
        <f t="shared" si="110"/>
        <v>-3.0000000000000138</v>
      </c>
      <c r="EU72" s="53">
        <f t="shared" si="110"/>
        <v>1.0000000000000009</v>
      </c>
      <c r="EV72" s="53">
        <f t="shared" si="110"/>
        <v>2.0000000000000018</v>
      </c>
      <c r="EW72" s="64">
        <f t="shared" si="110"/>
        <v>3.5699578845889812</v>
      </c>
    </row>
    <row r="73" spans="1:153" s="310" customFormat="1" ht="13.15" outlineLevel="1">
      <c r="B73" s="230"/>
      <c r="H73" s="81"/>
      <c r="I73" s="81"/>
      <c r="J73" s="81"/>
      <c r="K73" s="81"/>
      <c r="L73" s="81"/>
      <c r="M73" s="81"/>
      <c r="N73" s="81"/>
      <c r="O73" s="81"/>
      <c r="P73" s="315"/>
      <c r="Q73" s="81"/>
      <c r="R73" s="81"/>
      <c r="S73" s="81"/>
      <c r="T73" s="81"/>
      <c r="U73" s="81"/>
      <c r="V73" s="81"/>
      <c r="W73" s="81"/>
      <c r="X73" s="81"/>
      <c r="Y73" s="311"/>
      <c r="AA73" s="52"/>
      <c r="AB73" s="53"/>
      <c r="AC73" s="53"/>
      <c r="AD73" s="53"/>
      <c r="AE73" s="53"/>
      <c r="AF73" s="53"/>
      <c r="AG73" s="53"/>
      <c r="AH73" s="52"/>
      <c r="AI73" s="53"/>
      <c r="AJ73" s="53"/>
      <c r="AK73" s="52"/>
      <c r="AL73" s="53"/>
      <c r="AM73" s="52"/>
      <c r="AN73" s="53"/>
      <c r="AO73" s="53"/>
      <c r="AP73" s="53"/>
      <c r="AQ73" s="64"/>
      <c r="AS73" s="312"/>
      <c r="AT73" s="312"/>
      <c r="AU73" s="312"/>
      <c r="AV73" s="312"/>
      <c r="AW73" s="312"/>
      <c r="AY73" s="313"/>
      <c r="BA73" s="81"/>
      <c r="BB73" s="81"/>
      <c r="BC73" s="81"/>
      <c r="BD73" s="81"/>
      <c r="BE73" s="314"/>
      <c r="BF73" s="81"/>
      <c r="BG73" s="81"/>
      <c r="BH73" s="81"/>
      <c r="BI73" s="314"/>
      <c r="BJ73" s="81"/>
      <c r="BK73" s="81"/>
      <c r="BL73" s="81"/>
      <c r="BM73" s="314"/>
      <c r="BN73" s="81"/>
      <c r="BO73" s="81"/>
      <c r="BP73" s="311"/>
      <c r="BQ73" s="81"/>
      <c r="BR73" s="81"/>
      <c r="BS73" s="81"/>
      <c r="BT73" s="311"/>
      <c r="BU73" s="315">
        <f>BU72-BQ72</f>
        <v>4.7010000000000218</v>
      </c>
      <c r="BV73" s="316"/>
      <c r="BW73" s="315">
        <f>BW72-BS72</f>
        <v>98.907999999999902</v>
      </c>
      <c r="BX73" s="317">
        <f>BX72-BT72</f>
        <v>80.989000000000033</v>
      </c>
      <c r="BY73" s="81"/>
      <c r="BZ73" s="81"/>
      <c r="CA73" s="81"/>
      <c r="CB73" s="311"/>
      <c r="CC73" s="81"/>
      <c r="CD73" s="81"/>
      <c r="CE73" s="81"/>
      <c r="CF73" s="311"/>
      <c r="CG73" s="81"/>
      <c r="CH73" s="81"/>
      <c r="CI73" s="81"/>
      <c r="CJ73" s="311"/>
      <c r="CK73" s="81"/>
      <c r="CL73" s="81"/>
      <c r="CM73" s="81"/>
      <c r="CN73" s="311"/>
      <c r="CO73" s="81"/>
      <c r="CP73" s="81"/>
      <c r="CQ73" s="81"/>
      <c r="CR73" s="311"/>
      <c r="CS73" s="81"/>
      <c r="CT73" s="81"/>
      <c r="CU73" s="81"/>
      <c r="CV73" s="311"/>
      <c r="CW73" s="81"/>
      <c r="CX73" s="81"/>
      <c r="CY73" s="81"/>
      <c r="CZ73" s="311"/>
      <c r="DR73" s="318"/>
      <c r="DU73" s="319"/>
      <c r="DV73" s="318"/>
      <c r="DY73" s="319"/>
      <c r="DZ73" s="318"/>
      <c r="EC73" s="319"/>
      <c r="ED73" s="318"/>
      <c r="EG73" s="319"/>
      <c r="EH73" s="318"/>
      <c r="EK73" s="319"/>
      <c r="EL73" s="318"/>
      <c r="EO73" s="319"/>
      <c r="ES73" s="319"/>
      <c r="EW73" s="319"/>
    </row>
    <row r="74" spans="1:153" outlineLevel="1">
      <c r="A74" s="305"/>
      <c r="B74" s="114" t="s">
        <v>167</v>
      </c>
      <c r="H74" s="53">
        <v>2938.9070000000002</v>
      </c>
      <c r="I74" s="53">
        <v>3087.2559999999999</v>
      </c>
      <c r="J74" s="53">
        <v>3325.114</v>
      </c>
      <c r="K74" s="53">
        <v>3525.1759999999999</v>
      </c>
      <c r="L74" s="320">
        <f t="shared" ref="L74:Y76" si="118">L69/L$72</f>
        <v>0.90220310563038042</v>
      </c>
      <c r="M74" s="320">
        <f t="shared" si="118"/>
        <v>0.90345255362733501</v>
      </c>
      <c r="N74" s="320">
        <f t="shared" si="118"/>
        <v>0.86959192345383585</v>
      </c>
      <c r="O74" s="320">
        <f t="shared" si="118"/>
        <v>0.87560145891934127</v>
      </c>
      <c r="P74" s="320">
        <f t="shared" si="118"/>
        <v>0.87712546762698518</v>
      </c>
      <c r="Q74" s="320">
        <f t="shared" si="118"/>
        <v>0.89719616184444162</v>
      </c>
      <c r="R74" s="320">
        <f t="shared" si="118"/>
        <v>0.9</v>
      </c>
      <c r="S74" s="320">
        <f t="shared" si="118"/>
        <v>0.91</v>
      </c>
      <c r="T74" s="320">
        <f t="shared" si="118"/>
        <v>0.9</v>
      </c>
      <c r="U74" s="320">
        <f t="shared" si="118"/>
        <v>0.9</v>
      </c>
      <c r="V74" s="320">
        <f t="shared" si="118"/>
        <v>0.9</v>
      </c>
      <c r="W74" s="320">
        <f t="shared" si="118"/>
        <v>0.94099009900990105</v>
      </c>
      <c r="X74" s="320">
        <f t="shared" si="118"/>
        <v>0.94551408987052543</v>
      </c>
      <c r="Y74" s="321">
        <f t="shared" si="118"/>
        <v>0.95005983068721045</v>
      </c>
      <c r="AA74" s="52">
        <f t="shared" ref="AA74:AQ77" si="119">(I74/H74-1)*100</f>
        <v>5.0477609533067902</v>
      </c>
      <c r="AB74" s="53">
        <f t="shared" si="119"/>
        <v>7.7045117087795933</v>
      </c>
      <c r="AC74" s="53">
        <f t="shared" si="119"/>
        <v>6.0166959689201605</v>
      </c>
      <c r="AD74" s="53">
        <f t="shared" si="119"/>
        <v>-99.974406863497592</v>
      </c>
      <c r="AE74" s="53">
        <f t="shared" si="119"/>
        <v>0.13848854976856728</v>
      </c>
      <c r="AF74" s="53">
        <f t="shared" si="119"/>
        <v>-3.7479146013312703</v>
      </c>
      <c r="AG74" s="53">
        <f t="shared" si="119"/>
        <v>0.69107535424626221</v>
      </c>
      <c r="AH74" s="52">
        <f t="shared" si="119"/>
        <v>0.17405278304638561</v>
      </c>
      <c r="AI74" s="53">
        <f t="shared" si="119"/>
        <v>2.2882352591763855</v>
      </c>
      <c r="AJ74" s="53">
        <f t="shared" si="119"/>
        <v>0.31251116253041555</v>
      </c>
      <c r="AK74" s="52">
        <f t="shared" si="119"/>
        <v>1.1111111111111072</v>
      </c>
      <c r="AL74" s="53">
        <f t="shared" si="119"/>
        <v>-1.098901098901095</v>
      </c>
      <c r="AM74" s="52">
        <f t="shared" si="119"/>
        <v>0</v>
      </c>
      <c r="AN74" s="53">
        <f t="shared" si="119"/>
        <v>0</v>
      </c>
      <c r="AO74" s="53">
        <f t="shared" si="119"/>
        <v>4.5544554455445585</v>
      </c>
      <c r="AP74" s="53">
        <f t="shared" si="119"/>
        <v>0.48076923076920686</v>
      </c>
      <c r="AQ74" s="64">
        <f t="shared" si="119"/>
        <v>0.48076923076920686</v>
      </c>
      <c r="AR74" s="7"/>
      <c r="AS74" s="275"/>
      <c r="AY74" s="307" t="s">
        <v>167</v>
      </c>
      <c r="BA74" s="320">
        <f t="shared" ref="BA74:CZ76" si="120">BA69/BA$72</f>
        <v>0</v>
      </c>
      <c r="BB74" s="320">
        <f t="shared" si="120"/>
        <v>0</v>
      </c>
      <c r="BC74" s="320">
        <f t="shared" si="120"/>
        <v>0</v>
      </c>
      <c r="BD74" s="320">
        <f t="shared" si="120"/>
        <v>0</v>
      </c>
      <c r="BE74" s="322">
        <f t="shared" si="120"/>
        <v>0</v>
      </c>
      <c r="BF74" s="320">
        <f t="shared" si="120"/>
        <v>0</v>
      </c>
      <c r="BG74" s="320">
        <f t="shared" si="120"/>
        <v>0</v>
      </c>
      <c r="BH74" s="320">
        <f t="shared" si="120"/>
        <v>0</v>
      </c>
      <c r="BI74" s="322">
        <f t="shared" si="120"/>
        <v>0</v>
      </c>
      <c r="BJ74" s="320">
        <f t="shared" si="120"/>
        <v>0</v>
      </c>
      <c r="BK74" s="320">
        <f t="shared" si="120"/>
        <v>0</v>
      </c>
      <c r="BL74" s="320">
        <f t="shared" si="120"/>
        <v>0</v>
      </c>
      <c r="BM74" s="322">
        <f t="shared" si="120"/>
        <v>0.9015990230422144</v>
      </c>
      <c r="BN74" s="320">
        <f t="shared" si="120"/>
        <v>0.91207548411974382</v>
      </c>
      <c r="BO74" s="320">
        <f t="shared" si="120"/>
        <v>0.90612406889770669</v>
      </c>
      <c r="BP74" s="321">
        <f t="shared" si="120"/>
        <v>0.73785626513332903</v>
      </c>
      <c r="BQ74" s="320">
        <f t="shared" si="120"/>
        <v>0.90685177810370865</v>
      </c>
      <c r="BR74" s="320">
        <f t="shared" si="120"/>
        <v>0.91343642397671576</v>
      </c>
      <c r="BS74" s="320">
        <f t="shared" si="120"/>
        <v>0.8756526778018946</v>
      </c>
      <c r="BT74" s="321">
        <f t="shared" si="120"/>
        <v>0.79545981846536828</v>
      </c>
      <c r="BU74" s="320">
        <f t="shared" si="120"/>
        <v>0.86602604163311059</v>
      </c>
      <c r="BV74" s="320">
        <f t="shared" si="120"/>
        <v>0.88873014183725096</v>
      </c>
      <c r="BW74" s="320">
        <f t="shared" si="120"/>
        <v>0.88361226311280627</v>
      </c>
      <c r="BX74" s="321">
        <f t="shared" si="120"/>
        <v>0.86348041387092389</v>
      </c>
      <c r="BY74" s="320">
        <f t="shared" si="120"/>
        <v>0.89226766492487275</v>
      </c>
      <c r="BZ74" s="320">
        <f t="shared" si="120"/>
        <v>0.90501886917739227</v>
      </c>
      <c r="CA74" s="320">
        <f t="shared" si="120"/>
        <v>0.90542477862860682</v>
      </c>
      <c r="CB74" s="321">
        <f t="shared" si="120"/>
        <v>0.88136650050748389</v>
      </c>
      <c r="CC74" s="320">
        <f t="shared" si="120"/>
        <v>0.89010648541788795</v>
      </c>
      <c r="CD74" s="320">
        <f t="shared" si="120"/>
        <v>0.90030222097272972</v>
      </c>
      <c r="CE74" s="320">
        <f t="shared" si="120"/>
        <v>0.90617473993994058</v>
      </c>
      <c r="CF74" s="321">
        <f t="shared" si="120"/>
        <v>0.89978457071233164</v>
      </c>
      <c r="CG74" s="320">
        <f t="shared" si="120"/>
        <v>0.90008335685265528</v>
      </c>
      <c r="CH74" s="320">
        <f t="shared" si="120"/>
        <v>0.90658721362105765</v>
      </c>
      <c r="CI74" s="320">
        <f t="shared" si="120"/>
        <v>0.90926153701058454</v>
      </c>
      <c r="CJ74" s="321">
        <f t="shared" si="120"/>
        <v>0.92511115762925311</v>
      </c>
      <c r="CK74" s="320">
        <f t="shared" si="120"/>
        <v>0.89963053988640818</v>
      </c>
      <c r="CL74" s="320">
        <f t="shared" si="120"/>
        <v>0.89813058264156664</v>
      </c>
      <c r="CM74" s="320">
        <f t="shared" si="120"/>
        <v>0.90488775627749096</v>
      </c>
      <c r="CN74" s="321">
        <f t="shared" si="120"/>
        <v>0.8962088252410656</v>
      </c>
      <c r="CO74" s="323">
        <f t="shared" si="120"/>
        <v>0.89373421316799906</v>
      </c>
      <c r="CP74" s="323">
        <f t="shared" si="120"/>
        <v>0.90051595641248094</v>
      </c>
      <c r="CQ74" s="323">
        <f t="shared" si="120"/>
        <v>0.90507334137023643</v>
      </c>
      <c r="CR74" s="321">
        <f t="shared" si="120"/>
        <v>0.89871348410056751</v>
      </c>
      <c r="CS74" s="323">
        <f t="shared" si="120"/>
        <v>0.89977506162292653</v>
      </c>
      <c r="CT74" s="323">
        <f t="shared" si="120"/>
        <v>0.90881828434448098</v>
      </c>
      <c r="CU74" s="323">
        <f t="shared" si="120"/>
        <v>0.92404227372454339</v>
      </c>
      <c r="CV74" s="321">
        <f t="shared" si="120"/>
        <v>0.85722058556193292</v>
      </c>
      <c r="CW74" s="323">
        <f t="shared" si="120"/>
        <v>0.96286348652114351</v>
      </c>
      <c r="CX74" s="323">
        <f t="shared" si="120"/>
        <v>0.94092054923529511</v>
      </c>
      <c r="CY74" s="323">
        <f t="shared" si="120"/>
        <v>0.94386825003174291</v>
      </c>
      <c r="CZ74" s="321">
        <f t="shared" si="120"/>
        <v>0.91750029826594304</v>
      </c>
      <c r="DF74" s="53"/>
      <c r="DG74" s="53"/>
      <c r="DH74" s="53"/>
      <c r="DI74" s="53"/>
      <c r="DJ74" s="53"/>
      <c r="DK74" s="53"/>
      <c r="DL74" s="53"/>
      <c r="DM74" s="53"/>
      <c r="DN74" s="53"/>
      <c r="DO74" s="53"/>
      <c r="DP74" s="53"/>
      <c r="DQ74" s="53"/>
      <c r="DR74" s="163"/>
      <c r="DU74" s="237"/>
      <c r="DV74" s="52"/>
      <c r="DW74" s="53"/>
      <c r="DX74" s="53"/>
      <c r="DY74" s="64"/>
      <c r="DZ74" s="52"/>
      <c r="EA74" s="53"/>
      <c r="EB74" s="53"/>
      <c r="EC74" s="64"/>
      <c r="ED74" s="52"/>
      <c r="EE74" s="53"/>
      <c r="EF74" s="53"/>
      <c r="EG74" s="64"/>
      <c r="EH74" s="52"/>
      <c r="EI74" s="53"/>
      <c r="EJ74" s="53"/>
      <c r="EK74" s="64"/>
      <c r="EL74" s="52"/>
      <c r="EM74" s="53"/>
      <c r="EN74" s="53"/>
      <c r="EO74" s="64"/>
      <c r="EP74" s="53"/>
      <c r="EQ74" s="53"/>
      <c r="ER74" s="53"/>
      <c r="ES74" s="64"/>
      <c r="ET74" s="53"/>
      <c r="EU74" s="53"/>
      <c r="EV74" s="53"/>
      <c r="EW74" s="64"/>
    </row>
    <row r="75" spans="1:153" outlineLevel="1">
      <c r="A75" s="305"/>
      <c r="B75" s="114" t="s">
        <v>168</v>
      </c>
      <c r="H75" s="53">
        <v>0</v>
      </c>
      <c r="I75" s="53">
        <v>240.25399999999999</v>
      </c>
      <c r="J75" s="53">
        <v>318.16500000000002</v>
      </c>
      <c r="K75" s="53">
        <v>300.28899999999999</v>
      </c>
      <c r="L75" s="320">
        <f t="shared" si="118"/>
        <v>6.4160628643266299E-2</v>
      </c>
      <c r="M75" s="320">
        <f t="shared" si="118"/>
        <v>6.3311742928072151E-2</v>
      </c>
      <c r="N75" s="320">
        <f t="shared" si="118"/>
        <v>6.2092536656874614E-2</v>
      </c>
      <c r="O75" s="320">
        <f t="shared" si="118"/>
        <v>6.4153785212990741E-2</v>
      </c>
      <c r="P75" s="320">
        <f>P70/P$72</f>
        <v>6.163892803103832E-2</v>
      </c>
      <c r="Q75" s="320">
        <f>Q70/Q$72</f>
        <v>5.9689673126897158E-2</v>
      </c>
      <c r="R75" s="320">
        <f t="shared" si="118"/>
        <v>0.06</v>
      </c>
      <c r="S75" s="320">
        <f t="shared" si="118"/>
        <v>5.000000000000001E-2</v>
      </c>
      <c r="T75" s="320">
        <f t="shared" si="118"/>
        <v>0.05</v>
      </c>
      <c r="U75" s="320">
        <f t="shared" si="118"/>
        <v>0.05</v>
      </c>
      <c r="V75" s="320">
        <f t="shared" si="118"/>
        <v>0.05</v>
      </c>
      <c r="W75" s="320">
        <f t="shared" si="118"/>
        <v>5.1485148514851489E-2</v>
      </c>
      <c r="X75" s="320">
        <f t="shared" si="118"/>
        <v>5.1485148514851489E-2</v>
      </c>
      <c r="Y75" s="321">
        <f t="shared" si="118"/>
        <v>5.173267326732673E-2</v>
      </c>
      <c r="AA75" s="52"/>
      <c r="AB75" s="53">
        <f t="shared" si="119"/>
        <v>32.428596402141082</v>
      </c>
      <c r="AC75" s="53">
        <f t="shared" si="119"/>
        <v>-5.6184684047585476</v>
      </c>
      <c r="AD75" s="53">
        <f t="shared" si="119"/>
        <v>-99.978633706648182</v>
      </c>
      <c r="AE75" s="53">
        <f t="shared" si="119"/>
        <v>-1.3230632759444472</v>
      </c>
      <c r="AF75" s="53">
        <f t="shared" si="119"/>
        <v>-1.9257190132684676</v>
      </c>
      <c r="AG75" s="53">
        <f t="shared" si="119"/>
        <v>3.3196397942423461</v>
      </c>
      <c r="AH75" s="52">
        <f t="shared" si="119"/>
        <v>-3.9200448946279498</v>
      </c>
      <c r="AI75" s="53">
        <f t="shared" si="119"/>
        <v>-3.1623763851954312</v>
      </c>
      <c r="AJ75" s="53">
        <f t="shared" si="119"/>
        <v>0.5199004398015461</v>
      </c>
      <c r="AK75" s="52">
        <f t="shared" si="119"/>
        <v>-16.66666666666665</v>
      </c>
      <c r="AL75" s="53">
        <f t="shared" si="119"/>
        <v>-1.1102230246251565E-14</v>
      </c>
      <c r="AM75" s="52">
        <f t="shared" si="119"/>
        <v>0</v>
      </c>
      <c r="AN75" s="53">
        <f t="shared" si="119"/>
        <v>0</v>
      </c>
      <c r="AO75" s="53">
        <f t="shared" si="119"/>
        <v>2.9702970297029729</v>
      </c>
      <c r="AP75" s="53">
        <f t="shared" si="119"/>
        <v>0</v>
      </c>
      <c r="AQ75" s="64">
        <f t="shared" si="119"/>
        <v>0.48076923076920686</v>
      </c>
      <c r="AR75" s="7"/>
      <c r="AS75" s="275"/>
      <c r="AY75" s="307" t="s">
        <v>168</v>
      </c>
      <c r="BA75" s="320">
        <f t="shared" si="120"/>
        <v>0</v>
      </c>
      <c r="BB75" s="320">
        <f t="shared" si="120"/>
        <v>0</v>
      </c>
      <c r="BC75" s="320">
        <f t="shared" si="120"/>
        <v>0</v>
      </c>
      <c r="BD75" s="320">
        <f t="shared" si="120"/>
        <v>0</v>
      </c>
      <c r="BE75" s="322">
        <f t="shared" si="120"/>
        <v>0</v>
      </c>
      <c r="BF75" s="320">
        <f t="shared" si="120"/>
        <v>0</v>
      </c>
      <c r="BG75" s="320">
        <f t="shared" si="120"/>
        <v>0</v>
      </c>
      <c r="BH75" s="320">
        <f t="shared" si="120"/>
        <v>0</v>
      </c>
      <c r="BI75" s="322">
        <f t="shared" si="120"/>
        <v>0</v>
      </c>
      <c r="BJ75" s="320">
        <f t="shared" si="120"/>
        <v>0</v>
      </c>
      <c r="BK75" s="320">
        <f t="shared" si="120"/>
        <v>0</v>
      </c>
      <c r="BL75" s="320">
        <f t="shared" si="120"/>
        <v>0</v>
      </c>
      <c r="BM75" s="322">
        <f t="shared" si="120"/>
        <v>5.9091039393644039E-2</v>
      </c>
      <c r="BN75" s="320">
        <f t="shared" si="120"/>
        <v>5.6309780206344577E-2</v>
      </c>
      <c r="BO75" s="320">
        <f t="shared" si="120"/>
        <v>6.2140988344904939E-2</v>
      </c>
      <c r="BP75" s="321">
        <f t="shared" si="120"/>
        <v>7.2396289709595649E-2</v>
      </c>
      <c r="BQ75" s="320">
        <f t="shared" si="120"/>
        <v>5.6509065085794272E-2</v>
      </c>
      <c r="BR75" s="320">
        <f t="shared" si="120"/>
        <v>5.9365534090218448E-2</v>
      </c>
      <c r="BS75" s="320">
        <f t="shared" si="120"/>
        <v>6.732293884215132E-2</v>
      </c>
      <c r="BT75" s="321">
        <f t="shared" si="120"/>
        <v>7.3593348706681758E-2</v>
      </c>
      <c r="BU75" s="320">
        <f t="shared" si="120"/>
        <v>6.362869089573682E-2</v>
      </c>
      <c r="BV75" s="320">
        <f t="shared" si="120"/>
        <v>5.6675856177115062E-2</v>
      </c>
      <c r="BW75" s="320">
        <f t="shared" si="120"/>
        <v>6.1238139958348717E-2</v>
      </c>
      <c r="BX75" s="321">
        <f t="shared" si="120"/>
        <v>6.6781682621244703E-2</v>
      </c>
      <c r="BY75" s="320">
        <f t="shared" si="120"/>
        <v>5.4893290324116509E-2</v>
      </c>
      <c r="BZ75" s="320">
        <f t="shared" si="120"/>
        <v>5.306020060720755E-2</v>
      </c>
      <c r="CA75" s="320">
        <f t="shared" si="120"/>
        <v>5.9498096860030547E-2</v>
      </c>
      <c r="CB75" s="321">
        <f t="shared" si="120"/>
        <v>7.1913786593413423E-2</v>
      </c>
      <c r="CC75" s="320">
        <f t="shared" si="120"/>
        <v>6.556713299146745E-2</v>
      </c>
      <c r="CD75" s="320">
        <f t="shared" si="120"/>
        <v>6.1568737700309246E-2</v>
      </c>
      <c r="CE75" s="320">
        <f t="shared" si="120"/>
        <v>5.7496231562424796E-2</v>
      </c>
      <c r="CF75" s="321">
        <f t="shared" si="120"/>
        <v>5.6849335092749635E-2</v>
      </c>
      <c r="CG75" s="320">
        <f t="shared" si="120"/>
        <v>5.8693069566872549E-2</v>
      </c>
      <c r="CH75" s="320">
        <f t="shared" si="120"/>
        <v>5.3032798985825455E-2</v>
      </c>
      <c r="CI75" s="320">
        <f t="shared" si="120"/>
        <v>4.9399350426074122E-2</v>
      </c>
      <c r="CJ75" s="321">
        <f t="shared" si="120"/>
        <v>3.8304654055753076E-2</v>
      </c>
      <c r="CK75" s="320">
        <f t="shared" si="120"/>
        <v>5.2406069489972215E-2</v>
      </c>
      <c r="CL75" s="320">
        <f t="shared" si="120"/>
        <v>5.3597352881856179E-2</v>
      </c>
      <c r="CM75" s="320">
        <f t="shared" si="120"/>
        <v>4.7032106241874705E-2</v>
      </c>
      <c r="CN75" s="321">
        <f t="shared" si="120"/>
        <v>4.7115451189092813E-2</v>
      </c>
      <c r="CO75" s="323">
        <f t="shared" si="120"/>
        <v>5.0989430610144083E-2</v>
      </c>
      <c r="CP75" s="323">
        <f t="shared" si="120"/>
        <v>4.4732271068298086E-2</v>
      </c>
      <c r="CQ75" s="323">
        <f t="shared" si="120"/>
        <v>4.4723328685262652E-2</v>
      </c>
      <c r="CR75" s="321">
        <f t="shared" si="120"/>
        <v>6.2040597230726774E-2</v>
      </c>
      <c r="CS75" s="323">
        <f t="shared" si="120"/>
        <v>4.9907712564806937E-2</v>
      </c>
      <c r="CT75" s="323">
        <f t="shared" si="120"/>
        <v>4.5434974656256996E-2</v>
      </c>
      <c r="CU75" s="323">
        <f t="shared" si="120"/>
        <v>4.3541258971313564E-2</v>
      </c>
      <c r="CV75" s="321">
        <f t="shared" si="120"/>
        <v>6.4509294337253956E-2</v>
      </c>
      <c r="CW75" s="323">
        <f t="shared" si="120"/>
        <v>5.3866488756427605E-2</v>
      </c>
      <c r="CX75" s="323">
        <f t="shared" si="120"/>
        <v>4.7046027461764756E-2</v>
      </c>
      <c r="CY75" s="323">
        <f t="shared" si="120"/>
        <v>4.6007648368381435E-2</v>
      </c>
      <c r="CZ75" s="321">
        <f t="shared" si="120"/>
        <v>6.204022124495534E-2</v>
      </c>
      <c r="DF75" s="53"/>
      <c r="DG75" s="53"/>
      <c r="DH75" s="53"/>
      <c r="DI75" s="53"/>
      <c r="DJ75" s="53"/>
      <c r="DK75" s="53"/>
      <c r="DL75" s="53"/>
      <c r="DM75" s="53"/>
      <c r="DN75" s="53"/>
      <c r="DO75" s="53"/>
      <c r="DP75" s="53"/>
      <c r="DQ75" s="53"/>
      <c r="DR75" s="163"/>
      <c r="DU75" s="237"/>
      <c r="DV75" s="52"/>
      <c r="DW75" s="53"/>
      <c r="DX75" s="53"/>
      <c r="DY75" s="64"/>
      <c r="DZ75" s="52"/>
      <c r="EA75" s="53"/>
      <c r="EB75" s="53"/>
      <c r="EC75" s="64"/>
      <c r="ED75" s="52"/>
      <c r="EE75" s="53"/>
      <c r="EF75" s="53"/>
      <c r="EG75" s="64"/>
      <c r="EH75" s="52"/>
      <c r="EI75" s="53"/>
      <c r="EJ75" s="53"/>
      <c r="EK75" s="64"/>
      <c r="EL75" s="52"/>
      <c r="EM75" s="53"/>
      <c r="EN75" s="53"/>
      <c r="EO75" s="64"/>
      <c r="EP75" s="53"/>
      <c r="EQ75" s="53"/>
      <c r="ER75" s="53"/>
      <c r="ES75" s="64"/>
      <c r="ET75" s="53"/>
      <c r="EU75" s="53"/>
      <c r="EV75" s="53"/>
      <c r="EW75" s="64"/>
    </row>
    <row r="76" spans="1:153" outlineLevel="1">
      <c r="A76" s="305"/>
      <c r="B76" s="114" t="s">
        <v>170</v>
      </c>
      <c r="H76" s="53">
        <v>38.851999999999997</v>
      </c>
      <c r="I76" s="53">
        <v>104.202</v>
      </c>
      <c r="J76" s="53">
        <v>100.051</v>
      </c>
      <c r="K76" s="53">
        <v>119.075</v>
      </c>
      <c r="L76" s="320">
        <f t="shared" si="118"/>
        <v>3.3636265726353372E-2</v>
      </c>
      <c r="M76" s="320">
        <f t="shared" si="118"/>
        <v>3.3235703444592868E-2</v>
      </c>
      <c r="N76" s="320">
        <f t="shared" si="118"/>
        <v>6.8315539889289525E-2</v>
      </c>
      <c r="O76" s="320">
        <f t="shared" si="118"/>
        <v>6.0244755867667969E-2</v>
      </c>
      <c r="P76" s="320">
        <f>P71/P$72</f>
        <v>6.1235604341976543E-2</v>
      </c>
      <c r="Q76" s="320">
        <f>Q71/Q$72</f>
        <v>4.3114165028661181E-2</v>
      </c>
      <c r="R76" s="320">
        <f t="shared" si="118"/>
        <v>3.9999999999999973E-2</v>
      </c>
      <c r="S76" s="320">
        <f t="shared" si="118"/>
        <v>3.999999999999998E-2</v>
      </c>
      <c r="T76" s="320">
        <f t="shared" si="118"/>
        <v>4.9999999999999975E-2</v>
      </c>
      <c r="U76" s="320">
        <f t="shared" si="118"/>
        <v>4.9999999999999975E-2</v>
      </c>
      <c r="V76" s="320">
        <f t="shared" si="118"/>
        <v>0.05</v>
      </c>
      <c r="W76" s="320">
        <f t="shared" si="118"/>
        <v>7.5247524752474985E-3</v>
      </c>
      <c r="X76" s="320">
        <f t="shared" si="118"/>
        <v>3.0007616146231057E-3</v>
      </c>
      <c r="Y76" s="321">
        <f t="shared" si="118"/>
        <v>-1.7925039545371997E-3</v>
      </c>
      <c r="AA76" s="52">
        <f>(I76/H76-1)*100</f>
        <v>168.2024091423865</v>
      </c>
      <c r="AB76" s="53">
        <f t="shared" si="119"/>
        <v>-3.9836087599086301</v>
      </c>
      <c r="AC76" s="53">
        <f t="shared" si="119"/>
        <v>19.014302705620146</v>
      </c>
      <c r="AD76" s="53">
        <f t="shared" si="119"/>
        <v>-99.971752033822085</v>
      </c>
      <c r="AE76" s="53">
        <f t="shared" si="119"/>
        <v>-1.1908643040795974</v>
      </c>
      <c r="AF76" s="53">
        <f t="shared" si="119"/>
        <v>105.54865042401809</v>
      </c>
      <c r="AG76" s="53">
        <f t="shared" si="119"/>
        <v>-11.813979710474175</v>
      </c>
      <c r="AH76" s="52">
        <f t="shared" si="119"/>
        <v>1.6447049374472389</v>
      </c>
      <c r="AI76" s="53">
        <f t="shared" si="119"/>
        <v>-29.592978640521483</v>
      </c>
      <c r="AJ76" s="53">
        <f t="shared" si="119"/>
        <v>-7.2230670049877821</v>
      </c>
      <c r="AK76" s="52">
        <f t="shared" si="119"/>
        <v>2.2204460492503131E-14</v>
      </c>
      <c r="AL76" s="53">
        <f t="shared" si="119"/>
        <v>25</v>
      </c>
      <c r="AM76" s="52">
        <f t="shared" si="119"/>
        <v>0</v>
      </c>
      <c r="AN76" s="53">
        <f t="shared" si="119"/>
        <v>4.4408920985006262E-14</v>
      </c>
      <c r="AO76" s="53">
        <f t="shared" si="119"/>
        <v>-84.950495049505008</v>
      </c>
      <c r="AP76" s="53">
        <f t="shared" si="119"/>
        <v>-60.121457489877002</v>
      </c>
      <c r="AQ76" s="64">
        <f t="shared" si="119"/>
        <v>-159.73496680982896</v>
      </c>
      <c r="AR76" s="7"/>
      <c r="AY76" s="307" t="s">
        <v>170</v>
      </c>
      <c r="BA76" s="320">
        <f t="shared" si="120"/>
        <v>0</v>
      </c>
      <c r="BB76" s="320">
        <f t="shared" si="120"/>
        <v>0</v>
      </c>
      <c r="BC76" s="320">
        <f t="shared" si="120"/>
        <v>0</v>
      </c>
      <c r="BD76" s="320">
        <f t="shared" si="120"/>
        <v>0</v>
      </c>
      <c r="BE76" s="322">
        <f t="shared" si="120"/>
        <v>0</v>
      </c>
      <c r="BF76" s="320">
        <f t="shared" si="120"/>
        <v>0</v>
      </c>
      <c r="BG76" s="320">
        <f t="shared" si="120"/>
        <v>0</v>
      </c>
      <c r="BH76" s="320">
        <f t="shared" si="120"/>
        <v>0</v>
      </c>
      <c r="BI76" s="322">
        <f t="shared" si="120"/>
        <v>0</v>
      </c>
      <c r="BJ76" s="320">
        <f t="shared" si="120"/>
        <v>0</v>
      </c>
      <c r="BK76" s="320">
        <f t="shared" si="120"/>
        <v>0</v>
      </c>
      <c r="BL76" s="320">
        <f t="shared" si="120"/>
        <v>0</v>
      </c>
      <c r="BM76" s="322">
        <f t="shared" si="120"/>
        <v>3.9309937564141584E-2</v>
      </c>
      <c r="BN76" s="320">
        <f t="shared" si="120"/>
        <v>3.1614735673911577E-2</v>
      </c>
      <c r="BO76" s="320">
        <f t="shared" si="120"/>
        <v>3.1734942757388321E-2</v>
      </c>
      <c r="BP76" s="321">
        <f t="shared" si="120"/>
        <v>0.18974744515707584</v>
      </c>
      <c r="BQ76" s="320">
        <f t="shared" si="120"/>
        <v>3.6639156810497099E-2</v>
      </c>
      <c r="BR76" s="320">
        <f t="shared" si="120"/>
        <v>2.7198041933065839E-2</v>
      </c>
      <c r="BS76" s="320">
        <f t="shared" si="120"/>
        <v>5.702438335595407E-2</v>
      </c>
      <c r="BT76" s="321">
        <f t="shared" si="120"/>
        <v>0.13094683282794994</v>
      </c>
      <c r="BU76" s="320">
        <f t="shared" si="120"/>
        <v>7.0345267471152606E-2</v>
      </c>
      <c r="BV76" s="320">
        <f t="shared" si="120"/>
        <v>5.4594001985634001E-2</v>
      </c>
      <c r="BW76" s="320">
        <f t="shared" si="120"/>
        <v>5.5149596928845052E-2</v>
      </c>
      <c r="BX76" s="321">
        <f t="shared" si="120"/>
        <v>6.9737903507831434E-2</v>
      </c>
      <c r="BY76" s="320">
        <f t="shared" si="120"/>
        <v>5.2839044751010748E-2</v>
      </c>
      <c r="BZ76" s="320">
        <f t="shared" si="120"/>
        <v>4.192093021540013E-2</v>
      </c>
      <c r="CA76" s="320">
        <f t="shared" si="120"/>
        <v>3.5077124511362634E-2</v>
      </c>
      <c r="CB76" s="321">
        <f t="shared" si="120"/>
        <v>4.6719712899102643E-2</v>
      </c>
      <c r="CC76" s="320">
        <f t="shared" si="120"/>
        <v>4.4326381590644608E-2</v>
      </c>
      <c r="CD76" s="320">
        <f t="shared" si="120"/>
        <v>3.8119309703509872E-2</v>
      </c>
      <c r="CE76" s="320">
        <f t="shared" si="120"/>
        <v>3.6329028497634593E-2</v>
      </c>
      <c r="CF76" s="321">
        <f t="shared" si="120"/>
        <v>4.3366094194918776E-2</v>
      </c>
      <c r="CG76" s="320">
        <f t="shared" si="120"/>
        <v>4.1223573580472191E-2</v>
      </c>
      <c r="CH76" s="320">
        <f t="shared" si="120"/>
        <v>4.0379987393116899E-2</v>
      </c>
      <c r="CI76" s="320">
        <f t="shared" si="120"/>
        <v>4.1339112563341385E-2</v>
      </c>
      <c r="CJ76" s="321">
        <f t="shared" si="120"/>
        <v>3.6584188314993861E-2</v>
      </c>
      <c r="CK76" s="320">
        <f t="shared" si="120"/>
        <v>4.796339062361963E-2</v>
      </c>
      <c r="CL76" s="320">
        <f t="shared" si="120"/>
        <v>4.827206447657717E-2</v>
      </c>
      <c r="CM76" s="320">
        <f t="shared" si="120"/>
        <v>4.8080137480634465E-2</v>
      </c>
      <c r="CN76" s="321">
        <f t="shared" si="120"/>
        <v>5.6675723569841567E-2</v>
      </c>
      <c r="CO76" s="323">
        <f t="shared" si="120"/>
        <v>5.5276356221856872E-2</v>
      </c>
      <c r="CP76" s="323">
        <f t="shared" si="120"/>
        <v>5.475177251922099E-2</v>
      </c>
      <c r="CQ76" s="323">
        <f t="shared" si="120"/>
        <v>5.0203329944500927E-2</v>
      </c>
      <c r="CR76" s="321">
        <f t="shared" si="120"/>
        <v>3.9245918668705672E-2</v>
      </c>
      <c r="CS76" s="323">
        <f t="shared" si="120"/>
        <v>5.0317225812266574E-2</v>
      </c>
      <c r="CT76" s="323">
        <f t="shared" si="120"/>
        <v>4.5746740999262049E-2</v>
      </c>
      <c r="CU76" s="323">
        <f t="shared" si="120"/>
        <v>3.2416467304143E-2</v>
      </c>
      <c r="CV76" s="321">
        <f t="shared" si="120"/>
        <v>7.8270120100813162E-2</v>
      </c>
      <c r="CW76" s="323">
        <f t="shared" si="120"/>
        <v>-1.6729975277571075E-2</v>
      </c>
      <c r="CX76" s="323">
        <f t="shared" si="120"/>
        <v>1.2033423302940147E-2</v>
      </c>
      <c r="CY76" s="323">
        <f t="shared" si="120"/>
        <v>1.0124101599875658E-2</v>
      </c>
      <c r="CZ76" s="321">
        <f t="shared" si="120"/>
        <v>2.0459480489101591E-2</v>
      </c>
      <c r="DF76" s="53"/>
      <c r="DG76" s="53"/>
      <c r="DH76" s="53"/>
      <c r="DI76" s="53"/>
      <c r="DJ76" s="53"/>
      <c r="DK76" s="53"/>
      <c r="DL76" s="53"/>
      <c r="DM76" s="53"/>
      <c r="DN76" s="53"/>
      <c r="DO76" s="53"/>
      <c r="DP76" s="53"/>
      <c r="DQ76" s="53"/>
      <c r="DR76" s="163"/>
      <c r="DU76" s="237"/>
      <c r="DV76" s="52"/>
      <c r="DW76" s="53"/>
      <c r="DX76" s="53"/>
      <c r="DY76" s="64"/>
      <c r="DZ76" s="52"/>
      <c r="EA76" s="53"/>
      <c r="EB76" s="53"/>
      <c r="EC76" s="64"/>
      <c r="ED76" s="52"/>
      <c r="EE76" s="53"/>
      <c r="EF76" s="53"/>
      <c r="EG76" s="64"/>
      <c r="EH76" s="52"/>
      <c r="EI76" s="53"/>
      <c r="EJ76" s="53"/>
      <c r="EK76" s="64"/>
      <c r="EL76" s="52"/>
      <c r="EM76" s="53"/>
      <c r="EN76" s="53"/>
      <c r="EO76" s="64"/>
      <c r="EP76" s="53"/>
      <c r="EQ76" s="53"/>
      <c r="ER76" s="53"/>
      <c r="ES76" s="64"/>
      <c r="ET76" s="53"/>
      <c r="EU76" s="53"/>
      <c r="EV76" s="53"/>
      <c r="EW76" s="64"/>
    </row>
    <row r="77" spans="1:153" s="310" customFormat="1" ht="13.15" outlineLevel="1">
      <c r="B77" s="230" t="s">
        <v>171</v>
      </c>
      <c r="H77" s="81">
        <f t="shared" ref="H77:Y77" si="121">+H74+H75+H76</f>
        <v>2977.759</v>
      </c>
      <c r="I77" s="81">
        <f t="shared" si="121"/>
        <v>3431.7119999999995</v>
      </c>
      <c r="J77" s="81">
        <f t="shared" si="121"/>
        <v>3743.33</v>
      </c>
      <c r="K77" s="81">
        <f t="shared" si="121"/>
        <v>3944.54</v>
      </c>
      <c r="L77" s="324">
        <f t="shared" si="121"/>
        <v>1.0000000000000002</v>
      </c>
      <c r="M77" s="324">
        <f t="shared" si="121"/>
        <v>1</v>
      </c>
      <c r="N77" s="324">
        <f t="shared" si="121"/>
        <v>1</v>
      </c>
      <c r="O77" s="324">
        <f t="shared" si="121"/>
        <v>1</v>
      </c>
      <c r="P77" s="324">
        <f t="shared" si="121"/>
        <v>1</v>
      </c>
      <c r="Q77" s="324">
        <f t="shared" si="121"/>
        <v>0.99999999999999989</v>
      </c>
      <c r="R77" s="324">
        <f t="shared" si="121"/>
        <v>0.99999999999999989</v>
      </c>
      <c r="S77" s="324">
        <f t="shared" si="121"/>
        <v>1</v>
      </c>
      <c r="T77" s="324">
        <f t="shared" si="121"/>
        <v>1</v>
      </c>
      <c r="U77" s="324">
        <f t="shared" si="121"/>
        <v>1</v>
      </c>
      <c r="V77" s="324">
        <f t="shared" si="121"/>
        <v>1</v>
      </c>
      <c r="W77" s="324">
        <f t="shared" si="121"/>
        <v>1</v>
      </c>
      <c r="X77" s="324">
        <f t="shared" si="121"/>
        <v>1</v>
      </c>
      <c r="Y77" s="325">
        <f t="shared" si="121"/>
        <v>1</v>
      </c>
      <c r="AA77" s="52">
        <f>(I77/H77-1)*100</f>
        <v>15.244786431675617</v>
      </c>
      <c r="AB77" s="53">
        <f t="shared" si="119"/>
        <v>9.0805405581820597</v>
      </c>
      <c r="AC77" s="53">
        <f t="shared" si="119"/>
        <v>5.3751606190210355</v>
      </c>
      <c r="AD77" s="53">
        <f t="shared" si="119"/>
        <v>-99.974648501472913</v>
      </c>
      <c r="AE77" s="53">
        <f t="shared" si="119"/>
        <v>-2.2204460492503131E-14</v>
      </c>
      <c r="AF77" s="53">
        <f t="shared" si="119"/>
        <v>0</v>
      </c>
      <c r="AG77" s="53">
        <f t="shared" si="119"/>
        <v>0</v>
      </c>
      <c r="AH77" s="52">
        <f t="shared" si="119"/>
        <v>0</v>
      </c>
      <c r="AI77" s="53">
        <f t="shared" si="119"/>
        <v>-1.1102230246251565E-14</v>
      </c>
      <c r="AJ77" s="53">
        <f t="shared" si="119"/>
        <v>0</v>
      </c>
      <c r="AK77" s="52">
        <f t="shared" si="119"/>
        <v>0</v>
      </c>
      <c r="AL77" s="53">
        <f t="shared" si="119"/>
        <v>0</v>
      </c>
      <c r="AM77" s="52">
        <f t="shared" si="119"/>
        <v>0</v>
      </c>
      <c r="AN77" s="53">
        <f t="shared" si="119"/>
        <v>0</v>
      </c>
      <c r="AO77" s="53">
        <f t="shared" si="119"/>
        <v>0</v>
      </c>
      <c r="AP77" s="53">
        <f t="shared" si="119"/>
        <v>0</v>
      </c>
      <c r="AQ77" s="64">
        <f t="shared" si="119"/>
        <v>0</v>
      </c>
      <c r="AS77" s="312"/>
      <c r="AT77" s="312"/>
      <c r="AU77" s="312"/>
      <c r="AV77" s="312"/>
      <c r="AW77" s="312"/>
      <c r="AY77" s="313" t="s">
        <v>171</v>
      </c>
      <c r="BA77" s="324">
        <f t="shared" ref="BA77:CZ77" si="122">+BA74+BA75+BA76</f>
        <v>0</v>
      </c>
      <c r="BB77" s="324">
        <f t="shared" si="122"/>
        <v>0</v>
      </c>
      <c r="BC77" s="324">
        <f t="shared" si="122"/>
        <v>0</v>
      </c>
      <c r="BD77" s="324">
        <f t="shared" si="122"/>
        <v>0</v>
      </c>
      <c r="BE77" s="326">
        <f t="shared" si="122"/>
        <v>0</v>
      </c>
      <c r="BF77" s="324">
        <f t="shared" si="122"/>
        <v>0</v>
      </c>
      <c r="BG77" s="324">
        <f t="shared" si="122"/>
        <v>0</v>
      </c>
      <c r="BH77" s="324">
        <f t="shared" si="122"/>
        <v>0</v>
      </c>
      <c r="BI77" s="326">
        <f t="shared" si="122"/>
        <v>0</v>
      </c>
      <c r="BJ77" s="324">
        <f t="shared" si="122"/>
        <v>0</v>
      </c>
      <c r="BK77" s="324">
        <f t="shared" si="122"/>
        <v>0</v>
      </c>
      <c r="BL77" s="324">
        <f>+BL74+BL75+BL76</f>
        <v>0</v>
      </c>
      <c r="BM77" s="326">
        <f t="shared" si="122"/>
        <v>1</v>
      </c>
      <c r="BN77" s="324">
        <f t="shared" si="122"/>
        <v>1</v>
      </c>
      <c r="BO77" s="324">
        <f t="shared" si="122"/>
        <v>0.99999999999999989</v>
      </c>
      <c r="BP77" s="325">
        <f t="shared" si="122"/>
        <v>1.0000000000000004</v>
      </c>
      <c r="BQ77" s="324">
        <f t="shared" si="122"/>
        <v>1</v>
      </c>
      <c r="BR77" s="324">
        <f t="shared" si="122"/>
        <v>1</v>
      </c>
      <c r="BS77" s="324">
        <f t="shared" si="122"/>
        <v>1</v>
      </c>
      <c r="BT77" s="325">
        <f t="shared" si="122"/>
        <v>1</v>
      </c>
      <c r="BU77" s="324">
        <f t="shared" si="122"/>
        <v>1</v>
      </c>
      <c r="BV77" s="324">
        <f t="shared" si="122"/>
        <v>1</v>
      </c>
      <c r="BW77" s="324">
        <f t="shared" si="122"/>
        <v>1</v>
      </c>
      <c r="BX77" s="325">
        <f t="shared" si="122"/>
        <v>1</v>
      </c>
      <c r="BY77" s="324">
        <f t="shared" si="122"/>
        <v>1</v>
      </c>
      <c r="BZ77" s="324">
        <f t="shared" si="122"/>
        <v>0.99999999999999989</v>
      </c>
      <c r="CA77" s="324">
        <f t="shared" si="122"/>
        <v>1</v>
      </c>
      <c r="CB77" s="325">
        <f t="shared" si="122"/>
        <v>0.99999999999999989</v>
      </c>
      <c r="CC77" s="324">
        <f>+CC74+CC75+CC76</f>
        <v>1</v>
      </c>
      <c r="CD77" s="324">
        <f>+CD74+CD75+CD76</f>
        <v>0.99999026837654881</v>
      </c>
      <c r="CE77" s="324">
        <f t="shared" si="122"/>
        <v>1</v>
      </c>
      <c r="CF77" s="325">
        <f t="shared" si="122"/>
        <v>1</v>
      </c>
      <c r="CG77" s="324">
        <f t="shared" si="122"/>
        <v>1</v>
      </c>
      <c r="CH77" s="324">
        <f t="shared" si="122"/>
        <v>1</v>
      </c>
      <c r="CI77" s="324">
        <f t="shared" si="122"/>
        <v>1</v>
      </c>
      <c r="CJ77" s="325">
        <f t="shared" si="122"/>
        <v>1</v>
      </c>
      <c r="CK77" s="324">
        <f t="shared" si="122"/>
        <v>1</v>
      </c>
      <c r="CL77" s="324">
        <f t="shared" si="122"/>
        <v>1</v>
      </c>
      <c r="CM77" s="324">
        <f t="shared" si="122"/>
        <v>1.0000000000000002</v>
      </c>
      <c r="CN77" s="325">
        <f t="shared" si="122"/>
        <v>0.99999999999999989</v>
      </c>
      <c r="CO77" s="327">
        <f t="shared" si="122"/>
        <v>1</v>
      </c>
      <c r="CP77" s="327">
        <f t="shared" si="122"/>
        <v>1</v>
      </c>
      <c r="CQ77" s="327">
        <f t="shared" si="122"/>
        <v>1</v>
      </c>
      <c r="CR77" s="325">
        <f t="shared" si="122"/>
        <v>0.99999999999999989</v>
      </c>
      <c r="CS77" s="327">
        <f t="shared" si="122"/>
        <v>1</v>
      </c>
      <c r="CT77" s="327">
        <f t="shared" si="122"/>
        <v>1</v>
      </c>
      <c r="CU77" s="327">
        <f t="shared" si="122"/>
        <v>1</v>
      </c>
      <c r="CV77" s="325">
        <f t="shared" si="122"/>
        <v>1</v>
      </c>
      <c r="CW77" s="327">
        <f t="shared" si="122"/>
        <v>1</v>
      </c>
      <c r="CX77" s="327">
        <f t="shared" si="122"/>
        <v>1</v>
      </c>
      <c r="CY77" s="327">
        <f t="shared" si="122"/>
        <v>1</v>
      </c>
      <c r="CZ77" s="325">
        <f t="shared" si="122"/>
        <v>1</v>
      </c>
      <c r="DF77" s="53"/>
      <c r="DG77" s="53"/>
      <c r="DH77" s="53"/>
      <c r="DI77" s="53"/>
      <c r="DJ77" s="53"/>
      <c r="DK77" s="53"/>
      <c r="DL77" s="53"/>
      <c r="DM77" s="53"/>
      <c r="DN77" s="53"/>
      <c r="DO77" s="53"/>
      <c r="DP77" s="53"/>
      <c r="DQ77" s="53"/>
      <c r="DR77" s="52"/>
      <c r="DS77" s="53"/>
      <c r="DT77" s="53"/>
      <c r="DU77" s="64"/>
      <c r="DV77" s="52"/>
      <c r="DW77" s="53"/>
      <c r="DX77" s="53"/>
      <c r="DY77" s="64"/>
      <c r="DZ77" s="52"/>
      <c r="EA77" s="53"/>
      <c r="EB77" s="53"/>
      <c r="EC77" s="64"/>
      <c r="ED77" s="52"/>
      <c r="EE77" s="53"/>
      <c r="EF77" s="53"/>
      <c r="EG77" s="64"/>
      <c r="EH77" s="52"/>
      <c r="EI77" s="53"/>
      <c r="EJ77" s="53"/>
      <c r="EK77" s="64"/>
      <c r="EL77" s="52"/>
      <c r="EM77" s="53"/>
      <c r="EN77" s="53"/>
      <c r="EO77" s="64"/>
      <c r="EP77" s="53"/>
      <c r="EQ77" s="53"/>
      <c r="ER77" s="53"/>
      <c r="ES77" s="64"/>
      <c r="ET77" s="53"/>
      <c r="EU77" s="53"/>
      <c r="EV77" s="53"/>
      <c r="EW77" s="64"/>
    </row>
    <row r="78" spans="1:153" s="310" customFormat="1" ht="13.15">
      <c r="B78" s="230"/>
      <c r="H78" s="81"/>
      <c r="I78" s="81"/>
      <c r="J78" s="81"/>
      <c r="K78" s="81"/>
      <c r="L78" s="81"/>
      <c r="M78" s="81"/>
      <c r="N78" s="81"/>
      <c r="O78" s="81"/>
      <c r="P78" s="81"/>
      <c r="Q78" s="81"/>
      <c r="R78" s="81"/>
      <c r="S78" s="81"/>
      <c r="T78" s="81"/>
      <c r="U78" s="81"/>
      <c r="V78" s="81"/>
      <c r="W78" s="81"/>
      <c r="X78" s="81"/>
      <c r="Y78" s="311"/>
      <c r="AA78" s="52"/>
      <c r="AB78" s="53"/>
      <c r="AC78" s="53"/>
      <c r="AD78" s="53"/>
      <c r="AE78" s="53"/>
      <c r="AF78" s="53"/>
      <c r="AG78" s="53"/>
      <c r="AH78" s="52"/>
      <c r="AI78" s="53"/>
      <c r="AJ78" s="53"/>
      <c r="AK78" s="52"/>
      <c r="AL78" s="53"/>
      <c r="AM78" s="52"/>
      <c r="AN78" s="53"/>
      <c r="AO78" s="53"/>
      <c r="AP78" s="53"/>
      <c r="AQ78" s="64"/>
      <c r="AS78" s="312"/>
      <c r="AT78" s="312"/>
      <c r="AU78" s="312"/>
      <c r="AV78" s="312"/>
      <c r="AW78" s="312"/>
      <c r="AY78" s="313"/>
      <c r="BA78" s="81"/>
      <c r="BB78" s="81"/>
      <c r="BC78" s="81"/>
      <c r="BD78" s="81"/>
      <c r="BE78" s="314"/>
      <c r="BF78" s="81"/>
      <c r="BG78" s="81"/>
      <c r="BH78" s="81"/>
      <c r="BI78" s="314"/>
      <c r="BJ78" s="81"/>
      <c r="BK78" s="81"/>
      <c r="BL78" s="81"/>
      <c r="BM78" s="314"/>
      <c r="BN78" s="81"/>
      <c r="BO78" s="81"/>
      <c r="BP78" s="311"/>
      <c r="BQ78" s="81"/>
      <c r="BR78" s="81"/>
      <c r="BS78" s="81"/>
      <c r="BT78" s="311"/>
      <c r="BU78" s="81"/>
      <c r="BV78" s="81"/>
      <c r="BW78" s="81"/>
      <c r="BX78" s="311"/>
      <c r="BY78" s="81"/>
      <c r="BZ78" s="81"/>
      <c r="CA78" s="81"/>
      <c r="CB78" s="311"/>
      <c r="CC78" s="81"/>
      <c r="CD78" s="81"/>
      <c r="CE78" s="81"/>
      <c r="CF78" s="311"/>
      <c r="CG78" s="81"/>
      <c r="CH78" s="81"/>
      <c r="CI78" s="81"/>
      <c r="CJ78" s="311"/>
      <c r="CK78" s="81"/>
      <c r="CL78" s="81"/>
      <c r="CM78" s="81"/>
      <c r="CN78" s="311"/>
      <c r="CO78" s="81"/>
      <c r="CP78" s="81"/>
      <c r="CQ78" s="81"/>
      <c r="CR78" s="311"/>
      <c r="CS78" s="81"/>
      <c r="CT78" s="81"/>
      <c r="CU78" s="81"/>
      <c r="CV78" s="311"/>
      <c r="CW78" s="81"/>
      <c r="CX78" s="81"/>
      <c r="CY78" s="81"/>
      <c r="CZ78" s="311"/>
      <c r="DF78" s="53"/>
      <c r="DG78" s="53"/>
      <c r="DH78" s="53"/>
      <c r="DI78" s="53"/>
      <c r="DJ78" s="53"/>
      <c r="DK78" s="53"/>
      <c r="DL78" s="53"/>
      <c r="DM78" s="53"/>
      <c r="DN78" s="53"/>
      <c r="DO78" s="53"/>
      <c r="DP78" s="53"/>
      <c r="DQ78" s="53"/>
      <c r="DR78" s="52"/>
      <c r="DS78" s="53"/>
      <c r="DT78" s="53"/>
      <c r="DU78" s="64"/>
      <c r="DV78" s="52"/>
      <c r="DW78" s="53"/>
      <c r="DX78" s="53"/>
      <c r="DY78" s="64"/>
      <c r="DZ78" s="328">
        <f>DZ79/DV79-1</f>
        <v>0.12692678514039502</v>
      </c>
      <c r="EA78" s="53"/>
      <c r="EB78" s="53"/>
      <c r="EC78" s="64"/>
      <c r="ED78" s="52"/>
      <c r="EE78" s="53"/>
      <c r="EF78" s="53"/>
      <c r="EG78" s="64"/>
      <c r="EH78" s="52"/>
      <c r="EI78" s="53"/>
      <c r="EJ78" s="53"/>
      <c r="EK78" s="64"/>
      <c r="EL78" s="52"/>
      <c r="EM78" s="53"/>
      <c r="EN78" s="53"/>
      <c r="EO78" s="64"/>
      <c r="EP78" s="53"/>
      <c r="EQ78" s="53"/>
      <c r="ER78" s="53"/>
      <c r="ES78" s="64"/>
      <c r="ET78" s="53"/>
      <c r="EU78" s="53"/>
      <c r="EV78" s="53"/>
      <c r="EW78" s="64"/>
    </row>
    <row r="79" spans="1:153" s="310" customFormat="1" ht="13.15">
      <c r="B79" s="230" t="s">
        <v>172</v>
      </c>
      <c r="H79" s="81"/>
      <c r="I79" s="81"/>
      <c r="J79" s="81"/>
      <c r="K79" s="81"/>
      <c r="L79" s="81"/>
      <c r="M79" s="81"/>
      <c r="N79" s="81"/>
      <c r="O79" s="329"/>
      <c r="P79" s="315"/>
      <c r="Q79" s="81"/>
      <c r="R79" s="81"/>
      <c r="S79" s="81"/>
      <c r="T79" s="81"/>
      <c r="U79" s="81"/>
      <c r="V79" s="81"/>
      <c r="W79" s="81"/>
      <c r="X79" s="81"/>
      <c r="Y79" s="311"/>
      <c r="AA79" s="52"/>
      <c r="AB79" s="53"/>
      <c r="AC79" s="53"/>
      <c r="AD79" s="53"/>
      <c r="AE79" s="53"/>
      <c r="AF79" s="53"/>
      <c r="AG79" s="53"/>
      <c r="AH79" s="52"/>
      <c r="AI79" s="53"/>
      <c r="AJ79" s="53"/>
      <c r="AK79" s="52"/>
      <c r="AL79" s="53"/>
      <c r="AM79" s="52"/>
      <c r="AN79" s="53"/>
      <c r="AO79" s="53"/>
      <c r="AP79" s="53"/>
      <c r="AQ79" s="64"/>
      <c r="AS79" s="312"/>
      <c r="AT79" s="330">
        <f>120/140-1</f>
        <v>-0.1428571428571429</v>
      </c>
      <c r="AU79" s="330"/>
      <c r="AV79" s="330"/>
      <c r="AW79" s="312"/>
      <c r="AY79" s="313" t="s">
        <v>172</v>
      </c>
      <c r="BA79" s="81"/>
      <c r="BB79" s="81"/>
      <c r="BC79" s="81"/>
      <c r="BD79" s="81"/>
      <c r="BE79" s="314"/>
      <c r="BF79" s="81"/>
      <c r="BG79" s="81"/>
      <c r="BH79" s="81"/>
      <c r="BI79" s="314"/>
      <c r="BJ79" s="81"/>
      <c r="BK79" s="81"/>
      <c r="BL79" s="81"/>
      <c r="BM79" s="314"/>
      <c r="BN79" s="81"/>
      <c r="BO79" s="81"/>
      <c r="BP79" s="311"/>
      <c r="BQ79" s="81"/>
      <c r="BR79" s="81"/>
      <c r="BS79" s="81"/>
      <c r="BT79" s="311"/>
      <c r="BU79" s="331">
        <v>4.7</v>
      </c>
      <c r="BV79" s="315">
        <f>19.9</f>
        <v>19.899999999999999</v>
      </c>
      <c r="BW79" s="315">
        <v>44.4</v>
      </c>
      <c r="BX79" s="332">
        <f>P79-BW79-BV79-BU79</f>
        <v>-69</v>
      </c>
      <c r="BY79" s="81"/>
      <c r="BZ79" s="81"/>
      <c r="CA79" s="81"/>
      <c r="CB79" s="311"/>
      <c r="CC79" s="81"/>
      <c r="CD79" s="81"/>
      <c r="CE79" s="81"/>
      <c r="CF79" s="311"/>
      <c r="CG79" s="81"/>
      <c r="CH79" s="81"/>
      <c r="CI79" s="81"/>
      <c r="CJ79" s="311"/>
      <c r="CK79" s="81"/>
      <c r="CL79" s="81"/>
      <c r="CM79" s="81"/>
      <c r="CN79" s="311"/>
      <c r="CO79" s="81"/>
      <c r="CP79" s="81"/>
      <c r="CQ79" s="81"/>
      <c r="CR79" s="311"/>
      <c r="CS79" s="81"/>
      <c r="CT79" s="81"/>
      <c r="CU79" s="81"/>
      <c r="CV79" s="311"/>
      <c r="CW79" s="81"/>
      <c r="CX79" s="81"/>
      <c r="CY79" s="81"/>
      <c r="CZ79" s="311"/>
      <c r="DR79" s="318"/>
      <c r="DU79" s="319"/>
      <c r="DV79" s="318">
        <f>0.67*BY6</f>
        <v>675.46451999999999</v>
      </c>
      <c r="DX79" s="333"/>
      <c r="DY79" s="319">
        <f>0.67*CB6</f>
        <v>773.65971999999999</v>
      </c>
      <c r="DZ79" s="334">
        <f>0.67*CC6</f>
        <v>761.19906000000003</v>
      </c>
      <c r="EA79" s="310">
        <f>CD6*0.71</f>
        <v>1313.2444</v>
      </c>
      <c r="EB79" s="333"/>
      <c r="EC79" s="319"/>
      <c r="ED79" s="318"/>
      <c r="EF79" s="333"/>
      <c r="EG79" s="319"/>
      <c r="EH79" s="318"/>
      <c r="EJ79" s="333"/>
      <c r="EK79" s="319"/>
      <c r="EL79" s="335"/>
      <c r="EM79" s="333"/>
      <c r="EN79" s="333"/>
      <c r="EO79" s="319"/>
      <c r="EP79" s="333"/>
      <c r="EQ79" s="333"/>
      <c r="ER79" s="333"/>
      <c r="ES79" s="319"/>
      <c r="ET79" s="333"/>
      <c r="EU79" s="333"/>
      <c r="EV79" s="333"/>
      <c r="EW79" s="319"/>
    </row>
    <row r="80" spans="1:153" s="70" customFormat="1">
      <c r="A80" s="305">
        <f>+CP80/SUM(CP80:CP82)</f>
        <v>0.7</v>
      </c>
      <c r="B80" s="114" t="s">
        <v>173</v>
      </c>
      <c r="H80" s="49"/>
      <c r="I80" s="49"/>
      <c r="J80" s="49"/>
      <c r="K80" s="49"/>
      <c r="L80" s="49">
        <f t="shared" ref="L80:N82" si="123">L$85*L89</f>
        <v>2691.7410000000004</v>
      </c>
      <c r="M80" s="49">
        <f t="shared" si="123"/>
        <v>2796.9077399999996</v>
      </c>
      <c r="N80" s="49">
        <f t="shared" si="123"/>
        <v>2908.3373400000005</v>
      </c>
      <c r="O80" s="49">
        <f>O$72*O89</f>
        <v>3046.2575100000004</v>
      </c>
      <c r="P80" s="49">
        <f t="shared" ref="P80:V82" si="124">P$85*P89</f>
        <v>3146.6000400000003</v>
      </c>
      <c r="Q80" s="49">
        <f t="shared" si="124"/>
        <v>3366.042625</v>
      </c>
      <c r="R80" s="49">
        <f t="shared" si="124"/>
        <v>4104.6846683999993</v>
      </c>
      <c r="S80" s="49">
        <f t="shared" si="124"/>
        <v>4782.0526400000008</v>
      </c>
      <c r="T80" s="49">
        <f>T$85*T89</f>
        <v>4981.3273499999996</v>
      </c>
      <c r="U80" s="49">
        <f t="shared" si="124"/>
        <v>5228.2768999999989</v>
      </c>
      <c r="V80" s="49">
        <f t="shared" si="124"/>
        <v>4848.3323900000005</v>
      </c>
      <c r="W80" s="49">
        <f t="shared" ref="W80:Y81" si="125">V80*(1+(AO80/100))</f>
        <v>4896.8157139000004</v>
      </c>
      <c r="X80" s="49">
        <f t="shared" si="125"/>
        <v>5019.2361067475003</v>
      </c>
      <c r="Y80" s="63">
        <f t="shared" si="125"/>
        <v>5169.8131899499258</v>
      </c>
      <c r="AA80" s="52"/>
      <c r="AB80" s="53"/>
      <c r="AC80" s="53"/>
      <c r="AD80" s="53"/>
      <c r="AE80" s="53">
        <f t="shared" ref="AE80:AN82" si="126">(M80/L80-1)*100</f>
        <v>3.9070155709631571</v>
      </c>
      <c r="AF80" s="53">
        <f t="shared" si="126"/>
        <v>3.9840284470735066</v>
      </c>
      <c r="AG80" s="53">
        <f t="shared" si="126"/>
        <v>4.7422342691511687</v>
      </c>
      <c r="AH80" s="52">
        <f t="shared" si="126"/>
        <v>3.2939608575638823</v>
      </c>
      <c r="AI80" s="53">
        <f t="shared" si="126"/>
        <v>6.973958628691812</v>
      </c>
      <c r="AJ80" s="53">
        <f t="shared" si="126"/>
        <v>21.943930178246006</v>
      </c>
      <c r="AK80" s="52">
        <f t="shared" si="126"/>
        <v>16.502314460711997</v>
      </c>
      <c r="AL80" s="53">
        <f t="shared" si="126"/>
        <v>4.1671375244417774</v>
      </c>
      <c r="AM80" s="52">
        <f t="shared" si="126"/>
        <v>4.9575049509645197</v>
      </c>
      <c r="AN80" s="53">
        <f t="shared" si="126"/>
        <v>-7.2671076392300193</v>
      </c>
      <c r="AO80" s="118">
        <v>1</v>
      </c>
      <c r="AP80" s="118">
        <v>2.5</v>
      </c>
      <c r="AQ80" s="306">
        <v>3</v>
      </c>
      <c r="AS80" s="273"/>
      <c r="AT80" s="273"/>
      <c r="AU80" s="273"/>
      <c r="AV80" s="273"/>
      <c r="AW80" s="273"/>
      <c r="AY80" s="307" t="s">
        <v>173</v>
      </c>
      <c r="BA80" s="49"/>
      <c r="BB80" s="49"/>
      <c r="BC80" s="49"/>
      <c r="BD80" s="49"/>
      <c r="BE80" s="62">
        <f t="shared" ref="BE80:BG82" si="127">BE$85*BE89</f>
        <v>520.10752000000002</v>
      </c>
      <c r="BF80" s="49">
        <f t="shared" si="127"/>
        <v>822.95161999999993</v>
      </c>
      <c r="BG80" s="49">
        <f t="shared" si="127"/>
        <v>783.74934000000007</v>
      </c>
      <c r="BH80" s="49">
        <f>+L80-BG80-BF80-BE80</f>
        <v>564.9325200000003</v>
      </c>
      <c r="BI80" s="62">
        <f t="shared" ref="BI80:BK82" si="128">BI$85*BI89</f>
        <v>556.83680000000004</v>
      </c>
      <c r="BJ80" s="49">
        <f t="shared" si="128"/>
        <v>817.49313000000018</v>
      </c>
      <c r="BK80" s="49">
        <f t="shared" si="128"/>
        <v>833.28704000000005</v>
      </c>
      <c r="BL80" s="49">
        <f>+M80-BK80-BJ80-BI80</f>
        <v>589.29076999999916</v>
      </c>
      <c r="BM80" s="62">
        <f t="shared" ref="BM80:BO82" si="129">BM$85*BM89</f>
        <v>570.00059999999996</v>
      </c>
      <c r="BN80" s="49">
        <f t="shared" si="129"/>
        <v>857.89144999999996</v>
      </c>
      <c r="BO80" s="49">
        <f t="shared" si="129"/>
        <v>840.43376000000012</v>
      </c>
      <c r="BP80" s="63">
        <f>+N80-BO80-BN80-BM80</f>
        <v>640.01153000000011</v>
      </c>
      <c r="BQ80" s="49">
        <f>BQ$85*BQ89</f>
        <v>610.69470000000013</v>
      </c>
      <c r="BR80" s="49">
        <f t="shared" ref="BQ80:BS82" si="130">BR$85*BR89</f>
        <v>904.34832000000006</v>
      </c>
      <c r="BS80" s="49">
        <f t="shared" si="130"/>
        <v>881.54588000000001</v>
      </c>
      <c r="BT80" s="63">
        <f>+O80-BS80-BR80-BQ80</f>
        <v>649.66861000000006</v>
      </c>
      <c r="BU80" s="49">
        <f>BU$85*BU89</f>
        <v>623.01759000000004</v>
      </c>
      <c r="BV80" s="49">
        <f t="shared" ref="BU80:BW82" si="131">BV$85*BV89</f>
        <v>933.32366999999999</v>
      </c>
      <c r="BW80" s="49">
        <f t="shared" si="131"/>
        <v>924.88083000000006</v>
      </c>
      <c r="BX80" s="63">
        <f>P80-BW80-BV80-BU80</f>
        <v>665.37795000000017</v>
      </c>
      <c r="BY80" s="49">
        <f t="shared" ref="BY80:CA82" si="132">BY$85*BY89</f>
        <v>626.06147999999996</v>
      </c>
      <c r="BZ80" s="49">
        <f t="shared" si="132"/>
        <v>904.99779999999998</v>
      </c>
      <c r="CA80" s="49">
        <f t="shared" si="132"/>
        <v>1049.9404999999999</v>
      </c>
      <c r="CB80" s="63">
        <f>Q80-CA80-BZ80-BY80</f>
        <v>785.04284500000028</v>
      </c>
      <c r="CC80" s="49">
        <f t="shared" ref="CC80:CV82" si="133">CC$85*CC89</f>
        <v>761.42552000000001</v>
      </c>
      <c r="CD80" s="49">
        <f t="shared" si="133"/>
        <v>1242.7733499999999</v>
      </c>
      <c r="CE80" s="49">
        <f t="shared" si="133"/>
        <v>1148.6919899999998</v>
      </c>
      <c r="CF80" s="63">
        <f t="shared" si="133"/>
        <v>950.10032479999973</v>
      </c>
      <c r="CG80" s="49">
        <f t="shared" si="133"/>
        <v>954.89605999999992</v>
      </c>
      <c r="CH80" s="49">
        <f t="shared" si="133"/>
        <v>1479.4079999999999</v>
      </c>
      <c r="CI80" s="49">
        <f t="shared" si="133"/>
        <v>1401.4376099999999</v>
      </c>
      <c r="CJ80" s="63">
        <f t="shared" si="133"/>
        <v>1050.3355500000002</v>
      </c>
      <c r="CK80" s="49">
        <f>CK$85*CK89</f>
        <v>1054.43588</v>
      </c>
      <c r="CL80" s="49">
        <f t="shared" si="133"/>
        <v>1381.90095</v>
      </c>
      <c r="CM80" s="49">
        <f t="shared" si="133"/>
        <v>1476.7871999999998</v>
      </c>
      <c r="CN80" s="63">
        <f t="shared" si="133"/>
        <v>1073.7938700000004</v>
      </c>
      <c r="CO80" s="62">
        <f t="shared" si="133"/>
        <v>1018.1594700000001</v>
      </c>
      <c r="CP80" s="49">
        <f t="shared" si="133"/>
        <v>1465.1587999999997</v>
      </c>
      <c r="CQ80" s="49">
        <f t="shared" si="133"/>
        <v>1510.0599499999998</v>
      </c>
      <c r="CR80" s="63">
        <f t="shared" si="133"/>
        <v>1193.2839299999996</v>
      </c>
      <c r="CS80" s="62">
        <f t="shared" si="133"/>
        <v>1023.6869700000001</v>
      </c>
      <c r="CT80" s="49">
        <f t="shared" si="133"/>
        <v>1402.3830400000002</v>
      </c>
      <c r="CU80" s="49">
        <f t="shared" si="133"/>
        <v>1384.8933500000001</v>
      </c>
      <c r="CV80" s="63">
        <f t="shared" si="133"/>
        <v>1057.9923100000005</v>
      </c>
      <c r="CW80" s="49">
        <f t="shared" ref="CW80:CY81" si="134">CS80*(1+(ET80/100))</f>
        <v>1052.3502051600001</v>
      </c>
      <c r="CX80" s="49">
        <f t="shared" si="134"/>
        <v>1497.7450867200002</v>
      </c>
      <c r="CY80" s="49">
        <f t="shared" si="134"/>
        <v>1479.0660978000001</v>
      </c>
      <c r="CZ80" s="63">
        <f>$W80-CY80-CX80-CW80</f>
        <v>867.65432422000003</v>
      </c>
      <c r="DF80" s="53"/>
      <c r="DG80" s="53"/>
      <c r="DH80" s="53"/>
      <c r="DI80" s="53"/>
      <c r="DJ80" s="53"/>
      <c r="DK80" s="53"/>
      <c r="DL80" s="53"/>
      <c r="DM80" s="53"/>
      <c r="DN80" s="53"/>
      <c r="DO80" s="53"/>
      <c r="DP80" s="53"/>
      <c r="DQ80" s="53"/>
      <c r="DR80" s="52">
        <f t="shared" ref="DR80:EG82" si="135">(BU80/BQ80-1)*100</f>
        <v>2.0178478706299519</v>
      </c>
      <c r="DS80" s="53">
        <f t="shared" si="135"/>
        <v>3.2040032981981881</v>
      </c>
      <c r="DT80" s="53">
        <f t="shared" si="135"/>
        <v>4.9157906562957487</v>
      </c>
      <c r="DU80" s="64">
        <f t="shared" si="135"/>
        <v>2.4180543369642038</v>
      </c>
      <c r="DV80" s="52">
        <f t="shared" si="135"/>
        <v>0.48857208028427745</v>
      </c>
      <c r="DW80" s="53">
        <f t="shared" si="135"/>
        <v>-3.0349460653880111</v>
      </c>
      <c r="DX80" s="53">
        <f t="shared" si="135"/>
        <v>13.521706358645137</v>
      </c>
      <c r="DY80" s="64">
        <f t="shared" si="135"/>
        <v>17.98449963663511</v>
      </c>
      <c r="DZ80" s="52">
        <f t="shared" si="135"/>
        <v>21.621525093669725</v>
      </c>
      <c r="EA80" s="53">
        <f t="shared" si="135"/>
        <v>37.323355924180149</v>
      </c>
      <c r="EB80" s="53">
        <f t="shared" si="135"/>
        <v>9.4054367842749009</v>
      </c>
      <c r="EC80" s="64">
        <f t="shared" si="135"/>
        <v>21.02528299585984</v>
      </c>
      <c r="ED80" s="52">
        <f t="shared" si="135"/>
        <v>25.408990757231244</v>
      </c>
      <c r="EE80" s="53">
        <f t="shared" si="135"/>
        <v>19.040853265802649</v>
      </c>
      <c r="EF80" s="53">
        <f t="shared" si="135"/>
        <v>22.002906105404296</v>
      </c>
      <c r="EG80" s="64">
        <f t="shared" si="135"/>
        <v>10.549962207527974</v>
      </c>
      <c r="EH80" s="52">
        <f t="shared" ref="EH80:ER82" si="136">(CK80/CG80-1)*100</f>
        <v>10.424152341774251</v>
      </c>
      <c r="EI80" s="53">
        <f t="shared" si="136"/>
        <v>-6.5909505694169539</v>
      </c>
      <c r="EJ80" s="53">
        <f t="shared" si="136"/>
        <v>5.3765925405698134</v>
      </c>
      <c r="EK80" s="64">
        <f t="shared" si="136"/>
        <v>2.2334119796288077</v>
      </c>
      <c r="EL80" s="52">
        <f t="shared" si="136"/>
        <v>-3.4403618738770514</v>
      </c>
      <c r="EM80" s="53">
        <f t="shared" si="136"/>
        <v>6.0248782664198641</v>
      </c>
      <c r="EN80" s="53">
        <f t="shared" si="136"/>
        <v>2.2530497284916962</v>
      </c>
      <c r="EO80" s="64">
        <f t="shared" si="136"/>
        <v>11.127839647659666</v>
      </c>
      <c r="EP80" s="53">
        <f t="shared" si="136"/>
        <v>0.54289138026679673</v>
      </c>
      <c r="EQ80" s="53">
        <f t="shared" si="136"/>
        <v>-4.2845703824049401</v>
      </c>
      <c r="ER80" s="53">
        <f t="shared" si="136"/>
        <v>-8.2888497241450416</v>
      </c>
      <c r="ES80" s="64">
        <f>(CV80/CR80-1)*100</f>
        <v>-11.337755968941865</v>
      </c>
      <c r="ET80" s="118">
        <v>2.8</v>
      </c>
      <c r="EU80" s="118">
        <v>6.8</v>
      </c>
      <c r="EV80" s="118">
        <v>6.8</v>
      </c>
      <c r="EW80" s="64">
        <f>(CZ80/CV80-1)*100</f>
        <v>-17.99048858682162</v>
      </c>
    </row>
    <row r="81" spans="1:153" s="70" customFormat="1">
      <c r="A81" s="305">
        <f>U81/U$85</f>
        <v>0.26</v>
      </c>
      <c r="B81" s="114" t="s">
        <v>174</v>
      </c>
      <c r="H81" s="49"/>
      <c r="I81" s="49"/>
      <c r="J81" s="49"/>
      <c r="K81" s="49"/>
      <c r="L81" s="53">
        <f t="shared" si="123"/>
        <v>1242.3420000000001</v>
      </c>
      <c r="M81" s="53">
        <f t="shared" si="123"/>
        <v>1228.9443099999999</v>
      </c>
      <c r="N81" s="53">
        <f t="shared" si="123"/>
        <v>1215.4245600000004</v>
      </c>
      <c r="O81" s="49">
        <f>O$72*O90</f>
        <v>1318.52937</v>
      </c>
      <c r="P81" s="53">
        <f>P$85*P90</f>
        <v>1295.6588400000001</v>
      </c>
      <c r="Q81" s="53">
        <f>Q$85*Q90</f>
        <v>1383.1375149999999</v>
      </c>
      <c r="R81" s="53">
        <f t="shared" si="124"/>
        <v>1606.1809572</v>
      </c>
      <c r="S81" s="53">
        <f t="shared" si="124"/>
        <v>2069.8436799999999</v>
      </c>
      <c r="T81" s="53">
        <f t="shared" si="124"/>
        <v>1949.2150500000002</v>
      </c>
      <c r="U81" s="53">
        <f>U$85*U90</f>
        <v>1941.9314199999997</v>
      </c>
      <c r="V81" s="53">
        <f>V$85*V90</f>
        <v>2098.5319300000001</v>
      </c>
      <c r="W81" s="53">
        <f t="shared" si="125"/>
        <v>2140.5025686000004</v>
      </c>
      <c r="X81" s="53">
        <f t="shared" si="125"/>
        <v>2215.4201585010001</v>
      </c>
      <c r="Y81" s="64">
        <f t="shared" si="125"/>
        <v>2281.8827632560301</v>
      </c>
      <c r="AA81" s="52"/>
      <c r="AB81" s="53"/>
      <c r="AC81" s="53"/>
      <c r="AD81" s="53"/>
      <c r="AE81" s="53">
        <f t="shared" si="126"/>
        <v>-1.0784220448153747</v>
      </c>
      <c r="AF81" s="53">
        <f t="shared" si="126"/>
        <v>-1.1001108748369126</v>
      </c>
      <c r="AG81" s="53">
        <f t="shared" si="126"/>
        <v>8.4830283501922565</v>
      </c>
      <c r="AH81" s="52">
        <f t="shared" si="126"/>
        <v>-1.7345483931085925</v>
      </c>
      <c r="AI81" s="53">
        <f t="shared" si="126"/>
        <v>6.7516750782945278</v>
      </c>
      <c r="AJ81" s="53">
        <f t="shared" si="126"/>
        <v>16.125905036998446</v>
      </c>
      <c r="AK81" s="52">
        <f t="shared" si="126"/>
        <v>28.86740256267808</v>
      </c>
      <c r="AL81" s="53">
        <f t="shared" si="126"/>
        <v>-5.8279101540653411</v>
      </c>
      <c r="AM81" s="52">
        <f t="shared" si="126"/>
        <v>-0.37366990368766784</v>
      </c>
      <c r="AN81" s="53">
        <f t="shared" si="126"/>
        <v>8.0641627395884328</v>
      </c>
      <c r="AO81" s="118">
        <v>2</v>
      </c>
      <c r="AP81" s="118">
        <v>3.5</v>
      </c>
      <c r="AQ81" s="306">
        <v>3</v>
      </c>
      <c r="AS81" s="273"/>
      <c r="AT81" s="273"/>
      <c r="AU81" s="273"/>
      <c r="AV81" s="273"/>
      <c r="AW81" s="273"/>
      <c r="AY81" s="307" t="s">
        <v>174</v>
      </c>
      <c r="BA81" s="49"/>
      <c r="BB81" s="49"/>
      <c r="BC81" s="49"/>
      <c r="BD81" s="49"/>
      <c r="BE81" s="52">
        <f t="shared" si="127"/>
        <v>251.92707999999999</v>
      </c>
      <c r="BF81" s="53">
        <f t="shared" si="127"/>
        <v>356.2029399999999</v>
      </c>
      <c r="BG81" s="53">
        <f t="shared" si="127"/>
        <v>344.37470999999999</v>
      </c>
      <c r="BH81" s="53">
        <f>+L81-BG81-BF81-BE81</f>
        <v>289.83727000000016</v>
      </c>
      <c r="BI81" s="52">
        <f t="shared" si="128"/>
        <v>257.0016</v>
      </c>
      <c r="BJ81" s="53">
        <f t="shared" si="128"/>
        <v>341.63892000000004</v>
      </c>
      <c r="BK81" s="53">
        <f t="shared" si="128"/>
        <v>348.23936000000003</v>
      </c>
      <c r="BL81" s="53">
        <f>+M81-BK81-BJ81-BI81</f>
        <v>282.06442999999973</v>
      </c>
      <c r="BM81" s="52">
        <f t="shared" si="129"/>
        <v>263.0772</v>
      </c>
      <c r="BN81" s="53">
        <f t="shared" si="129"/>
        <v>358.52180000000004</v>
      </c>
      <c r="BO81" s="53">
        <f t="shared" si="129"/>
        <v>333.70164000000005</v>
      </c>
      <c r="BP81" s="64">
        <f>+N81-BO81-BN81-BM81</f>
        <v>260.1239200000004</v>
      </c>
      <c r="BQ81" s="53">
        <f t="shared" si="130"/>
        <v>268.33555000000001</v>
      </c>
      <c r="BR81" s="53">
        <f t="shared" si="130"/>
        <v>372.37872000000004</v>
      </c>
      <c r="BS81" s="53">
        <f t="shared" si="130"/>
        <v>362.98948000000001</v>
      </c>
      <c r="BT81" s="64">
        <f>+O81-BS81-BR81-BQ81</f>
        <v>314.82561999999996</v>
      </c>
      <c r="BU81" s="53">
        <f t="shared" si="131"/>
        <v>269.66432999999995</v>
      </c>
      <c r="BV81" s="53">
        <f t="shared" si="131"/>
        <v>378.74004000000002</v>
      </c>
      <c r="BW81" s="53">
        <f t="shared" si="131"/>
        <v>361.90989000000008</v>
      </c>
      <c r="BX81" s="64">
        <f>P81-BW81-BV81-BU81</f>
        <v>285.34457999999995</v>
      </c>
      <c r="BY81" s="52">
        <f t="shared" si="132"/>
        <v>284.57339999999999</v>
      </c>
      <c r="BZ81" s="53">
        <f t="shared" si="132"/>
        <v>349.07058000000001</v>
      </c>
      <c r="CA81" s="53">
        <f t="shared" si="132"/>
        <v>404.97705000000002</v>
      </c>
      <c r="CB81" s="64">
        <f>Q81-CA81-BZ81-BY81</f>
        <v>344.51648499999988</v>
      </c>
      <c r="CC81" s="52">
        <f t="shared" si="133"/>
        <v>329.57223999999997</v>
      </c>
      <c r="CD81" s="53">
        <f t="shared" si="133"/>
        <v>455.1001</v>
      </c>
      <c r="CE81" s="53">
        <f t="shared" si="133"/>
        <v>449.48816999999997</v>
      </c>
      <c r="CF81" s="64">
        <f t="shared" si="133"/>
        <v>391.2177807999999</v>
      </c>
      <c r="CG81" s="53">
        <f t="shared" si="133"/>
        <v>413.31321999999994</v>
      </c>
      <c r="CH81" s="53">
        <f t="shared" si="133"/>
        <v>549.49440000000004</v>
      </c>
      <c r="CI81" s="53">
        <f t="shared" si="133"/>
        <v>548.38863000000003</v>
      </c>
      <c r="CJ81" s="64">
        <f t="shared" si="133"/>
        <v>454.62285000000008</v>
      </c>
      <c r="CK81" s="53">
        <f t="shared" si="133"/>
        <v>434.17948000000001</v>
      </c>
      <c r="CL81" s="53">
        <f t="shared" si="133"/>
        <v>540.74385000000007</v>
      </c>
      <c r="CM81" s="53">
        <f t="shared" si="133"/>
        <v>548.52095999999995</v>
      </c>
      <c r="CN81" s="64">
        <f t="shared" si="133"/>
        <v>420.18021000000022</v>
      </c>
      <c r="CO81" s="52">
        <f t="shared" si="133"/>
        <v>440.69589000000002</v>
      </c>
      <c r="CP81" s="53">
        <f t="shared" si="133"/>
        <v>544.20183999999995</v>
      </c>
      <c r="CQ81" s="53">
        <f t="shared" si="133"/>
        <v>531.71124999999995</v>
      </c>
      <c r="CR81" s="64">
        <f t="shared" si="133"/>
        <v>466.93718999999987</v>
      </c>
      <c r="CS81" s="52">
        <f t="shared" si="133"/>
        <v>443.08839</v>
      </c>
      <c r="CT81" s="53">
        <f t="shared" si="133"/>
        <v>577.45184000000006</v>
      </c>
      <c r="CU81" s="53">
        <f t="shared" si="133"/>
        <v>599.43145000000004</v>
      </c>
      <c r="CV81" s="64">
        <f t="shared" si="133"/>
        <v>457.9369700000002</v>
      </c>
      <c r="CW81" s="53">
        <f t="shared" si="134"/>
        <v>478.53546120000004</v>
      </c>
      <c r="CX81" s="53">
        <f t="shared" si="134"/>
        <v>583.22635840000009</v>
      </c>
      <c r="CY81" s="53">
        <f t="shared" si="134"/>
        <v>605.42576450000001</v>
      </c>
      <c r="CZ81" s="64">
        <f>$W81-CY81-CX81-CW81</f>
        <v>473.31498450000021</v>
      </c>
      <c r="DF81" s="53"/>
      <c r="DG81" s="53"/>
      <c r="DH81" s="53"/>
      <c r="DI81" s="53"/>
      <c r="DJ81" s="53"/>
      <c r="DK81" s="53"/>
      <c r="DL81" s="53"/>
      <c r="DM81" s="53"/>
      <c r="DN81" s="53"/>
      <c r="DO81" s="53"/>
      <c r="DP81" s="53"/>
      <c r="DQ81" s="53"/>
      <c r="DR81" s="52">
        <f t="shared" si="135"/>
        <v>0.49519342479964479</v>
      </c>
      <c r="DS81" s="53">
        <f t="shared" si="135"/>
        <v>1.7082931054706929</v>
      </c>
      <c r="DT81" s="53">
        <f t="shared" si="135"/>
        <v>-0.29741633283695279</v>
      </c>
      <c r="DU81" s="64">
        <f t="shared" si="135"/>
        <v>-9.3642442441628564</v>
      </c>
      <c r="DV81" s="52">
        <f t="shared" si="135"/>
        <v>5.5287512441857034</v>
      </c>
      <c r="DW81" s="53">
        <f t="shared" si="135"/>
        <v>-7.8337267958254468</v>
      </c>
      <c r="DX81" s="53">
        <f t="shared" si="135"/>
        <v>11.899967696378777</v>
      </c>
      <c r="DY81" s="64">
        <f t="shared" si="135"/>
        <v>20.736999805638479</v>
      </c>
      <c r="DZ81" s="52">
        <f t="shared" si="135"/>
        <v>15.812735835464586</v>
      </c>
      <c r="EA81" s="53">
        <f t="shared" si="135"/>
        <v>30.374808441318656</v>
      </c>
      <c r="EB81" s="53">
        <f t="shared" si="135"/>
        <v>10.991022824626718</v>
      </c>
      <c r="EC81" s="64">
        <f t="shared" si="135"/>
        <v>13.555605561225924</v>
      </c>
      <c r="ED81" s="52">
        <f t="shared" si="135"/>
        <v>25.408990757231244</v>
      </c>
      <c r="EE81" s="53">
        <f t="shared" si="135"/>
        <v>20.741436883885545</v>
      </c>
      <c r="EF81" s="53">
        <f t="shared" si="135"/>
        <v>22.002906105404296</v>
      </c>
      <c r="EG81" s="64">
        <f t="shared" si="135"/>
        <v>16.207103130727685</v>
      </c>
      <c r="EH81" s="52">
        <f t="shared" si="136"/>
        <v>5.0485343778744918</v>
      </c>
      <c r="EI81" s="53">
        <f t="shared" si="136"/>
        <v>-1.5924730079141747</v>
      </c>
      <c r="EJ81" s="53">
        <f t="shared" si="136"/>
        <v>2.413069723927741E-2</v>
      </c>
      <c r="EK81" s="64">
        <f t="shared" si="136"/>
        <v>-7.576090819016212</v>
      </c>
      <c r="EL81" s="52">
        <f t="shared" si="136"/>
        <v>1.5008562818307425</v>
      </c>
      <c r="EM81" s="53">
        <f t="shared" si="136"/>
        <v>0.63948762431600414</v>
      </c>
      <c r="EN81" s="53">
        <f t="shared" si="136"/>
        <v>-3.0645519908664931</v>
      </c>
      <c r="EO81" s="64">
        <f t="shared" si="136"/>
        <v>11.127839647659666</v>
      </c>
      <c r="EP81" s="53">
        <f t="shared" si="136"/>
        <v>0.54289138026677453</v>
      </c>
      <c r="EQ81" s="53">
        <f t="shared" si="136"/>
        <v>6.1098654131709784</v>
      </c>
      <c r="ER81" s="53">
        <f t="shared" si="136"/>
        <v>12.736273682379306</v>
      </c>
      <c r="ES81" s="64">
        <f>(CV81/CR81-1)*100</f>
        <v>-1.9275012127433433</v>
      </c>
      <c r="ET81" s="118">
        <v>8</v>
      </c>
      <c r="EU81" s="118">
        <v>1</v>
      </c>
      <c r="EV81" s="118">
        <v>1</v>
      </c>
      <c r="EW81" s="64">
        <f>(CZ81/CV81-1)*100</f>
        <v>3.3581072303465742</v>
      </c>
    </row>
    <row r="82" spans="1:153" s="70" customFormat="1">
      <c r="A82" s="305">
        <f>U82/U$85</f>
        <v>4.0000000000000036E-2</v>
      </c>
      <c r="B82" s="114" t="s">
        <v>175</v>
      </c>
      <c r="H82" s="49"/>
      <c r="I82" s="49"/>
      <c r="J82" s="49"/>
      <c r="K82" s="49"/>
      <c r="L82" s="53">
        <f t="shared" si="123"/>
        <v>207.05700000000002</v>
      </c>
      <c r="M82" s="53">
        <f t="shared" si="123"/>
        <v>211.88694999999998</v>
      </c>
      <c r="N82" s="53">
        <f t="shared" si="123"/>
        <v>217.04010000000005</v>
      </c>
      <c r="O82" s="49">
        <f>O$72*O91</f>
        <v>181.86612000000002</v>
      </c>
      <c r="P82" s="53">
        <f>P$85*P91</f>
        <v>185.09412</v>
      </c>
      <c r="Q82" s="53">
        <f>Q$85*Q91</f>
        <v>146.88185999999999</v>
      </c>
      <c r="R82" s="53">
        <f t="shared" si="124"/>
        <v>237.9527344000002</v>
      </c>
      <c r="S82" s="53">
        <f t="shared" si="124"/>
        <v>285.49567999999988</v>
      </c>
      <c r="T82" s="53">
        <f t="shared" si="124"/>
        <v>288.7726000000003</v>
      </c>
      <c r="U82" s="53">
        <f>U$85*U91</f>
        <v>298.7586800000002</v>
      </c>
      <c r="V82" s="53">
        <f>V$85*V91</f>
        <v>289.45267999999987</v>
      </c>
      <c r="W82" s="53">
        <f>W85-W80-W81</f>
        <v>274.36461749999989</v>
      </c>
      <c r="X82" s="53">
        <f>X85-X80-X81</f>
        <v>369.49395075150051</v>
      </c>
      <c r="Y82" s="64">
        <f>Y85-Y80-Y81</f>
        <v>456.62027143404566</v>
      </c>
      <c r="AA82" s="52"/>
      <c r="AB82" s="53"/>
      <c r="AC82" s="53"/>
      <c r="AD82" s="53"/>
      <c r="AE82" s="53">
        <f t="shared" si="126"/>
        <v>2.3326668501910008</v>
      </c>
      <c r="AF82" s="53">
        <f t="shared" si="126"/>
        <v>2.4320280224903179</v>
      </c>
      <c r="AG82" s="53">
        <f t="shared" si="126"/>
        <v>-16.206212584679058</v>
      </c>
      <c r="AH82" s="52">
        <f t="shared" si="126"/>
        <v>1.7749320214232256</v>
      </c>
      <c r="AI82" s="53">
        <f t="shared" si="126"/>
        <v>-20.644772508170451</v>
      </c>
      <c r="AJ82" s="53">
        <f t="shared" si="126"/>
        <v>62.002805792356</v>
      </c>
      <c r="AK82" s="52">
        <f t="shared" si="126"/>
        <v>19.979995489389779</v>
      </c>
      <c r="AL82" s="53">
        <f t="shared" si="126"/>
        <v>1.1478002048929126</v>
      </c>
      <c r="AM82" s="52">
        <f t="shared" si="126"/>
        <v>3.4581120230935625</v>
      </c>
      <c r="AN82" s="53">
        <f t="shared" si="126"/>
        <v>-3.1148885783001568</v>
      </c>
      <c r="AO82" s="53">
        <f>(W82/V82-1)*100</f>
        <v>-5.2126180002893712</v>
      </c>
      <c r="AP82" s="53">
        <f>(X82/W82-1)*100</f>
        <v>34.672595219571512</v>
      </c>
      <c r="AQ82" s="64">
        <f>(Y82/X82-1)*100</f>
        <v>23.57990448973306</v>
      </c>
      <c r="AS82" s="273"/>
      <c r="AT82" s="273"/>
      <c r="AU82" s="273"/>
      <c r="AV82" s="273"/>
      <c r="AW82" s="273"/>
      <c r="AY82" s="307" t="s">
        <v>175</v>
      </c>
      <c r="BA82" s="49"/>
      <c r="BB82" s="49"/>
      <c r="BC82" s="49"/>
      <c r="BD82" s="49"/>
      <c r="BE82" s="52">
        <f t="shared" si="127"/>
        <v>40.633400000000002</v>
      </c>
      <c r="BF82" s="53">
        <f t="shared" si="127"/>
        <v>49.131439999999998</v>
      </c>
      <c r="BG82" s="53">
        <f t="shared" si="127"/>
        <v>59.374950000000005</v>
      </c>
      <c r="BH82" s="53">
        <f>+L82-BG82-BF82-BE82</f>
        <v>57.917210000000004</v>
      </c>
      <c r="BI82" s="52">
        <f t="shared" si="128"/>
        <v>42.833600000000004</v>
      </c>
      <c r="BJ82" s="53">
        <f t="shared" si="128"/>
        <v>61.00695000000001</v>
      </c>
      <c r="BK82" s="53">
        <f t="shared" si="128"/>
        <v>62.185600000000001</v>
      </c>
      <c r="BL82" s="53">
        <f>+M82-BK82-BJ82-BI82</f>
        <v>45.860799999999969</v>
      </c>
      <c r="BM82" s="52">
        <f t="shared" si="129"/>
        <v>43.846200000000003</v>
      </c>
      <c r="BN82" s="53">
        <f t="shared" si="129"/>
        <v>64.021749999999997</v>
      </c>
      <c r="BO82" s="53">
        <f t="shared" si="129"/>
        <v>61.796600000000005</v>
      </c>
      <c r="BP82" s="64">
        <f>+N82-BO82-BN82-BM82</f>
        <v>47.37555000000004</v>
      </c>
      <c r="BQ82" s="53">
        <f t="shared" si="130"/>
        <v>46.264750000000006</v>
      </c>
      <c r="BR82" s="53">
        <f t="shared" si="130"/>
        <v>53.196959999999997</v>
      </c>
      <c r="BS82" s="53">
        <f t="shared" si="130"/>
        <v>51.855639999999994</v>
      </c>
      <c r="BT82" s="64">
        <f>+O82-BS82-BR82-BQ82</f>
        <v>30.548770000000033</v>
      </c>
      <c r="BU82" s="53">
        <f t="shared" si="131"/>
        <v>37.195079999999997</v>
      </c>
      <c r="BV82" s="53">
        <f t="shared" si="131"/>
        <v>40.57929</v>
      </c>
      <c r="BW82" s="53">
        <f t="shared" si="131"/>
        <v>53.61628000000001</v>
      </c>
      <c r="BX82" s="64">
        <f>P82-BW82-BV82-BU82</f>
        <v>53.703469999999989</v>
      </c>
      <c r="BY82" s="52">
        <f t="shared" si="132"/>
        <v>37.94312</v>
      </c>
      <c r="BZ82" s="53">
        <f t="shared" si="132"/>
        <v>38.785620000000037</v>
      </c>
      <c r="CA82" s="53">
        <f t="shared" si="132"/>
        <v>44.997450000000036</v>
      </c>
      <c r="CB82" s="64">
        <f>Q82-CA82-BZ82-BY82</f>
        <v>25.155669999999908</v>
      </c>
      <c r="CC82" s="52">
        <f t="shared" si="133"/>
        <v>45.458239999999996</v>
      </c>
      <c r="CD82" s="53">
        <f t="shared" si="133"/>
        <v>52.51155</v>
      </c>
      <c r="CE82" s="53">
        <f t="shared" si="133"/>
        <v>66.590839999999986</v>
      </c>
      <c r="CF82" s="64">
        <f t="shared" si="133"/>
        <v>55.888254399999873</v>
      </c>
      <c r="CG82" s="53">
        <f t="shared" si="133"/>
        <v>57.008719999999968</v>
      </c>
      <c r="CH82" s="53">
        <f t="shared" si="133"/>
        <v>84.537600000000083</v>
      </c>
      <c r="CI82" s="53">
        <f t="shared" si="133"/>
        <v>81.242760000000075</v>
      </c>
      <c r="CJ82" s="64">
        <f t="shared" si="133"/>
        <v>62.706599999999987</v>
      </c>
      <c r="CK82" s="53">
        <f t="shared" si="133"/>
        <v>62.025639999999875</v>
      </c>
      <c r="CL82" s="53">
        <f t="shared" si="133"/>
        <v>80.110200000000077</v>
      </c>
      <c r="CM82" s="53">
        <f t="shared" si="133"/>
        <v>84.387840000000068</v>
      </c>
      <c r="CN82" s="64">
        <f t="shared" si="133"/>
        <v>62.248920000000084</v>
      </c>
      <c r="CO82" s="52">
        <f t="shared" si="133"/>
        <v>60.785640000000001</v>
      </c>
      <c r="CP82" s="53">
        <f t="shared" si="133"/>
        <v>83.72336</v>
      </c>
      <c r="CQ82" s="53">
        <f t="shared" si="133"/>
        <v>85.073799999999991</v>
      </c>
      <c r="CR82" s="64">
        <f t="shared" si="133"/>
        <v>69.175880000000035</v>
      </c>
      <c r="CS82" s="52">
        <f t="shared" si="133"/>
        <v>61.115640000000006</v>
      </c>
      <c r="CT82" s="53">
        <f t="shared" si="133"/>
        <v>82.493120000000005</v>
      </c>
      <c r="CU82" s="53">
        <f t="shared" si="133"/>
        <v>82.680199999999999</v>
      </c>
      <c r="CV82" s="64">
        <f t="shared" si="133"/>
        <v>63.163720000000033</v>
      </c>
      <c r="CW82" s="53">
        <f>CW85-CW80-CW81</f>
        <v>-45.732246360000261</v>
      </c>
      <c r="CX82" s="53">
        <f>CX85-CX80-CX81</f>
        <v>2.0949748799997678</v>
      </c>
      <c r="CY82" s="53">
        <f>CY85-CY80-CY81</f>
        <v>23.853237699999909</v>
      </c>
      <c r="CZ82" s="64">
        <f>$W82-CY82-CX82-CW82</f>
        <v>294.14865128000048</v>
      </c>
      <c r="DF82" s="53"/>
      <c r="DG82" s="53"/>
      <c r="DH82" s="53"/>
      <c r="DI82" s="53"/>
      <c r="DJ82" s="53"/>
      <c r="DK82" s="53"/>
      <c r="DL82" s="53"/>
      <c r="DM82" s="53"/>
      <c r="DN82" s="53"/>
      <c r="DO82" s="53"/>
      <c r="DP82" s="53"/>
      <c r="DQ82" s="53"/>
      <c r="DR82" s="52">
        <f t="shared" si="135"/>
        <v>-19.603845260160291</v>
      </c>
      <c r="DS82" s="53">
        <f t="shared" si="135"/>
        <v>-23.718780170896981</v>
      </c>
      <c r="DT82" s="53">
        <f t="shared" si="135"/>
        <v>3.3952719511320506</v>
      </c>
      <c r="DU82" s="64">
        <f t="shared" si="135"/>
        <v>75.795850373026255</v>
      </c>
      <c r="DV82" s="52">
        <f t="shared" si="135"/>
        <v>2.0111262027128429</v>
      </c>
      <c r="DW82" s="53">
        <f t="shared" si="135"/>
        <v>-4.4201611215966663</v>
      </c>
      <c r="DX82" s="53">
        <f t="shared" si="135"/>
        <v>-16.075024227715861</v>
      </c>
      <c r="DY82" s="64">
        <f t="shared" si="135"/>
        <v>-53.158203743631624</v>
      </c>
      <c r="DZ82" s="52">
        <f t="shared" si="135"/>
        <v>19.806278450480598</v>
      </c>
      <c r="EA82" s="53">
        <f t="shared" si="135"/>
        <v>35.389224150600015</v>
      </c>
      <c r="EB82" s="53">
        <f t="shared" si="135"/>
        <v>47.98803043283548</v>
      </c>
      <c r="EC82" s="64">
        <f t="shared" si="135"/>
        <v>122.16961186086506</v>
      </c>
      <c r="ED82" s="52">
        <f t="shared" si="135"/>
        <v>25.408990757231198</v>
      </c>
      <c r="EE82" s="53">
        <f t="shared" si="135"/>
        <v>60.988582511847554</v>
      </c>
      <c r="EF82" s="53">
        <f t="shared" si="135"/>
        <v>22.002906105404428</v>
      </c>
      <c r="EG82" s="64">
        <f t="shared" si="135"/>
        <v>12.1999616434614</v>
      </c>
      <c r="EH82" s="52">
        <f t="shared" si="136"/>
        <v>8.8002677485127023</v>
      </c>
      <c r="EI82" s="53">
        <f t="shared" si="136"/>
        <v>-5.2371962298432884</v>
      </c>
      <c r="EJ82" s="53">
        <f t="shared" si="136"/>
        <v>3.8712126471331043</v>
      </c>
      <c r="EK82" s="64">
        <f t="shared" si="136"/>
        <v>-0.72987532412840395</v>
      </c>
      <c r="EL82" s="52">
        <f t="shared" si="136"/>
        <v>-1.9991732451287492</v>
      </c>
      <c r="EM82" s="53">
        <f t="shared" si="136"/>
        <v>4.5102371483280779</v>
      </c>
      <c r="EN82" s="53">
        <f t="shared" si="136"/>
        <v>0.8128659294987628</v>
      </c>
      <c r="EO82" s="64">
        <f t="shared" si="136"/>
        <v>11.127839647659666</v>
      </c>
      <c r="EP82" s="52">
        <f t="shared" si="136"/>
        <v>0.54289138026679673</v>
      </c>
      <c r="EQ82" s="53">
        <f t="shared" si="136"/>
        <v>-1.4694106877698121</v>
      </c>
      <c r="ER82" s="53">
        <f>(CU82/CQ82-1)*100</f>
        <v>-2.8135571703626683</v>
      </c>
      <c r="ES82" s="64">
        <f>(CV82/CR82-1)*100</f>
        <v>-8.6911218187611041</v>
      </c>
      <c r="ET82" s="53">
        <f>(CW82/CS82-1)*100</f>
        <v>-174.82903944064114</v>
      </c>
      <c r="EU82" s="53">
        <f>(CX82/CT82-1)*100</f>
        <v>-97.460424723904524</v>
      </c>
      <c r="EV82" s="53">
        <f>(CY82/CU82-1)*100</f>
        <v>-71.150000000000119</v>
      </c>
      <c r="EW82" s="64">
        <f>(CZ82/CV82-1)*100</f>
        <v>365.69241216318528</v>
      </c>
    </row>
    <row r="83" spans="1:153" s="70" customFormat="1">
      <c r="A83" s="305"/>
      <c r="B83" s="114"/>
      <c r="H83" s="49"/>
      <c r="I83" s="49"/>
      <c r="J83" s="49"/>
      <c r="K83" s="49"/>
      <c r="L83" s="53"/>
      <c r="M83" s="53"/>
      <c r="N83" s="53"/>
      <c r="O83" s="53"/>
      <c r="P83" s="53"/>
      <c r="Q83" s="53"/>
      <c r="R83" s="53"/>
      <c r="S83" s="53"/>
      <c r="T83" s="53"/>
      <c r="U83" s="53"/>
      <c r="V83" s="53"/>
      <c r="W83" s="53"/>
      <c r="X83" s="53"/>
      <c r="Y83" s="64"/>
      <c r="AA83" s="52"/>
      <c r="AB83" s="53"/>
      <c r="AC83" s="53"/>
      <c r="AD83" s="53"/>
      <c r="AE83" s="53"/>
      <c r="AF83" s="53"/>
      <c r="AG83" s="53"/>
      <c r="AH83" s="52"/>
      <c r="AI83" s="118"/>
      <c r="AJ83" s="118"/>
      <c r="AK83" s="336"/>
      <c r="AL83" s="118"/>
      <c r="AM83" s="336"/>
      <c r="AN83" s="118"/>
      <c r="AO83" s="118"/>
      <c r="AP83" s="118"/>
      <c r="AQ83" s="306"/>
      <c r="AS83" s="273"/>
      <c r="AT83" s="273"/>
      <c r="AU83" s="273"/>
      <c r="AV83" s="273"/>
      <c r="AW83" s="273"/>
      <c r="AY83" s="307"/>
      <c r="BA83" s="49"/>
      <c r="BB83" s="49"/>
      <c r="BC83" s="49"/>
      <c r="BD83" s="49"/>
      <c r="BE83" s="52"/>
      <c r="BF83" s="53"/>
      <c r="BG83" s="53"/>
      <c r="BH83" s="53"/>
      <c r="BI83" s="52"/>
      <c r="BJ83" s="53"/>
      <c r="BK83" s="53"/>
      <c r="BL83" s="53"/>
      <c r="BM83" s="52"/>
      <c r="BN83" s="53"/>
      <c r="BO83" s="53"/>
      <c r="BP83" s="64"/>
      <c r="BQ83" s="53"/>
      <c r="BR83" s="53"/>
      <c r="BS83" s="53"/>
      <c r="BT83" s="64"/>
      <c r="BU83" s="53"/>
      <c r="BV83" s="53"/>
      <c r="BW83" s="53"/>
      <c r="BX83" s="64"/>
      <c r="BY83" s="52"/>
      <c r="BZ83" s="53"/>
      <c r="CA83" s="53"/>
      <c r="CB83" s="64"/>
      <c r="CC83" s="52"/>
      <c r="CD83" s="53"/>
      <c r="CE83" s="53"/>
      <c r="CF83" s="64"/>
      <c r="CG83" s="53"/>
      <c r="CH83" s="53"/>
      <c r="CI83" s="53"/>
      <c r="CJ83" s="64"/>
      <c r="CK83" s="53"/>
      <c r="CL83" s="53"/>
      <c r="CM83" s="53"/>
      <c r="CN83" s="64"/>
      <c r="CO83" s="53"/>
      <c r="CP83" s="53"/>
      <c r="CQ83" s="53"/>
      <c r="CR83" s="64"/>
      <c r="CS83" s="53"/>
      <c r="CT83" s="53"/>
      <c r="CU83" s="53"/>
      <c r="CV83" s="64"/>
      <c r="CW83" s="53"/>
      <c r="CX83" s="53"/>
      <c r="CY83" s="53"/>
      <c r="CZ83" s="64"/>
      <c r="DF83" s="53"/>
      <c r="DG83" s="53"/>
      <c r="DH83" s="53"/>
      <c r="DI83" s="53"/>
      <c r="DJ83" s="53"/>
      <c r="DK83" s="53"/>
      <c r="DL83" s="53"/>
      <c r="DM83" s="53"/>
      <c r="DN83" s="53"/>
      <c r="DO83" s="53"/>
      <c r="DP83" s="53"/>
      <c r="DQ83" s="53"/>
      <c r="DR83" s="52"/>
      <c r="DS83" s="53"/>
      <c r="DT83" s="53"/>
      <c r="DU83" s="64"/>
      <c r="DV83" s="52"/>
      <c r="DW83" s="53"/>
      <c r="DX83" s="53"/>
      <c r="DY83" s="64"/>
      <c r="DZ83" s="52"/>
      <c r="EA83" s="53"/>
      <c r="EB83" s="53"/>
      <c r="EC83" s="64"/>
      <c r="ED83" s="52"/>
      <c r="EE83" s="53"/>
      <c r="EF83" s="53"/>
      <c r="EG83" s="64"/>
      <c r="EH83" s="52"/>
      <c r="EI83" s="53"/>
      <c r="EJ83" s="53"/>
      <c r="EK83" s="64"/>
      <c r="EL83" s="52"/>
      <c r="EM83" s="53"/>
      <c r="EN83" s="53"/>
      <c r="EO83" s="64"/>
      <c r="EP83" s="53"/>
      <c r="EQ83" s="53"/>
      <c r="ER83" s="53"/>
      <c r="ES83" s="64"/>
      <c r="ET83" s="53"/>
      <c r="EU83" s="53"/>
      <c r="EV83" s="53"/>
      <c r="EW83" s="64"/>
    </row>
    <row r="84" spans="1:153" s="337" customFormat="1">
      <c r="B84" s="338" t="s">
        <v>176</v>
      </c>
      <c r="H84" s="339"/>
      <c r="I84" s="339"/>
      <c r="J84" s="339"/>
      <c r="K84" s="339"/>
      <c r="L84" s="339">
        <f>L85/K72-1</f>
        <v>4.9841046104235343E-2</v>
      </c>
      <c r="M84" s="339">
        <f>M85/L72-1</f>
        <v>3.026811716994815E-2</v>
      </c>
      <c r="N84" s="339">
        <f>N85/M72-1</f>
        <v>2.8454982133303997E-2</v>
      </c>
      <c r="O84" s="339">
        <f>O85/N72-1</f>
        <v>4.5082687406940103E-2</v>
      </c>
      <c r="P84" s="339">
        <f>P85/O72-1</f>
        <v>1.7749320214232256E-2</v>
      </c>
      <c r="Q84" s="339">
        <f t="shared" ref="Q84:Y84" si="137">AI7/100</f>
        <v>2.6350201515105143E-2</v>
      </c>
      <c r="R84" s="339">
        <f t="shared" si="137"/>
        <v>0.1768354287143159</v>
      </c>
      <c r="S84" s="339">
        <f t="shared" si="137"/>
        <v>0.13649264226316671</v>
      </c>
      <c r="T84" s="339">
        <f t="shared" si="137"/>
        <v>-7.5648058436609267E-3</v>
      </c>
      <c r="U84" s="339">
        <f t="shared" si="137"/>
        <v>2.5426403672714759E-2</v>
      </c>
      <c r="V84" s="339">
        <f>AN7/100</f>
        <v>-5.0142308333979591E-2</v>
      </c>
      <c r="W84" s="339">
        <f t="shared" si="137"/>
        <v>0.01</v>
      </c>
      <c r="X84" s="339">
        <f t="shared" si="137"/>
        <v>0.04</v>
      </c>
      <c r="Y84" s="340">
        <f t="shared" si="137"/>
        <v>0.04</v>
      </c>
      <c r="Z84" s="337">
        <v>0.02</v>
      </c>
      <c r="AA84" s="341"/>
      <c r="AB84" s="339"/>
      <c r="AC84" s="339"/>
      <c r="AD84" s="339"/>
      <c r="AE84" s="339"/>
      <c r="AF84" s="339"/>
      <c r="AG84" s="339"/>
      <c r="AH84" s="341"/>
      <c r="AI84" s="53"/>
      <c r="AJ84" s="339"/>
      <c r="AK84" s="341"/>
      <c r="AL84" s="339"/>
      <c r="AM84" s="341"/>
      <c r="AN84" s="339"/>
      <c r="AO84" s="339"/>
      <c r="AP84" s="339"/>
      <c r="AQ84" s="340"/>
      <c r="AS84" s="342"/>
      <c r="AT84" s="342"/>
      <c r="AU84" s="342"/>
      <c r="AV84" s="342"/>
      <c r="AW84" s="342"/>
      <c r="AY84" s="343" t="s">
        <v>176</v>
      </c>
      <c r="BA84" s="339"/>
      <c r="BB84" s="339"/>
      <c r="BC84" s="339"/>
      <c r="BD84" s="339"/>
      <c r="BE84" s="341"/>
      <c r="BF84" s="339"/>
      <c r="BG84" s="339"/>
      <c r="BH84" s="344"/>
      <c r="BI84" s="341">
        <f t="shared" ref="BI84:BR84" si="138">BI85/BE72-1</f>
        <v>5.8963721859347507E-2</v>
      </c>
      <c r="BJ84" s="339">
        <f t="shared" si="138"/>
        <v>-2.6973147006102982E-3</v>
      </c>
      <c r="BK84" s="339">
        <f t="shared" si="138"/>
        <v>5.6668920962573033E-2</v>
      </c>
      <c r="BL84" s="344">
        <f t="shared" si="138"/>
        <v>1.4826026536374659E-2</v>
      </c>
      <c r="BM84" s="341">
        <f t="shared" si="138"/>
        <v>2.9949825233960947E-2</v>
      </c>
      <c r="BN84" s="339">
        <f t="shared" si="138"/>
        <v>5.4346259783355944E-2</v>
      </c>
      <c r="BO84" s="339">
        <f t="shared" si="138"/>
        <v>-4.2699511453136996E-3</v>
      </c>
      <c r="BP84" s="345">
        <f t="shared" si="138"/>
        <v>5.8996662693421964E-2</v>
      </c>
      <c r="BQ84" s="341">
        <f t="shared" si="138"/>
        <v>6.1002528394269007E-2</v>
      </c>
      <c r="BR84" s="339">
        <f t="shared" si="138"/>
        <v>4.2322269978462668E-2</v>
      </c>
      <c r="BS84" s="339">
        <f>DP7/100</f>
        <v>0</v>
      </c>
      <c r="BT84" s="345">
        <f>BT85/BP72-1</f>
        <v>2.3746688166579322E-2</v>
      </c>
      <c r="BU84" s="339">
        <f t="shared" ref="BU84:BZ84" si="139">BU85/BQ72-1</f>
        <v>3.5614956986844692E-3</v>
      </c>
      <c r="BV84" s="339">
        <f t="shared" si="139"/>
        <v>1.4931610970757347E-2</v>
      </c>
      <c r="BW84" s="339">
        <f t="shared" si="139"/>
        <v>3.425907421796337E-2</v>
      </c>
      <c r="BX84" s="345">
        <f t="shared" si="139"/>
        <v>1.3214623645501078E-2</v>
      </c>
      <c r="BY84" s="341">
        <f t="shared" si="139"/>
        <v>1.8576622662620501E-2</v>
      </c>
      <c r="BZ84" s="339">
        <f t="shared" si="139"/>
        <v>-5.7586302915616394E-2</v>
      </c>
      <c r="CA84" s="339">
        <f>CA85/BW72-1</f>
        <v>7.5273403755784507E-2</v>
      </c>
      <c r="CB84" s="345">
        <f>CB85/BX72-1</f>
        <v>7.6843091815371078E-2</v>
      </c>
      <c r="CC84" s="341">
        <f>CC85/BY72-1</f>
        <v>0.12726205071437358</v>
      </c>
      <c r="CD84" s="339">
        <f>CD85/BZ72-1</f>
        <v>0.29143011026387344</v>
      </c>
      <c r="CE84" s="339">
        <f>EB7/100</f>
        <v>8.3362020888010382E-2</v>
      </c>
      <c r="CF84" s="345">
        <f>CF85/CB72-1</f>
        <v>0.20999999999999974</v>
      </c>
      <c r="CG84" s="339">
        <f>ED7/100</f>
        <v>0.25446300472310091</v>
      </c>
      <c r="CH84" s="339">
        <f>EE7/100</f>
        <v>0.14262234813260966</v>
      </c>
      <c r="CI84" s="339">
        <f>EF7/100</f>
        <v>0.13940554334783117</v>
      </c>
      <c r="CJ84" s="345">
        <f>CJ85/CF72-1</f>
        <v>3.6908057267018179E-2</v>
      </c>
      <c r="CK84" s="339">
        <f>EH7/100</f>
        <v>1.7768136678984137E-2</v>
      </c>
      <c r="CL84" s="339">
        <f>EI7/100</f>
        <v>-6.1394115069443256E-2</v>
      </c>
      <c r="CM84" s="339">
        <f>EJ7/100</f>
        <v>3.6300297279295179E-2</v>
      </c>
      <c r="CN84" s="345">
        <f>CN85/CJ72-1</f>
        <v>-1.5810546646487733E-2</v>
      </c>
      <c r="CO84" s="339">
        <f>EL7/100</f>
        <v>-1.999173245128949E-2</v>
      </c>
      <c r="CP84" s="339">
        <f>EM7/100</f>
        <v>4.4930716834640894E-2</v>
      </c>
      <c r="CQ84" s="339">
        <f>EN7/100</f>
        <v>0</v>
      </c>
      <c r="CR84" s="345">
        <f>CR85/CN72-1</f>
        <v>7.871771217136736E-2</v>
      </c>
      <c r="CS84" s="339">
        <f>EP7/100</f>
        <v>-2.3706206617162606E-2</v>
      </c>
      <c r="CT84" s="339">
        <f>EQ7/100</f>
        <v>-3.5992610763753818E-2</v>
      </c>
      <c r="CU84" s="339">
        <f>ER7/100</f>
        <v>-4.3069189587580874E-2</v>
      </c>
      <c r="CV84" s="345">
        <f>CV85/CR72-1</f>
        <v>-9.9699423362649364E-2</v>
      </c>
      <c r="CW84" s="339">
        <f>ET7/100</f>
        <v>-0.03</v>
      </c>
      <c r="CX84" s="339">
        <f>EU7/100</f>
        <v>0.01</v>
      </c>
      <c r="CY84" s="339">
        <f>EV7/100</f>
        <v>0.02</v>
      </c>
      <c r="CZ84" s="345">
        <f>CZ85/CV72-1</f>
        <v>3.5699578845890256E-2</v>
      </c>
      <c r="DR84" s="346"/>
      <c r="DT84" s="339"/>
      <c r="DU84" s="340"/>
      <c r="DV84" s="346"/>
      <c r="DY84" s="347"/>
      <c r="DZ84" s="346"/>
      <c r="EC84" s="347"/>
      <c r="ED84" s="346"/>
      <c r="EG84" s="347"/>
      <c r="EH84" s="346"/>
      <c r="EK84" s="347"/>
      <c r="EL84" s="346"/>
      <c r="EO84" s="347"/>
      <c r="ES84" s="347"/>
      <c r="EW84" s="347"/>
    </row>
    <row r="85" spans="1:153" s="310" customFormat="1" ht="13.15">
      <c r="A85" s="348"/>
      <c r="B85" s="230" t="s">
        <v>177</v>
      </c>
      <c r="H85" s="81"/>
      <c r="I85" s="81"/>
      <c r="J85" s="81"/>
      <c r="K85" s="81"/>
      <c r="L85" s="90">
        <f>K72+196.6</f>
        <v>4141.1400000000003</v>
      </c>
      <c r="M85" s="90">
        <f>L72+124.5</f>
        <v>4237.7389999999996</v>
      </c>
      <c r="N85" s="90">
        <f>M72+120.1</f>
        <v>4340.8020000000006</v>
      </c>
      <c r="O85" s="90">
        <f>N85+196.9</f>
        <v>4537.7020000000002</v>
      </c>
      <c r="P85" s="349">
        <f>O72+80.7</f>
        <v>4627.3530000000001</v>
      </c>
      <c r="Q85" s="349">
        <f t="shared" ref="Q85:Y85" si="140">P72*(1+Q84)</f>
        <v>4896.0619999999999</v>
      </c>
      <c r="R85" s="349">
        <f t="shared" si="140"/>
        <v>5948.8183599999993</v>
      </c>
      <c r="S85" s="349">
        <f t="shared" si="140"/>
        <v>7137.3920000000007</v>
      </c>
      <c r="T85" s="349">
        <f t="shared" si="140"/>
        <v>7219.3150000000005</v>
      </c>
      <c r="U85" s="349">
        <f>T72*(1+U84)</f>
        <v>7468.9669999999987</v>
      </c>
      <c r="V85" s="349">
        <f>U72*(1+V84)</f>
        <v>7236.3170000000009</v>
      </c>
      <c r="W85" s="349">
        <f t="shared" si="140"/>
        <v>7311.6829000000007</v>
      </c>
      <c r="X85" s="349">
        <f t="shared" si="140"/>
        <v>7604.1502160000009</v>
      </c>
      <c r="Y85" s="350">
        <f t="shared" si="140"/>
        <v>7908.3162246400016</v>
      </c>
      <c r="AA85" s="89"/>
      <c r="AB85" s="90"/>
      <c r="AC85" s="90"/>
      <c r="AD85" s="90"/>
      <c r="AE85" s="90"/>
      <c r="AF85" s="90"/>
      <c r="AG85" s="90"/>
      <c r="AH85" s="52">
        <f t="shared" ref="AH85:AQ85" si="141">(P85/O72-1)*100</f>
        <v>1.7749320214232256</v>
      </c>
      <c r="AI85" s="53">
        <f t="shared" si="141"/>
        <v>2.6350201515105143</v>
      </c>
      <c r="AJ85" s="53">
        <f t="shared" si="141"/>
        <v>17.683542871431591</v>
      </c>
      <c r="AK85" s="52">
        <f t="shared" si="141"/>
        <v>13.649264226316671</v>
      </c>
      <c r="AL85" s="53">
        <f t="shared" si="141"/>
        <v>-0.75648058436609267</v>
      </c>
      <c r="AM85" s="52">
        <f t="shared" si="141"/>
        <v>2.5426403672714759</v>
      </c>
      <c r="AN85" s="53">
        <f t="shared" si="141"/>
        <v>-5.0142308333979591</v>
      </c>
      <c r="AO85" s="53">
        <f t="shared" si="141"/>
        <v>1.0000000000000009</v>
      </c>
      <c r="AP85" s="53">
        <f t="shared" si="141"/>
        <v>4.0000000000000036</v>
      </c>
      <c r="AQ85" s="64">
        <f t="shared" si="141"/>
        <v>4.0000000000000036</v>
      </c>
      <c r="AS85" s="312"/>
      <c r="AT85" s="312"/>
      <c r="AU85" s="312"/>
      <c r="AV85" s="312"/>
      <c r="AW85" s="312"/>
      <c r="AY85" s="313" t="s">
        <v>177</v>
      </c>
      <c r="BA85" s="81"/>
      <c r="BB85" s="81"/>
      <c r="BC85" s="81"/>
      <c r="BD85" s="81"/>
      <c r="BE85" s="351">
        <f t="shared" ref="BE85:CA85" si="142">BA72+BE7</f>
        <v>812.66800000000001</v>
      </c>
      <c r="BF85" s="349">
        <f t="shared" si="142"/>
        <v>1228.2859999999998</v>
      </c>
      <c r="BG85" s="349">
        <f t="shared" si="142"/>
        <v>1187.499</v>
      </c>
      <c r="BH85" s="90">
        <f t="shared" si="142"/>
        <v>912.68699999999978</v>
      </c>
      <c r="BI85" s="351">
        <f t="shared" si="142"/>
        <v>856.67200000000003</v>
      </c>
      <c r="BJ85" s="349">
        <f t="shared" si="142"/>
        <v>1220.1390000000001</v>
      </c>
      <c r="BK85" s="349">
        <f t="shared" si="142"/>
        <v>1243.712</v>
      </c>
      <c r="BL85" s="90">
        <f t="shared" si="142"/>
        <v>917.21599999999955</v>
      </c>
      <c r="BM85" s="351">
        <f t="shared" si="142"/>
        <v>876.92399999999998</v>
      </c>
      <c r="BN85" s="349">
        <f t="shared" si="142"/>
        <v>1280.4349999999999</v>
      </c>
      <c r="BO85" s="349">
        <f t="shared" si="142"/>
        <v>1235.932</v>
      </c>
      <c r="BP85" s="91">
        <f t="shared" si="142"/>
        <v>967.51100000000031</v>
      </c>
      <c r="BQ85" s="349">
        <f t="shared" si="142"/>
        <v>925.29500000000007</v>
      </c>
      <c r="BR85" s="349">
        <f t="shared" si="142"/>
        <v>1329.924</v>
      </c>
      <c r="BS85" s="349">
        <f t="shared" si="142"/>
        <v>1296.3909999999998</v>
      </c>
      <c r="BT85" s="91">
        <f t="shared" si="142"/>
        <v>987.24499999999978</v>
      </c>
      <c r="BU85" s="349">
        <f t="shared" si="142"/>
        <v>929.87699999999995</v>
      </c>
      <c r="BV85" s="349">
        <f t="shared" si="142"/>
        <v>1352.643</v>
      </c>
      <c r="BW85" s="349">
        <f t="shared" si="142"/>
        <v>1340.4070000000002</v>
      </c>
      <c r="BX85" s="91">
        <f t="shared" si="142"/>
        <v>1004.426</v>
      </c>
      <c r="BY85" s="351">
        <f t="shared" si="142"/>
        <v>948.57799999999997</v>
      </c>
      <c r="BZ85" s="349">
        <f t="shared" si="142"/>
        <v>1292.854</v>
      </c>
      <c r="CA85" s="349">
        <f t="shared" si="142"/>
        <v>1499.915</v>
      </c>
      <c r="CB85" s="91">
        <f>Q85-CA85-BZ85-BY85</f>
        <v>1154.7149999999997</v>
      </c>
      <c r="CC85" s="351">
        <f>BY72+CC7</f>
        <v>1136.4559999999999</v>
      </c>
      <c r="CD85" s="349">
        <f>BZ72+CD7</f>
        <v>1750.385</v>
      </c>
      <c r="CE85" s="349">
        <f>CA72*(1+CE84)</f>
        <v>1664.7709999999997</v>
      </c>
      <c r="CF85" s="91">
        <f>$R85-CE85-CD85-CC85</f>
        <v>1397.2063599999994</v>
      </c>
      <c r="CG85" s="349">
        <f>CC72*(1+CG84)</f>
        <v>1425.2179999999998</v>
      </c>
      <c r="CH85" s="349">
        <f>CD72*(1+CH84)</f>
        <v>2113.44</v>
      </c>
      <c r="CI85" s="349">
        <f>CE72*(1+CI84)</f>
        <v>2031.069</v>
      </c>
      <c r="CJ85" s="91">
        <f>$S85-CI85-CH85-CG85</f>
        <v>1567.6650000000004</v>
      </c>
      <c r="CK85" s="349">
        <f>CG72*(1+CK84)</f>
        <v>1550.6409999999998</v>
      </c>
      <c r="CL85" s="349">
        <f>CH72*(1+CL84)</f>
        <v>2002.7550000000001</v>
      </c>
      <c r="CM85" s="349">
        <f>CI72*(1+CM84)</f>
        <v>2109.6959999999999</v>
      </c>
      <c r="CN85" s="91">
        <f>$T85-CM85-CL85-CK85</f>
        <v>1556.2230000000006</v>
      </c>
      <c r="CO85" s="349">
        <f>CK72*(1+CO84)</f>
        <v>1519.6410000000001</v>
      </c>
      <c r="CP85" s="349">
        <f>CL72*(1+CP84)</f>
        <v>2093.0839999999998</v>
      </c>
      <c r="CQ85" s="349">
        <f>CM72*(1+CQ84)</f>
        <v>2126.8449999999998</v>
      </c>
      <c r="CR85" s="91">
        <f>$U85-CQ85-CP85-CO85</f>
        <v>1729.3969999999995</v>
      </c>
      <c r="CS85" s="349">
        <f>CO72*(1+CS84)</f>
        <v>1527.8910000000001</v>
      </c>
      <c r="CT85" s="349">
        <f>CP72*(1+CT84)</f>
        <v>2062.328</v>
      </c>
      <c r="CU85" s="349">
        <f>CQ72*(1+CU84)</f>
        <v>2067.0050000000001</v>
      </c>
      <c r="CV85" s="91">
        <f>$V85-CU85-CT85-CS85</f>
        <v>1579.0930000000008</v>
      </c>
      <c r="CW85" s="349">
        <f>CS72*(1+CW84)</f>
        <v>1485.1534199999999</v>
      </c>
      <c r="CX85" s="349">
        <f>CT72*(1+CX84)</f>
        <v>2083.0664200000001</v>
      </c>
      <c r="CY85" s="349">
        <f>CU72*(1+CY84)</f>
        <v>2108.3451</v>
      </c>
      <c r="CZ85" s="91">
        <f>$W85-CY85-CX85-CW85</f>
        <v>1635.1179600000012</v>
      </c>
      <c r="DF85" s="90"/>
      <c r="DG85" s="90"/>
      <c r="DH85" s="90"/>
      <c r="DI85" s="90"/>
      <c r="DJ85" s="90"/>
      <c r="DK85" s="90"/>
      <c r="DL85" s="90"/>
      <c r="DM85" s="90"/>
      <c r="DN85" s="90"/>
      <c r="DO85" s="90"/>
      <c r="DP85" s="90"/>
      <c r="DQ85" s="90"/>
      <c r="DR85" s="352">
        <f t="shared" ref="DR85:EW85" si="143">(BU85/BQ72-1)*100</f>
        <v>0.35614956986844692</v>
      </c>
      <c r="DS85" s="353">
        <f t="shared" si="143"/>
        <v>1.4931610970757347</v>
      </c>
      <c r="DT85" s="353">
        <f t="shared" si="143"/>
        <v>3.425907421796337</v>
      </c>
      <c r="DU85" s="354">
        <f t="shared" si="143"/>
        <v>1.3214623645501078</v>
      </c>
      <c r="DV85" s="352">
        <f t="shared" si="143"/>
        <v>1.8576622662620501</v>
      </c>
      <c r="DW85" s="353">
        <f t="shared" si="143"/>
        <v>-5.758630291561639</v>
      </c>
      <c r="DX85" s="353">
        <f t="shared" si="143"/>
        <v>7.5273403755784507</v>
      </c>
      <c r="DY85" s="354">
        <f t="shared" si="143"/>
        <v>7.6843091815371078</v>
      </c>
      <c r="DZ85" s="352">
        <f t="shared" si="143"/>
        <v>12.726205071437358</v>
      </c>
      <c r="EA85" s="353">
        <f t="shared" si="143"/>
        <v>29.143011026387345</v>
      </c>
      <c r="EB85" s="353">
        <f t="shared" si="143"/>
        <v>8.3362020888010377</v>
      </c>
      <c r="EC85" s="354">
        <f t="shared" si="143"/>
        <v>20.999999999999975</v>
      </c>
      <c r="ED85" s="352">
        <f t="shared" si="143"/>
        <v>25.446300472310092</v>
      </c>
      <c r="EE85" s="353">
        <f t="shared" si="143"/>
        <v>14.262234813260966</v>
      </c>
      <c r="EF85" s="353">
        <f t="shared" si="143"/>
        <v>13.940554334783117</v>
      </c>
      <c r="EG85" s="354">
        <f t="shared" si="143"/>
        <v>3.6908057267018179</v>
      </c>
      <c r="EH85" s="352">
        <f t="shared" si="143"/>
        <v>1.7768136678984137</v>
      </c>
      <c r="EI85" s="353">
        <f t="shared" si="143"/>
        <v>-6.1394115069443256</v>
      </c>
      <c r="EJ85" s="353">
        <f t="shared" si="143"/>
        <v>3.6300297279295179</v>
      </c>
      <c r="EK85" s="354">
        <f t="shared" si="143"/>
        <v>-1.5810546646487733</v>
      </c>
      <c r="EL85" s="352">
        <f t="shared" si="143"/>
        <v>-1.999173245128949</v>
      </c>
      <c r="EM85" s="353">
        <f t="shared" si="143"/>
        <v>4.4930716834640894</v>
      </c>
      <c r="EN85" s="353">
        <f t="shared" si="143"/>
        <v>0</v>
      </c>
      <c r="EO85" s="354">
        <f t="shared" si="143"/>
        <v>7.871771217136736</v>
      </c>
      <c r="EP85" s="353">
        <f t="shared" si="143"/>
        <v>-2.3706206617162606</v>
      </c>
      <c r="EQ85" s="353">
        <f t="shared" si="143"/>
        <v>-3.5992610763753818</v>
      </c>
      <c r="ER85" s="353">
        <f t="shared" si="143"/>
        <v>-4.3069189587580876</v>
      </c>
      <c r="ES85" s="354">
        <f t="shared" si="143"/>
        <v>-9.9699423362649355</v>
      </c>
      <c r="ET85" s="353">
        <f t="shared" si="143"/>
        <v>-3.0000000000000138</v>
      </c>
      <c r="EU85" s="353">
        <f t="shared" si="143"/>
        <v>1.0000000000000009</v>
      </c>
      <c r="EV85" s="353">
        <f t="shared" si="143"/>
        <v>2.0000000000000018</v>
      </c>
      <c r="EW85" s="354">
        <f t="shared" si="143"/>
        <v>3.5699578845890256</v>
      </c>
    </row>
    <row r="86" spans="1:153">
      <c r="B86" s="355" t="s">
        <v>115</v>
      </c>
      <c r="P86" s="9">
        <f>P72-P85</f>
        <v>143.00900000000001</v>
      </c>
      <c r="Q86" s="9">
        <f t="shared" ref="Q86:Y86" si="144">Q8</f>
        <v>158.86599999999976</v>
      </c>
      <c r="R86" s="9">
        <f t="shared" si="144"/>
        <v>331.37364000000025</v>
      </c>
      <c r="S86" s="9">
        <f t="shared" si="144"/>
        <v>136.95200000000023</v>
      </c>
      <c r="T86" s="9">
        <f t="shared" si="144"/>
        <v>64.451999999999771</v>
      </c>
      <c r="U86" s="9">
        <f t="shared" si="144"/>
        <v>149.35000000000036</v>
      </c>
      <c r="V86" s="9">
        <f t="shared" si="144"/>
        <v>2.9730000000001837</v>
      </c>
      <c r="W86" s="9">
        <f t="shared" si="144"/>
        <v>0</v>
      </c>
      <c r="X86" s="9">
        <f t="shared" si="144"/>
        <v>0</v>
      </c>
      <c r="Y86" s="120">
        <f t="shared" si="144"/>
        <v>0</v>
      </c>
      <c r="AA86" s="163"/>
      <c r="AH86" s="119"/>
      <c r="AK86" s="119"/>
      <c r="AM86" s="119"/>
      <c r="AQ86" s="120"/>
      <c r="AY86" s="356" t="s">
        <v>115</v>
      </c>
      <c r="BE86" s="119"/>
      <c r="BI86" s="119"/>
      <c r="BM86" s="119"/>
      <c r="BP86" s="120"/>
      <c r="BT86" s="120"/>
      <c r="BU86" s="9">
        <f t="shared" ref="BU86:BZ86" si="145">BU72-BU85</f>
        <v>1.4010000000000673</v>
      </c>
      <c r="BV86" s="9">
        <f t="shared" si="145"/>
        <v>19.211000000000013</v>
      </c>
      <c r="BW86" s="9">
        <f t="shared" si="145"/>
        <v>54.507999999999811</v>
      </c>
      <c r="BX86" s="120">
        <f t="shared" si="145"/>
        <v>67.88900000000001</v>
      </c>
      <c r="BY86" s="119">
        <f t="shared" si="145"/>
        <v>59.577999999999975</v>
      </c>
      <c r="BZ86" s="9">
        <f t="shared" si="145"/>
        <v>62.530999999999949</v>
      </c>
      <c r="CA86" s="9">
        <f>CA72-CA85</f>
        <v>36.756000000000085</v>
      </c>
      <c r="CB86" s="120">
        <f>Q86-CA86-BZ86-BY86</f>
        <v>9.9999999974897946E-4</v>
      </c>
      <c r="CC86" s="119">
        <f>CC72-CC85</f>
        <v>-0.33799999999996544</v>
      </c>
      <c r="CD86" s="9">
        <f>CD72-CD85</f>
        <v>99.255000000000109</v>
      </c>
      <c r="CE86" s="9">
        <f>CE8</f>
        <v>117.798</v>
      </c>
      <c r="CF86" s="120">
        <f>$R86-CE86-CD86-CC86</f>
        <v>114.6586400000001</v>
      </c>
      <c r="CG86" s="9">
        <f>CG8</f>
        <v>98.352000000000089</v>
      </c>
      <c r="CH86" s="9">
        <f>CH8</f>
        <v>20.315000000000055</v>
      </c>
      <c r="CI86" s="9">
        <f>CI8</f>
        <v>4.7270000000000891</v>
      </c>
      <c r="CJ86" s="120">
        <f>$S86-CI86-CH86-CG86</f>
        <v>13.557999999999993</v>
      </c>
      <c r="CK86" s="9">
        <f>CK8</f>
        <v>0</v>
      </c>
      <c r="CL86" s="9">
        <f>CL8</f>
        <v>0.32899999999995089</v>
      </c>
      <c r="CM86" s="9">
        <f>CM8</f>
        <v>17.148999999999887</v>
      </c>
      <c r="CN86" s="120">
        <f>$T86-CM86-CL86-CK86</f>
        <v>46.973999999999933</v>
      </c>
      <c r="CO86" s="9">
        <f>CO8</f>
        <v>45.349999999999909</v>
      </c>
      <c r="CP86" s="9">
        <f>CP8</f>
        <v>46.244000000000142</v>
      </c>
      <c r="CQ86" s="9">
        <f>CQ8</f>
        <v>33.191000000000258</v>
      </c>
      <c r="CR86" s="120">
        <f>$U86-CQ86-CP86-CO86</f>
        <v>24.565000000000055</v>
      </c>
      <c r="CS86" s="9">
        <f>CS8</f>
        <v>3.1949999999999363</v>
      </c>
      <c r="CT86" s="9">
        <f>CT8</f>
        <v>0.11400000000003274</v>
      </c>
      <c r="CU86" s="9">
        <f>CU8</f>
        <v>0</v>
      </c>
      <c r="CV86" s="120">
        <f>$V86-CU86-CT86-CS86</f>
        <v>-0.33599999999978536</v>
      </c>
      <c r="CW86" s="9">
        <f>CW8</f>
        <v>0</v>
      </c>
      <c r="CX86" s="9">
        <f>CX8</f>
        <v>0</v>
      </c>
      <c r="CY86" s="9">
        <f>CY8</f>
        <v>0</v>
      </c>
      <c r="CZ86" s="120">
        <f>$W86-CY86-CX86-CW86</f>
        <v>0</v>
      </c>
      <c r="DR86" s="163"/>
      <c r="DU86" s="237"/>
      <c r="DV86" s="163"/>
      <c r="DY86" s="237"/>
      <c r="DZ86" s="163"/>
      <c r="EC86" s="237"/>
      <c r="ED86" s="163"/>
      <c r="EG86" s="237"/>
      <c r="EH86" s="163"/>
      <c r="EK86" s="237"/>
      <c r="EL86" s="163"/>
      <c r="EO86" s="237"/>
      <c r="ES86" s="237"/>
      <c r="EW86" s="237"/>
    </row>
    <row r="87" spans="1:153">
      <c r="B87" s="355"/>
      <c r="Y87" s="120"/>
      <c r="AA87" s="163"/>
      <c r="AH87" s="119"/>
      <c r="AK87" s="119"/>
      <c r="AM87" s="119"/>
      <c r="AQ87" s="120"/>
      <c r="AY87" s="356"/>
      <c r="BE87" s="119"/>
      <c r="BI87" s="119"/>
      <c r="BM87" s="119"/>
      <c r="BP87" s="120"/>
      <c r="BT87" s="120"/>
      <c r="BX87" s="120"/>
      <c r="BY87" s="119"/>
      <c r="CB87" s="120"/>
      <c r="CC87" s="119"/>
      <c r="CF87" s="120"/>
      <c r="CJ87" s="120"/>
      <c r="CK87" s="9">
        <f t="shared" ref="CK87:CZ87" si="146">CK84*100</f>
        <v>1.7768136678984137</v>
      </c>
      <c r="CL87" s="9">
        <f t="shared" si="146"/>
        <v>-6.1394115069443256</v>
      </c>
      <c r="CM87" s="9">
        <f t="shared" si="146"/>
        <v>3.6300297279295179</v>
      </c>
      <c r="CN87" s="120">
        <f t="shared" si="146"/>
        <v>-1.5810546646487733</v>
      </c>
      <c r="CO87" s="9">
        <f t="shared" si="146"/>
        <v>-1.999173245128949</v>
      </c>
      <c r="CP87" s="9">
        <f t="shared" si="146"/>
        <v>4.4930716834640894</v>
      </c>
      <c r="CQ87" s="9">
        <f t="shared" si="146"/>
        <v>0</v>
      </c>
      <c r="CR87" s="120">
        <f t="shared" si="146"/>
        <v>7.871771217136736</v>
      </c>
      <c r="CS87" s="9">
        <f t="shared" si="146"/>
        <v>-2.3706206617162606</v>
      </c>
      <c r="CT87" s="9">
        <f t="shared" si="146"/>
        <v>-3.5992610763753818</v>
      </c>
      <c r="CU87" s="9">
        <f t="shared" si="146"/>
        <v>-4.3069189587580876</v>
      </c>
      <c r="CV87" s="120">
        <f t="shared" si="146"/>
        <v>-9.9699423362649355</v>
      </c>
      <c r="CW87" s="9">
        <f t="shared" si="146"/>
        <v>-3</v>
      </c>
      <c r="CX87" s="9">
        <f t="shared" si="146"/>
        <v>1</v>
      </c>
      <c r="CY87" s="9">
        <f t="shared" si="146"/>
        <v>2</v>
      </c>
      <c r="CZ87" s="120">
        <f t="shared" si="146"/>
        <v>3.5699578845890256</v>
      </c>
      <c r="DR87" s="163"/>
      <c r="DU87" s="237"/>
      <c r="DV87" s="163"/>
      <c r="DY87" s="237"/>
      <c r="DZ87" s="163"/>
      <c r="EC87" s="237"/>
      <c r="ED87" s="163"/>
      <c r="EG87" s="237"/>
      <c r="EH87" s="163"/>
      <c r="EK87" s="237"/>
      <c r="EL87" s="163"/>
      <c r="EO87" s="237"/>
      <c r="ES87" s="237"/>
      <c r="EW87" s="237"/>
    </row>
    <row r="88" spans="1:153" s="70" customFormat="1">
      <c r="B88" s="114" t="s">
        <v>145</v>
      </c>
      <c r="H88" s="49"/>
      <c r="I88" s="49"/>
      <c r="J88" s="49"/>
      <c r="K88" s="49"/>
      <c r="L88" s="49"/>
      <c r="M88" s="49"/>
      <c r="N88" s="49"/>
      <c r="O88" s="49"/>
      <c r="P88" s="49"/>
      <c r="Q88" s="49"/>
      <c r="R88" s="49"/>
      <c r="S88" s="49"/>
      <c r="T88" s="49"/>
      <c r="U88" s="49"/>
      <c r="V88" s="49"/>
      <c r="W88" s="49"/>
      <c r="X88" s="49"/>
      <c r="Y88" s="63"/>
      <c r="AA88" s="52"/>
      <c r="AB88" s="53"/>
      <c r="AC88" s="53"/>
      <c r="AD88" s="53"/>
      <c r="AE88" s="53"/>
      <c r="AF88" s="53"/>
      <c r="AG88" s="53"/>
      <c r="AH88" s="52"/>
      <c r="AI88" s="53"/>
      <c r="AJ88" s="53"/>
      <c r="AK88" s="52"/>
      <c r="AL88" s="53"/>
      <c r="AM88" s="52"/>
      <c r="AN88" s="53"/>
      <c r="AO88" s="53"/>
      <c r="AP88" s="53"/>
      <c r="AQ88" s="64"/>
      <c r="AS88" s="273"/>
      <c r="AT88" s="273"/>
      <c r="AU88" s="273"/>
      <c r="AV88" s="273"/>
      <c r="AW88" s="273"/>
      <c r="AY88" s="307" t="s">
        <v>145</v>
      </c>
      <c r="BA88" s="49"/>
      <c r="BB88" s="49"/>
      <c r="BC88" s="49"/>
      <c r="BD88" s="49"/>
      <c r="BE88" s="62"/>
      <c r="BF88" s="49"/>
      <c r="BG88" s="49"/>
      <c r="BH88" s="49"/>
      <c r="BI88" s="62"/>
      <c r="BJ88" s="49"/>
      <c r="BK88" s="49"/>
      <c r="BL88" s="49"/>
      <c r="BM88" s="62"/>
      <c r="BN88" s="49"/>
      <c r="BO88" s="49"/>
      <c r="BP88" s="63"/>
      <c r="BQ88" s="49"/>
      <c r="BR88" s="49"/>
      <c r="BS88" s="49"/>
      <c r="BT88" s="63"/>
      <c r="BU88" s="49"/>
      <c r="BV88" s="49"/>
      <c r="BW88" s="49"/>
      <c r="BX88" s="63"/>
      <c r="BY88" s="62"/>
      <c r="BZ88" s="49"/>
      <c r="CA88" s="49"/>
      <c r="CB88" s="63"/>
      <c r="CC88" s="62"/>
      <c r="CD88" s="49"/>
      <c r="CE88" s="49"/>
      <c r="CF88" s="63"/>
      <c r="CG88" s="357"/>
      <c r="CH88" s="357"/>
      <c r="CI88" s="357"/>
      <c r="CJ88" s="63"/>
      <c r="CK88" s="357"/>
      <c r="CL88" s="357"/>
      <c r="CM88" s="357"/>
      <c r="CN88" s="63"/>
      <c r="CO88" s="357"/>
      <c r="CP88" s="357"/>
      <c r="CQ88" s="357"/>
      <c r="CR88" s="63"/>
      <c r="CS88" s="357"/>
      <c r="CT88" s="357"/>
      <c r="CU88" s="357"/>
      <c r="CV88" s="63"/>
      <c r="CW88" s="357"/>
      <c r="CX88" s="357"/>
      <c r="CY88" s="357"/>
      <c r="CZ88" s="63"/>
      <c r="DR88" s="358"/>
      <c r="DU88" s="359"/>
      <c r="DV88" s="358"/>
      <c r="DY88" s="359"/>
      <c r="DZ88" s="358"/>
      <c r="EC88" s="359"/>
      <c r="ED88" s="358"/>
      <c r="EG88" s="359"/>
      <c r="EH88" s="358"/>
      <c r="EK88" s="359"/>
      <c r="EL88" s="358"/>
      <c r="EO88" s="359"/>
      <c r="ES88" s="359"/>
      <c r="EW88" s="359"/>
    </row>
    <row r="89" spans="1:153" s="70" customFormat="1">
      <c r="B89" s="114" t="s">
        <v>173</v>
      </c>
      <c r="H89" s="49"/>
      <c r="I89" s="49"/>
      <c r="J89" s="49"/>
      <c r="K89" s="49"/>
      <c r="L89" s="188">
        <v>0.65</v>
      </c>
      <c r="M89" s="188">
        <v>0.66</v>
      </c>
      <c r="N89" s="188">
        <v>0.67</v>
      </c>
      <c r="O89" s="188">
        <v>0.67</v>
      </c>
      <c r="P89" s="188">
        <v>0.68</v>
      </c>
      <c r="Q89" s="188">
        <v>0.6875</v>
      </c>
      <c r="R89" s="188">
        <v>0.69</v>
      </c>
      <c r="S89" s="188">
        <v>0.67</v>
      </c>
      <c r="T89" s="188">
        <v>0.69</v>
      </c>
      <c r="U89" s="188">
        <v>0.7</v>
      </c>
      <c r="V89" s="188">
        <v>0.67</v>
      </c>
      <c r="W89" s="188">
        <f t="shared" ref="W89:Y91" si="147">W80/W$85</f>
        <v>0.66972484732618809</v>
      </c>
      <c r="X89" s="188">
        <f t="shared" si="147"/>
        <v>0.66006535433590652</v>
      </c>
      <c r="Y89" s="189">
        <f t="shared" si="147"/>
        <v>0.65371857208267659</v>
      </c>
      <c r="AA89" s="52"/>
      <c r="AB89" s="53"/>
      <c r="AC89" s="53"/>
      <c r="AD89" s="53"/>
      <c r="AE89" s="53"/>
      <c r="AF89" s="53"/>
      <c r="AG89" s="53"/>
      <c r="AH89" s="52"/>
      <c r="AI89" s="53"/>
      <c r="AJ89" s="53"/>
      <c r="AK89" s="52"/>
      <c r="AL89" s="53"/>
      <c r="AM89" s="52"/>
      <c r="AN89" s="53"/>
      <c r="AO89" s="53"/>
      <c r="AP89" s="53"/>
      <c r="AQ89" s="64"/>
      <c r="AS89" s="273"/>
      <c r="AT89" s="273"/>
      <c r="AU89" s="273"/>
      <c r="AV89" s="273"/>
      <c r="AW89" s="273"/>
      <c r="AY89" s="307" t="s">
        <v>173</v>
      </c>
      <c r="BA89" s="188"/>
      <c r="BB89" s="188"/>
      <c r="BC89" s="188"/>
      <c r="BD89" s="188"/>
      <c r="BE89" s="187">
        <v>0.64</v>
      </c>
      <c r="BF89" s="188">
        <v>0.67</v>
      </c>
      <c r="BG89" s="188">
        <v>0.66</v>
      </c>
      <c r="BH89" s="188">
        <f>BH80/BH$72</f>
        <v>0.62505257707321016</v>
      </c>
      <c r="BI89" s="187">
        <v>0.65</v>
      </c>
      <c r="BJ89" s="188">
        <v>0.67</v>
      </c>
      <c r="BK89" s="188">
        <v>0.67</v>
      </c>
      <c r="BL89" s="188">
        <f>BL80/BL$72</f>
        <v>0.64501277896172327</v>
      </c>
      <c r="BM89" s="187">
        <v>0.65</v>
      </c>
      <c r="BN89" s="188">
        <v>0.67</v>
      </c>
      <c r="BO89" s="188">
        <v>0.68</v>
      </c>
      <c r="BP89" s="189">
        <f>BP80/BP$72</f>
        <v>0.663674857027309</v>
      </c>
      <c r="BQ89" s="188">
        <v>0.66</v>
      </c>
      <c r="BR89" s="188">
        <v>0.68</v>
      </c>
      <c r="BS89" s="188">
        <v>0.68</v>
      </c>
      <c r="BT89" s="189">
        <v>0.66</v>
      </c>
      <c r="BU89" s="188">
        <v>0.67</v>
      </c>
      <c r="BV89" s="188">
        <f>1-SUM(BV90:BV91)</f>
        <v>0.69</v>
      </c>
      <c r="BW89" s="188">
        <f>1-SUM(BW90:BW91)</f>
        <v>0.69</v>
      </c>
      <c r="BX89" s="189">
        <v>0.67</v>
      </c>
      <c r="BY89" s="187">
        <v>0.66</v>
      </c>
      <c r="BZ89" s="188">
        <v>0.7</v>
      </c>
      <c r="CA89" s="188">
        <v>0.7</v>
      </c>
      <c r="CB89" s="189">
        <f>CB80/CB$72</f>
        <v>0.67985794342505024</v>
      </c>
      <c r="CC89" s="187">
        <v>0.67</v>
      </c>
      <c r="CD89" s="188">
        <v>0.71</v>
      </c>
      <c r="CE89" s="188">
        <v>0.69</v>
      </c>
      <c r="CF89" s="189">
        <v>0.68</v>
      </c>
      <c r="CG89" s="188">
        <v>0.67</v>
      </c>
      <c r="CH89" s="188">
        <v>0.7</v>
      </c>
      <c r="CI89" s="188">
        <v>0.69</v>
      </c>
      <c r="CJ89" s="189">
        <v>0.67</v>
      </c>
      <c r="CK89" s="188">
        <v>0.68</v>
      </c>
      <c r="CL89" s="188">
        <v>0.69</v>
      </c>
      <c r="CM89" s="188">
        <v>0.7</v>
      </c>
      <c r="CN89" s="189">
        <v>0.69</v>
      </c>
      <c r="CO89" s="190">
        <v>0.67</v>
      </c>
      <c r="CP89" s="191">
        <v>0.7</v>
      </c>
      <c r="CQ89" s="191">
        <v>0.71</v>
      </c>
      <c r="CR89" s="189">
        <v>0.69</v>
      </c>
      <c r="CS89" s="191">
        <v>0.67</v>
      </c>
      <c r="CT89" s="191">
        <v>0.68</v>
      </c>
      <c r="CU89" s="191">
        <v>0.67</v>
      </c>
      <c r="CV89" s="189">
        <v>0.67</v>
      </c>
      <c r="CW89" s="191">
        <f t="shared" ref="CW89:CZ90" si="148">CW80/CW$72</f>
        <v>0.70858013117594287</v>
      </c>
      <c r="CX89" s="191">
        <f t="shared" si="148"/>
        <v>0.71900976000563643</v>
      </c>
      <c r="CY89" s="191">
        <f t="shared" si="148"/>
        <v>0.70152941176470596</v>
      </c>
      <c r="CZ89" s="189">
        <f t="shared" si="148"/>
        <v>0.53063714389144123</v>
      </c>
      <c r="DR89" s="358"/>
      <c r="DU89" s="359"/>
      <c r="DV89" s="358"/>
      <c r="DY89" s="359"/>
      <c r="DZ89" s="358"/>
      <c r="EC89" s="359"/>
      <c r="ED89" s="358"/>
      <c r="EG89" s="359"/>
      <c r="EH89" s="358"/>
      <c r="EK89" s="359"/>
      <c r="EL89" s="358"/>
      <c r="EO89" s="359"/>
      <c r="ES89" s="359"/>
      <c r="EW89" s="359"/>
    </row>
    <row r="90" spans="1:153" s="70" customFormat="1">
      <c r="B90" s="114" t="s">
        <v>174</v>
      </c>
      <c r="H90" s="49"/>
      <c r="I90" s="49"/>
      <c r="J90" s="49"/>
      <c r="K90" s="49"/>
      <c r="L90" s="188">
        <v>0.3</v>
      </c>
      <c r="M90" s="188">
        <v>0.28999999999999998</v>
      </c>
      <c r="N90" s="188">
        <v>0.28000000000000003</v>
      </c>
      <c r="O90" s="188">
        <v>0.28999999999999998</v>
      </c>
      <c r="P90" s="188">
        <v>0.28000000000000003</v>
      </c>
      <c r="Q90" s="188">
        <v>0.28249999999999997</v>
      </c>
      <c r="R90" s="188">
        <v>0.27</v>
      </c>
      <c r="S90" s="188">
        <v>0.28999999999999998</v>
      </c>
      <c r="T90" s="188">
        <v>0.27</v>
      </c>
      <c r="U90" s="188">
        <v>0.26</v>
      </c>
      <c r="V90" s="188">
        <v>0.28999999999999998</v>
      </c>
      <c r="W90" s="188">
        <f t="shared" si="147"/>
        <v>0.29275101202761405</v>
      </c>
      <c r="X90" s="188">
        <f t="shared" si="147"/>
        <v>0.29134355523901972</v>
      </c>
      <c r="Y90" s="189">
        <f t="shared" si="147"/>
        <v>0.28854217490018297</v>
      </c>
      <c r="AA90" s="52"/>
      <c r="AB90" s="53"/>
      <c r="AC90" s="53"/>
      <c r="AD90" s="53"/>
      <c r="AE90" s="53"/>
      <c r="AF90" s="53"/>
      <c r="AG90" s="53"/>
      <c r="AH90" s="52"/>
      <c r="AI90" s="53"/>
      <c r="AJ90" s="53"/>
      <c r="AK90" s="52"/>
      <c r="AL90" s="53"/>
      <c r="AM90" s="52"/>
      <c r="AN90" s="53"/>
      <c r="AO90" s="53"/>
      <c r="AP90" s="53"/>
      <c r="AQ90" s="64"/>
      <c r="AS90" s="273"/>
      <c r="AT90" s="273"/>
      <c r="AU90" s="273"/>
      <c r="AV90" s="273"/>
      <c r="AW90" s="273"/>
      <c r="AY90" s="307" t="s">
        <v>174</v>
      </c>
      <c r="BA90" s="188"/>
      <c r="BB90" s="188"/>
      <c r="BC90" s="188"/>
      <c r="BD90" s="188"/>
      <c r="BE90" s="187">
        <v>0.31</v>
      </c>
      <c r="BF90" s="188">
        <v>0.28999999999999998</v>
      </c>
      <c r="BG90" s="188">
        <v>0.28999999999999998</v>
      </c>
      <c r="BH90" s="188">
        <f>BH81/BH$72</f>
        <v>0.32068172061570088</v>
      </c>
      <c r="BI90" s="187">
        <v>0.3</v>
      </c>
      <c r="BJ90" s="188">
        <v>0.28000000000000003</v>
      </c>
      <c r="BK90" s="188">
        <v>0.28000000000000003</v>
      </c>
      <c r="BL90" s="188">
        <f>BL81/BL$72</f>
        <v>0.30873580769058123</v>
      </c>
      <c r="BM90" s="187">
        <v>0.3</v>
      </c>
      <c r="BN90" s="188">
        <v>0.28000000000000003</v>
      </c>
      <c r="BO90" s="188">
        <v>0.27</v>
      </c>
      <c r="BP90" s="189">
        <f>BP81/BP$72</f>
        <v>0.26974155514883208</v>
      </c>
      <c r="BQ90" s="188">
        <v>0.28999999999999998</v>
      </c>
      <c r="BR90" s="188">
        <v>0.28000000000000003</v>
      </c>
      <c r="BS90" s="188">
        <v>0.28000000000000003</v>
      </c>
      <c r="BT90" s="189">
        <v>0.3</v>
      </c>
      <c r="BU90" s="187">
        <v>0.28999999999999998</v>
      </c>
      <c r="BV90" s="188">
        <v>0.28000000000000003</v>
      </c>
      <c r="BW90" s="188">
        <v>0.27</v>
      </c>
      <c r="BX90" s="189">
        <v>0.28999999999999998</v>
      </c>
      <c r="BY90" s="187">
        <v>0.3</v>
      </c>
      <c r="BZ90" s="188">
        <v>0.27</v>
      </c>
      <c r="CA90" s="188">
        <v>0.27</v>
      </c>
      <c r="CB90" s="189">
        <f>CB81/CB$72</f>
        <v>0.29835603299859004</v>
      </c>
      <c r="CC90" s="187">
        <v>0.28999999999999998</v>
      </c>
      <c r="CD90" s="188">
        <v>0.26</v>
      </c>
      <c r="CE90" s="188">
        <v>0.27</v>
      </c>
      <c r="CF90" s="189">
        <v>0.28000000000000003</v>
      </c>
      <c r="CG90" s="188">
        <v>0.28999999999999998</v>
      </c>
      <c r="CH90" s="188">
        <v>0.26</v>
      </c>
      <c r="CI90" s="188">
        <v>0.27</v>
      </c>
      <c r="CJ90" s="189">
        <v>0.28999999999999998</v>
      </c>
      <c r="CK90" s="188">
        <v>0.28000000000000003</v>
      </c>
      <c r="CL90" s="188">
        <v>0.27</v>
      </c>
      <c r="CM90" s="188">
        <v>0.26</v>
      </c>
      <c r="CN90" s="189">
        <v>0.27</v>
      </c>
      <c r="CO90" s="190">
        <v>0.28999999999999998</v>
      </c>
      <c r="CP90" s="191">
        <v>0.26</v>
      </c>
      <c r="CQ90" s="191">
        <v>0.25</v>
      </c>
      <c r="CR90" s="189">
        <v>0.27</v>
      </c>
      <c r="CS90" s="191">
        <v>0.28999999999999998</v>
      </c>
      <c r="CT90" s="191">
        <v>0.28000000000000003</v>
      </c>
      <c r="CU90" s="191">
        <v>0.28999999999999998</v>
      </c>
      <c r="CV90" s="189">
        <v>0.28999999999999998</v>
      </c>
      <c r="CW90" s="191">
        <f>CW81/CW$72</f>
        <v>0.32221281300352128</v>
      </c>
      <c r="CX90" s="191">
        <f>CX81/CX$72</f>
        <v>0.27998452320113731</v>
      </c>
      <c r="CY90" s="191">
        <f>CY81/CY$72</f>
        <v>0.28715686274509805</v>
      </c>
      <c r="CZ90" s="189">
        <f t="shared" si="148"/>
        <v>0.28946840294017689</v>
      </c>
      <c r="DR90" s="358"/>
      <c r="DU90" s="359"/>
      <c r="DV90" s="358"/>
      <c r="DY90" s="359"/>
      <c r="DZ90" s="358"/>
      <c r="EC90" s="359"/>
      <c r="ED90" s="358"/>
      <c r="EG90" s="359"/>
      <c r="EH90" s="358"/>
      <c r="EK90" s="359"/>
      <c r="EL90" s="358"/>
      <c r="EO90" s="359"/>
      <c r="ES90" s="359"/>
      <c r="EW90" s="359"/>
    </row>
    <row r="91" spans="1:153" s="70" customFormat="1">
      <c r="B91" s="250" t="s">
        <v>175</v>
      </c>
      <c r="C91" s="360"/>
      <c r="D91" s="360"/>
      <c r="E91" s="360"/>
      <c r="F91" s="360"/>
      <c r="G91" s="360"/>
      <c r="H91" s="361"/>
      <c r="I91" s="361"/>
      <c r="J91" s="361"/>
      <c r="K91" s="361"/>
      <c r="L91" s="362">
        <v>0.05</v>
      </c>
      <c r="M91" s="362">
        <v>0.05</v>
      </c>
      <c r="N91" s="362">
        <v>0.05</v>
      </c>
      <c r="O91" s="362">
        <v>0.04</v>
      </c>
      <c r="P91" s="362">
        <v>0.04</v>
      </c>
      <c r="Q91" s="362">
        <v>0.03</v>
      </c>
      <c r="R91" s="362">
        <f>1-R89-R90</f>
        <v>4.0000000000000036E-2</v>
      </c>
      <c r="S91" s="362">
        <f>1-S89-S90</f>
        <v>3.999999999999998E-2</v>
      </c>
      <c r="T91" s="362">
        <f>1-T89-T90</f>
        <v>4.0000000000000036E-2</v>
      </c>
      <c r="U91" s="362">
        <f>1-U89-U90</f>
        <v>4.0000000000000036E-2</v>
      </c>
      <c r="V91" s="362">
        <f>1-V89-V90</f>
        <v>3.999999999999998E-2</v>
      </c>
      <c r="W91" s="362">
        <f t="shared" si="147"/>
        <v>3.7524140646197864E-2</v>
      </c>
      <c r="X91" s="362">
        <f t="shared" si="147"/>
        <v>4.8591090425073799E-2</v>
      </c>
      <c r="Y91" s="363">
        <f t="shared" si="147"/>
        <v>5.7739253017140411E-2</v>
      </c>
      <c r="AA91" s="255"/>
      <c r="AB91" s="103"/>
      <c r="AC91" s="103"/>
      <c r="AD91" s="103"/>
      <c r="AE91" s="103"/>
      <c r="AF91" s="103"/>
      <c r="AG91" s="103"/>
      <c r="AH91" s="255"/>
      <c r="AI91" s="103"/>
      <c r="AJ91" s="103"/>
      <c r="AK91" s="255"/>
      <c r="AL91" s="103"/>
      <c r="AM91" s="255"/>
      <c r="AN91" s="103"/>
      <c r="AO91" s="103"/>
      <c r="AP91" s="103"/>
      <c r="AQ91" s="104"/>
      <c r="AS91" s="273"/>
      <c r="AT91" s="273"/>
      <c r="AU91" s="273"/>
      <c r="AV91" s="273"/>
      <c r="AW91" s="273"/>
      <c r="AY91" s="364" t="s">
        <v>175</v>
      </c>
      <c r="AZ91" s="360"/>
      <c r="BA91" s="362"/>
      <c r="BB91" s="362"/>
      <c r="BC91" s="362"/>
      <c r="BD91" s="362"/>
      <c r="BE91" s="365">
        <v>0.05</v>
      </c>
      <c r="BF91" s="362">
        <v>0.04</v>
      </c>
      <c r="BG91" s="362">
        <v>0.05</v>
      </c>
      <c r="BH91" s="362">
        <f>BH82/BH$72</f>
        <v>6.4080753162148077E-2</v>
      </c>
      <c r="BI91" s="365">
        <v>0.05</v>
      </c>
      <c r="BJ91" s="362">
        <v>0.05</v>
      </c>
      <c r="BK91" s="362">
        <v>0.05</v>
      </c>
      <c r="BL91" s="362">
        <f>BL82/BL$72</f>
        <v>5.0197294034331846E-2</v>
      </c>
      <c r="BM91" s="365">
        <v>0.05</v>
      </c>
      <c r="BN91" s="362">
        <v>0.05</v>
      </c>
      <c r="BO91" s="362">
        <v>0.05</v>
      </c>
      <c r="BP91" s="362">
        <f>BP82/BP$72</f>
        <v>4.912717958821796E-2</v>
      </c>
      <c r="BQ91" s="365">
        <v>0.05</v>
      </c>
      <c r="BR91" s="362">
        <v>0.04</v>
      </c>
      <c r="BS91" s="362">
        <v>0.04</v>
      </c>
      <c r="BT91" s="363">
        <v>0.04</v>
      </c>
      <c r="BU91" s="365">
        <v>0.04</v>
      </c>
      <c r="BV91" s="362">
        <v>0.03</v>
      </c>
      <c r="BW91" s="362">
        <v>0.04</v>
      </c>
      <c r="BX91" s="363">
        <v>0.04</v>
      </c>
      <c r="BY91" s="365">
        <v>0.04</v>
      </c>
      <c r="BZ91" s="362">
        <f>1-BZ89-BZ90</f>
        <v>3.0000000000000027E-2</v>
      </c>
      <c r="CA91" s="362">
        <f>1-CA89-CA90</f>
        <v>3.0000000000000027E-2</v>
      </c>
      <c r="CB91" s="363">
        <f>1-CB89-CB90</f>
        <v>2.1786023576359725E-2</v>
      </c>
      <c r="CC91" s="365">
        <v>0.04</v>
      </c>
      <c r="CD91" s="362">
        <v>0.03</v>
      </c>
      <c r="CE91" s="362">
        <v>0.04</v>
      </c>
      <c r="CF91" s="363">
        <f t="shared" ref="CF91:CN91" si="149">1-CF89-CF90</f>
        <v>3.9999999999999925E-2</v>
      </c>
      <c r="CG91" s="362">
        <f t="shared" si="149"/>
        <v>3.999999999999998E-2</v>
      </c>
      <c r="CH91" s="362">
        <f t="shared" si="149"/>
        <v>4.0000000000000036E-2</v>
      </c>
      <c r="CI91" s="362">
        <f t="shared" si="149"/>
        <v>4.0000000000000036E-2</v>
      </c>
      <c r="CJ91" s="363">
        <f t="shared" si="149"/>
        <v>3.999999999999998E-2</v>
      </c>
      <c r="CK91" s="362">
        <f t="shared" si="149"/>
        <v>3.9999999999999925E-2</v>
      </c>
      <c r="CL91" s="362">
        <f t="shared" si="149"/>
        <v>4.0000000000000036E-2</v>
      </c>
      <c r="CM91" s="362">
        <f t="shared" si="149"/>
        <v>4.0000000000000036E-2</v>
      </c>
      <c r="CN91" s="363">
        <f t="shared" si="149"/>
        <v>4.0000000000000036E-2</v>
      </c>
      <c r="CO91" s="366">
        <v>0.04</v>
      </c>
      <c r="CP91" s="367">
        <v>0.04</v>
      </c>
      <c r="CQ91" s="367">
        <v>0.04</v>
      </c>
      <c r="CR91" s="363">
        <f>1-CR89-CR90</f>
        <v>4.0000000000000036E-2</v>
      </c>
      <c r="CS91" s="367">
        <v>0.04</v>
      </c>
      <c r="CT91" s="367">
        <v>0.04</v>
      </c>
      <c r="CU91" s="367">
        <v>0.04</v>
      </c>
      <c r="CV91" s="363">
        <v>0.04</v>
      </c>
      <c r="CW91" s="367">
        <f t="shared" ref="CW91:CZ91" si="150">1-CW89-CW90</f>
        <v>-3.0792944179464155E-2</v>
      </c>
      <c r="CX91" s="367">
        <f t="shared" si="150"/>
        <v>1.0057167932262523E-3</v>
      </c>
      <c r="CY91" s="367">
        <f t="shared" si="150"/>
        <v>1.1313725490195992E-2</v>
      </c>
      <c r="CZ91" s="363">
        <f t="shared" si="150"/>
        <v>0.17989445316838187</v>
      </c>
      <c r="DR91" s="368"/>
      <c r="DS91" s="360"/>
      <c r="DT91" s="360"/>
      <c r="DU91" s="369"/>
      <c r="DV91" s="368"/>
      <c r="DW91" s="360"/>
      <c r="DX91" s="360"/>
      <c r="DY91" s="369"/>
      <c r="DZ91" s="368"/>
      <c r="EA91" s="360"/>
      <c r="EB91" s="360"/>
      <c r="EC91" s="369"/>
      <c r="ED91" s="368"/>
      <c r="EE91" s="360"/>
      <c r="EF91" s="360"/>
      <c r="EG91" s="369"/>
      <c r="EH91" s="368"/>
      <c r="EI91" s="360"/>
      <c r="EJ91" s="360"/>
      <c r="EK91" s="369"/>
      <c r="EL91" s="368"/>
      <c r="EM91" s="360"/>
      <c r="EN91" s="360"/>
      <c r="EO91" s="369"/>
      <c r="EP91" s="360"/>
      <c r="EQ91" s="360"/>
      <c r="ER91" s="360"/>
      <c r="ES91" s="369"/>
      <c r="ET91" s="360"/>
      <c r="EU91" s="360"/>
      <c r="EV91" s="360"/>
      <c r="EW91" s="369"/>
    </row>
    <row r="92" spans="1:153" s="70" customFormat="1">
      <c r="B92" s="370"/>
      <c r="H92" s="273"/>
      <c r="I92" s="273"/>
      <c r="J92" s="273"/>
      <c r="K92" s="273"/>
      <c r="L92" s="273"/>
      <c r="M92" s="273"/>
      <c r="N92" s="273"/>
      <c r="O92" s="273"/>
      <c r="P92" s="273"/>
      <c r="Q92" s="273"/>
      <c r="R92" s="273"/>
      <c r="S92" s="273"/>
      <c r="T92" s="273"/>
      <c r="U92" s="273"/>
      <c r="V92" s="273"/>
      <c r="W92" s="273"/>
      <c r="X92" s="273"/>
      <c r="Y92" s="273"/>
      <c r="AC92" s="273"/>
      <c r="AD92" s="273"/>
      <c r="AE92" s="273"/>
      <c r="AF92" s="273"/>
      <c r="AG92" s="273"/>
      <c r="AH92" s="273"/>
      <c r="AI92" s="273"/>
      <c r="AJ92" s="273"/>
      <c r="AK92" s="273"/>
      <c r="AL92" s="273"/>
      <c r="AM92" s="273"/>
      <c r="AN92" s="273"/>
      <c r="AO92" s="273"/>
      <c r="AP92" s="273"/>
      <c r="AQ92" s="273"/>
      <c r="AS92" s="273"/>
      <c r="AT92" s="273"/>
      <c r="AU92" s="273"/>
      <c r="AV92" s="273"/>
      <c r="AW92" s="273"/>
      <c r="AY92" s="370"/>
      <c r="BA92" s="273"/>
      <c r="BB92" s="273"/>
      <c r="BC92" s="273"/>
      <c r="BD92" s="273"/>
      <c r="BE92" s="273"/>
      <c r="BF92" s="273"/>
      <c r="BG92" s="273"/>
      <c r="BH92" s="273"/>
      <c r="BI92" s="273"/>
      <c r="BJ92" s="273"/>
      <c r="BK92" s="273"/>
      <c r="BL92" s="273"/>
      <c r="BM92" s="273"/>
      <c r="BN92" s="273"/>
      <c r="BO92" s="273"/>
      <c r="BP92" s="273"/>
      <c r="BQ92" s="273"/>
      <c r="BR92" s="188"/>
      <c r="BS92" s="273"/>
      <c r="BT92" s="273"/>
      <c r="BU92" s="273"/>
      <c r="BV92" s="273"/>
      <c r="BW92" s="273"/>
      <c r="BX92" s="273"/>
      <c r="BY92" s="273"/>
      <c r="BZ92" s="273"/>
      <c r="CA92" s="273"/>
      <c r="CB92" s="273"/>
      <c r="CC92" s="273"/>
      <c r="CD92" s="273"/>
      <c r="CE92" s="273"/>
      <c r="CF92" s="273"/>
      <c r="CG92" s="273"/>
      <c r="CH92" s="273"/>
      <c r="CI92" s="273"/>
      <c r="CJ92" s="273"/>
      <c r="CK92" s="273"/>
      <c r="CL92" s="273"/>
      <c r="CM92" s="273"/>
      <c r="CN92" s="273"/>
      <c r="CO92" s="273"/>
      <c r="CP92" s="273"/>
      <c r="CQ92" s="273"/>
      <c r="CR92" s="273"/>
      <c r="CS92" s="273"/>
      <c r="CT92" s="273"/>
      <c r="CU92" s="273"/>
      <c r="CV92" s="273"/>
      <c r="CW92" s="273"/>
      <c r="CX92" s="273"/>
      <c r="CY92" s="273"/>
      <c r="CZ92" s="273"/>
    </row>
    <row r="93" spans="1:153" ht="13.15" hidden="1" outlineLevel="1">
      <c r="A93" s="371"/>
      <c r="B93" s="372" t="s">
        <v>178</v>
      </c>
      <c r="H93" s="53"/>
      <c r="I93" s="53"/>
      <c r="J93" s="53"/>
      <c r="K93" s="53"/>
      <c r="L93" s="53"/>
      <c r="M93" s="53"/>
      <c r="N93" s="53"/>
      <c r="O93" s="53"/>
      <c r="P93" s="53"/>
      <c r="Q93" s="53"/>
      <c r="R93" s="53"/>
      <c r="S93" s="53"/>
      <c r="T93" s="53"/>
      <c r="U93" s="53"/>
      <c r="V93" s="53"/>
      <c r="W93" s="53"/>
      <c r="X93" s="53"/>
      <c r="Y93" s="53"/>
      <c r="AA93" s="53"/>
      <c r="AB93" s="53"/>
      <c r="AC93" s="53"/>
      <c r="AD93" s="53"/>
      <c r="AE93" s="53"/>
      <c r="AF93" s="53"/>
      <c r="AG93" s="53"/>
      <c r="AH93" s="53"/>
      <c r="AI93" s="53"/>
      <c r="AJ93" s="53"/>
      <c r="AK93" s="53"/>
      <c r="AL93" s="53"/>
      <c r="AM93" s="53"/>
      <c r="AN93" s="53"/>
      <c r="AO93" s="53"/>
      <c r="AP93" s="53"/>
      <c r="AQ93" s="53"/>
      <c r="AR93" s="7"/>
      <c r="AS93" s="275"/>
      <c r="AY93" s="372" t="s">
        <v>178</v>
      </c>
      <c r="BA93" s="275"/>
      <c r="BB93" s="275"/>
      <c r="BC93" s="275"/>
      <c r="BD93" s="275"/>
      <c r="BM93" s="53"/>
      <c r="BN93" s="53"/>
      <c r="BO93" s="53"/>
      <c r="BP93" s="53"/>
      <c r="BQ93" s="53"/>
      <c r="BR93" s="53"/>
      <c r="BS93" s="53"/>
      <c r="BT93" s="53"/>
      <c r="BU93" s="127"/>
      <c r="BV93" s="127"/>
      <c r="BW93" s="127"/>
      <c r="BX93" s="127"/>
      <c r="BY93" s="127"/>
      <c r="BZ93" s="127"/>
      <c r="CA93" s="127"/>
      <c r="CB93" s="127"/>
      <c r="CC93" s="127"/>
      <c r="CD93" s="127"/>
      <c r="CE93" s="127"/>
      <c r="CF93" s="127"/>
      <c r="CG93" s="127"/>
      <c r="CH93" s="127"/>
      <c r="CI93" s="127"/>
      <c r="CJ93" s="127"/>
      <c r="CK93" s="127"/>
      <c r="CL93" s="127"/>
      <c r="CM93" s="127"/>
      <c r="CN93" s="127"/>
      <c r="CO93" s="127"/>
      <c r="CP93" s="127"/>
      <c r="CQ93" s="127"/>
      <c r="CR93" s="127"/>
      <c r="CS93" s="127"/>
      <c r="CT93" s="127"/>
      <c r="CU93" s="127"/>
      <c r="CV93" s="127"/>
      <c r="CW93" s="127"/>
      <c r="CX93" s="127"/>
      <c r="CY93" s="127"/>
      <c r="CZ93" s="127"/>
    </row>
    <row r="94" spans="1:153" hidden="1" outlineLevel="1">
      <c r="A94" s="371"/>
      <c r="B94" s="264" t="s">
        <v>179</v>
      </c>
      <c r="H94" s="53">
        <v>505</v>
      </c>
      <c r="I94" s="53">
        <f t="shared" ref="I94:Y94" si="151">H98</f>
        <v>542</v>
      </c>
      <c r="J94" s="53">
        <f t="shared" si="151"/>
        <v>573</v>
      </c>
      <c r="K94" s="53">
        <f t="shared" si="151"/>
        <v>569</v>
      </c>
      <c r="L94" s="53">
        <f t="shared" si="151"/>
        <v>572</v>
      </c>
      <c r="M94" s="53">
        <f t="shared" si="151"/>
        <v>566</v>
      </c>
      <c r="N94" s="53">
        <f t="shared" si="151"/>
        <v>565</v>
      </c>
      <c r="O94" s="53">
        <f t="shared" si="151"/>
        <v>560</v>
      </c>
      <c r="P94" s="53">
        <f t="shared" si="151"/>
        <v>571</v>
      </c>
      <c r="Q94" s="53">
        <f t="shared" si="151"/>
        <v>606</v>
      </c>
      <c r="R94" s="53">
        <f t="shared" si="151"/>
        <v>600</v>
      </c>
      <c r="S94" s="53">
        <f t="shared" si="151"/>
        <v>632</v>
      </c>
      <c r="T94" s="53">
        <f t="shared" si="151"/>
        <v>632</v>
      </c>
      <c r="U94" s="53">
        <f t="shared" si="151"/>
        <v>632</v>
      </c>
      <c r="V94" s="53">
        <f t="shared" si="151"/>
        <v>632</v>
      </c>
      <c r="W94" s="53">
        <f t="shared" si="151"/>
        <v>632</v>
      </c>
      <c r="X94" s="53">
        <f t="shared" si="151"/>
        <v>632</v>
      </c>
      <c r="Y94" s="53">
        <f t="shared" si="151"/>
        <v>632</v>
      </c>
      <c r="AA94" s="53"/>
      <c r="AB94" s="53"/>
      <c r="AC94" s="53"/>
      <c r="AD94" s="53"/>
      <c r="AE94" s="53"/>
      <c r="AF94" s="53"/>
      <c r="AG94" s="53"/>
      <c r="AH94" s="53"/>
      <c r="AI94" s="53"/>
      <c r="AJ94" s="53"/>
      <c r="AK94" s="53"/>
      <c r="AL94" s="53"/>
      <c r="AM94" s="53"/>
      <c r="AN94" s="53"/>
      <c r="AO94" s="53"/>
      <c r="AP94" s="53"/>
      <c r="AQ94" s="53"/>
      <c r="AR94" s="7"/>
      <c r="AS94" s="275"/>
      <c r="AY94" s="264" t="s">
        <v>179</v>
      </c>
      <c r="BA94" s="275"/>
      <c r="BB94" s="275"/>
      <c r="BC94" s="275"/>
      <c r="BD94" s="275"/>
      <c r="BM94" s="53"/>
      <c r="BN94" s="53"/>
      <c r="BO94" s="53"/>
      <c r="BP94" s="53"/>
      <c r="BQ94" s="53"/>
      <c r="BR94" s="53"/>
      <c r="BS94" s="53"/>
      <c r="BT94" s="53"/>
      <c r="BU94" s="127"/>
      <c r="BV94" s="127"/>
      <c r="BW94" s="127"/>
      <c r="BX94" s="127"/>
      <c r="BY94" s="127">
        <f>BX98</f>
        <v>606</v>
      </c>
      <c r="BZ94" s="127"/>
      <c r="CA94" s="127"/>
      <c r="CB94" s="127"/>
      <c r="CC94" s="127"/>
      <c r="CD94" s="127"/>
      <c r="CE94" s="127"/>
      <c r="CF94" s="127"/>
      <c r="CG94" s="127"/>
      <c r="CH94" s="127"/>
      <c r="CI94" s="127"/>
      <c r="CJ94" s="127"/>
      <c r="CK94" s="127"/>
      <c r="CL94" s="127"/>
      <c r="CM94" s="127"/>
      <c r="CN94" s="127"/>
      <c r="CO94" s="127"/>
      <c r="CP94" s="127"/>
      <c r="CQ94" s="127"/>
      <c r="CR94" s="127"/>
      <c r="CS94" s="127"/>
      <c r="CT94" s="127"/>
      <c r="CU94" s="127"/>
      <c r="CV94" s="127"/>
      <c r="CW94" s="127"/>
      <c r="CX94" s="127"/>
      <c r="CY94" s="127"/>
      <c r="CZ94" s="127"/>
    </row>
    <row r="95" spans="1:153" hidden="1" outlineLevel="1">
      <c r="A95" s="371"/>
      <c r="B95" s="264" t="s">
        <v>180</v>
      </c>
      <c r="H95" s="53">
        <v>35</v>
      </c>
      <c r="I95" s="53">
        <v>35</v>
      </c>
      <c r="J95" s="53">
        <v>0</v>
      </c>
      <c r="K95" s="53">
        <v>0</v>
      </c>
      <c r="L95" s="53">
        <v>0</v>
      </c>
      <c r="M95" s="53">
        <v>0</v>
      </c>
      <c r="N95" s="53">
        <v>0</v>
      </c>
      <c r="O95" s="53">
        <v>3</v>
      </c>
      <c r="P95" s="53">
        <v>33</v>
      </c>
      <c r="Q95" s="53">
        <v>0</v>
      </c>
      <c r="R95" s="118">
        <v>32</v>
      </c>
      <c r="S95" s="53"/>
      <c r="T95" s="53"/>
      <c r="U95" s="53"/>
      <c r="V95" s="53"/>
      <c r="W95" s="53"/>
      <c r="X95" s="53"/>
      <c r="Y95" s="53"/>
      <c r="AA95" s="53"/>
      <c r="AB95" s="53"/>
      <c r="AC95" s="53"/>
      <c r="AD95" s="53"/>
      <c r="AE95" s="53"/>
      <c r="AF95" s="53"/>
      <c r="AG95" s="53"/>
      <c r="AH95" s="53"/>
      <c r="AI95" s="53"/>
      <c r="AJ95" s="53"/>
      <c r="AK95" s="53"/>
      <c r="AL95" s="53"/>
      <c r="AM95" s="53"/>
      <c r="AN95" s="53"/>
      <c r="AO95" s="53"/>
      <c r="AP95" s="53"/>
      <c r="AQ95" s="53"/>
      <c r="AR95" s="7"/>
      <c r="AS95" s="275"/>
      <c r="AY95" s="264" t="s">
        <v>180</v>
      </c>
      <c r="BA95" s="275"/>
      <c r="BB95" s="275"/>
      <c r="BC95" s="275"/>
      <c r="BD95" s="275"/>
      <c r="BM95" s="53"/>
      <c r="BN95" s="53"/>
      <c r="BO95" s="53"/>
      <c r="BP95" s="53"/>
      <c r="BQ95" s="53"/>
      <c r="BR95" s="53"/>
      <c r="BS95" s="53"/>
      <c r="BT95" s="53"/>
      <c r="BU95" s="127"/>
      <c r="BV95" s="127"/>
      <c r="BW95" s="127"/>
      <c r="BX95" s="127"/>
      <c r="BY95" s="127">
        <v>0</v>
      </c>
      <c r="BZ95" s="127"/>
      <c r="CA95" s="127"/>
      <c r="CB95" s="127"/>
      <c r="CC95" s="127"/>
      <c r="CD95" s="127"/>
      <c r="CE95" s="127"/>
      <c r="CF95" s="127"/>
      <c r="CG95" s="127"/>
      <c r="CH95" s="127"/>
      <c r="CI95" s="127"/>
      <c r="CJ95" s="127"/>
      <c r="CK95" s="127"/>
      <c r="CL95" s="127"/>
      <c r="CM95" s="127"/>
      <c r="CN95" s="127"/>
      <c r="CO95" s="127"/>
      <c r="CP95" s="127"/>
      <c r="CQ95" s="127"/>
      <c r="CR95" s="127"/>
      <c r="CS95" s="127"/>
      <c r="CT95" s="127"/>
      <c r="CU95" s="127"/>
      <c r="CV95" s="127"/>
      <c r="CW95" s="127"/>
      <c r="CX95" s="127"/>
      <c r="CY95" s="127"/>
      <c r="CZ95" s="127"/>
    </row>
    <row r="96" spans="1:153" hidden="1" outlineLevel="1">
      <c r="A96" s="371"/>
      <c r="B96" s="264" t="s">
        <v>181</v>
      </c>
      <c r="H96" s="53">
        <v>15</v>
      </c>
      <c r="I96" s="53">
        <v>12</v>
      </c>
      <c r="J96" s="53">
        <v>6</v>
      </c>
      <c r="K96" s="53">
        <v>17</v>
      </c>
      <c r="L96" s="53">
        <v>10</v>
      </c>
      <c r="M96" s="53">
        <v>10</v>
      </c>
      <c r="N96" s="53">
        <v>15</v>
      </c>
      <c r="O96" s="53">
        <v>13</v>
      </c>
      <c r="P96" s="53">
        <v>14</v>
      </c>
      <c r="Q96" s="53">
        <v>3</v>
      </c>
      <c r="R96" s="53"/>
      <c r="S96" s="53"/>
      <c r="T96" s="53"/>
      <c r="U96" s="53"/>
      <c r="V96" s="53"/>
      <c r="W96" s="53"/>
      <c r="X96" s="53"/>
      <c r="Y96" s="53"/>
      <c r="AA96" s="53"/>
      <c r="AB96" s="53"/>
      <c r="AC96" s="53"/>
      <c r="AD96" s="53"/>
      <c r="AE96" s="53"/>
      <c r="AF96" s="53"/>
      <c r="AG96" s="53"/>
      <c r="AH96" s="53"/>
      <c r="AI96" s="53"/>
      <c r="AJ96" s="53"/>
      <c r="AK96" s="53"/>
      <c r="AL96" s="53"/>
      <c r="AM96" s="53"/>
      <c r="AN96" s="53"/>
      <c r="AO96" s="53"/>
      <c r="AP96" s="53"/>
      <c r="AQ96" s="53"/>
      <c r="AR96" s="7"/>
      <c r="AS96" s="275"/>
      <c r="AY96" s="264" t="s">
        <v>181</v>
      </c>
      <c r="BA96" s="275"/>
      <c r="BB96" s="275"/>
      <c r="BC96" s="275"/>
      <c r="BD96" s="275"/>
      <c r="BM96" s="53"/>
      <c r="BN96" s="53"/>
      <c r="BO96" s="53"/>
      <c r="BP96" s="53"/>
      <c r="BQ96" s="53"/>
      <c r="BR96" s="53"/>
      <c r="BS96" s="53"/>
      <c r="BT96" s="53"/>
      <c r="BU96" s="127"/>
      <c r="BV96" s="127"/>
      <c r="BW96" s="127"/>
      <c r="BX96" s="127"/>
      <c r="BY96" s="127">
        <v>1</v>
      </c>
      <c r="BZ96" s="127"/>
      <c r="CA96" s="127"/>
      <c r="CB96" s="127"/>
      <c r="CC96" s="127"/>
      <c r="CD96" s="127"/>
      <c r="CE96" s="127"/>
      <c r="CF96" s="127"/>
      <c r="CG96" s="127"/>
      <c r="CH96" s="127"/>
      <c r="CI96" s="127"/>
      <c r="CJ96" s="127"/>
      <c r="CK96" s="127"/>
      <c r="CL96" s="127"/>
      <c r="CM96" s="127"/>
      <c r="CN96" s="127"/>
      <c r="CO96" s="127"/>
      <c r="CP96" s="127"/>
      <c r="CQ96" s="127"/>
      <c r="CR96" s="127"/>
      <c r="CS96" s="127"/>
      <c r="CT96" s="127"/>
      <c r="CU96" s="127"/>
      <c r="CV96" s="127"/>
      <c r="CW96" s="127"/>
      <c r="CX96" s="127"/>
      <c r="CY96" s="127"/>
      <c r="CZ96" s="127"/>
    </row>
    <row r="97" spans="1:104" hidden="1" outlineLevel="1">
      <c r="A97" s="371"/>
      <c r="B97" s="264" t="s">
        <v>182</v>
      </c>
      <c r="H97" s="53">
        <v>-13</v>
      </c>
      <c r="I97" s="53">
        <v>-16</v>
      </c>
      <c r="J97" s="53">
        <v>-10</v>
      </c>
      <c r="K97" s="53">
        <v>-14</v>
      </c>
      <c r="L97" s="53">
        <v>-16</v>
      </c>
      <c r="M97" s="53">
        <v>-11</v>
      </c>
      <c r="N97" s="53">
        <v>-20</v>
      </c>
      <c r="O97" s="53">
        <v>-5</v>
      </c>
      <c r="P97" s="53">
        <v>-12</v>
      </c>
      <c r="Q97" s="53">
        <v>-9</v>
      </c>
      <c r="R97" s="53"/>
      <c r="S97" s="53"/>
      <c r="T97" s="53"/>
      <c r="U97" s="53"/>
      <c r="V97" s="53"/>
      <c r="W97" s="53"/>
      <c r="X97" s="53"/>
      <c r="Y97" s="53"/>
      <c r="AA97" s="53"/>
      <c r="AB97" s="53"/>
      <c r="AC97" s="53"/>
      <c r="AD97" s="53"/>
      <c r="AE97" s="53"/>
      <c r="AF97" s="53"/>
      <c r="AG97" s="53"/>
      <c r="AH97" s="53"/>
      <c r="AI97" s="53"/>
      <c r="AJ97" s="53"/>
      <c r="AK97" s="53"/>
      <c r="AL97" s="53"/>
      <c r="AM97" s="53"/>
      <c r="AN97" s="53"/>
      <c r="AO97" s="53"/>
      <c r="AP97" s="53"/>
      <c r="AQ97" s="53"/>
      <c r="AR97" s="7"/>
      <c r="AS97" s="275"/>
      <c r="AY97" s="264" t="s">
        <v>182</v>
      </c>
      <c r="BA97" s="275"/>
      <c r="BB97" s="275"/>
      <c r="BC97" s="275"/>
      <c r="BD97" s="275"/>
      <c r="BM97" s="53"/>
      <c r="BN97" s="53"/>
      <c r="BO97" s="53"/>
      <c r="BP97" s="53"/>
      <c r="BQ97" s="53"/>
      <c r="BR97" s="53"/>
      <c r="BS97" s="53"/>
      <c r="BT97" s="53"/>
      <c r="BU97" s="127"/>
      <c r="BV97" s="127"/>
      <c r="BW97" s="127"/>
      <c r="BX97" s="127"/>
      <c r="BY97" s="127">
        <v>-4</v>
      </c>
      <c r="BZ97" s="127"/>
      <c r="CA97" s="127"/>
      <c r="CB97" s="127"/>
      <c r="CC97" s="127"/>
      <c r="CD97" s="127"/>
      <c r="CE97" s="127"/>
      <c r="CF97" s="127"/>
      <c r="CG97" s="127"/>
      <c r="CH97" s="127"/>
      <c r="CI97" s="127"/>
      <c r="CJ97" s="127"/>
      <c r="CK97" s="127"/>
      <c r="CL97" s="127"/>
      <c r="CM97" s="127"/>
      <c r="CN97" s="127"/>
      <c r="CO97" s="127"/>
      <c r="CP97" s="127"/>
      <c r="CQ97" s="127"/>
      <c r="CR97" s="127"/>
      <c r="CS97" s="127"/>
      <c r="CT97" s="127"/>
      <c r="CU97" s="127"/>
      <c r="CV97" s="127"/>
      <c r="CW97" s="127"/>
      <c r="CX97" s="127"/>
      <c r="CY97" s="127"/>
      <c r="CZ97" s="127"/>
    </row>
    <row r="98" spans="1:104" hidden="1" outlineLevel="1">
      <c r="A98" s="371"/>
      <c r="B98" s="264" t="s">
        <v>183</v>
      </c>
      <c r="H98" s="53">
        <f>SUM(H94:H97)</f>
        <v>542</v>
      </c>
      <c r="I98" s="53">
        <f>SUM(I94:I97)</f>
        <v>573</v>
      </c>
      <c r="J98" s="53">
        <f t="shared" ref="J98:Y98" si="152">SUM(J94:J97)</f>
        <v>569</v>
      </c>
      <c r="K98" s="53">
        <f t="shared" si="152"/>
        <v>572</v>
      </c>
      <c r="L98" s="53">
        <f t="shared" si="152"/>
        <v>566</v>
      </c>
      <c r="M98" s="53">
        <f t="shared" si="152"/>
        <v>565</v>
      </c>
      <c r="N98" s="53">
        <f t="shared" si="152"/>
        <v>560</v>
      </c>
      <c r="O98" s="53">
        <f t="shared" si="152"/>
        <v>571</v>
      </c>
      <c r="P98" s="53">
        <f t="shared" si="152"/>
        <v>606</v>
      </c>
      <c r="Q98" s="53">
        <f t="shared" si="152"/>
        <v>600</v>
      </c>
      <c r="R98" s="53">
        <f t="shared" si="152"/>
        <v>632</v>
      </c>
      <c r="S98" s="53">
        <f t="shared" si="152"/>
        <v>632</v>
      </c>
      <c r="T98" s="53">
        <f t="shared" si="152"/>
        <v>632</v>
      </c>
      <c r="U98" s="53">
        <f t="shared" si="152"/>
        <v>632</v>
      </c>
      <c r="V98" s="53">
        <f t="shared" si="152"/>
        <v>632</v>
      </c>
      <c r="W98" s="53">
        <f t="shared" si="152"/>
        <v>632</v>
      </c>
      <c r="X98" s="53">
        <f t="shared" si="152"/>
        <v>632</v>
      </c>
      <c r="Y98" s="53">
        <f t="shared" si="152"/>
        <v>632</v>
      </c>
      <c r="AA98" s="53"/>
      <c r="AB98" s="53"/>
      <c r="AC98" s="53"/>
      <c r="AD98" s="53"/>
      <c r="AE98" s="53"/>
      <c r="AF98" s="53"/>
      <c r="AG98" s="53"/>
      <c r="AH98" s="53"/>
      <c r="AI98" s="53"/>
      <c r="AJ98" s="53"/>
      <c r="AK98" s="53"/>
      <c r="AL98" s="53"/>
      <c r="AM98" s="53"/>
      <c r="AN98" s="53"/>
      <c r="AO98" s="53"/>
      <c r="AP98" s="53"/>
      <c r="AQ98" s="53"/>
      <c r="AR98" s="7"/>
      <c r="AS98" s="275"/>
      <c r="AY98" s="264" t="s">
        <v>183</v>
      </c>
      <c r="BA98" s="275"/>
      <c r="BB98" s="275"/>
      <c r="BC98" s="275"/>
      <c r="BD98" s="275"/>
      <c r="BM98" s="53"/>
      <c r="BN98" s="53"/>
      <c r="BO98" s="53"/>
      <c r="BP98" s="53"/>
      <c r="BQ98" s="53"/>
      <c r="BR98" s="53"/>
      <c r="BS98" s="53"/>
      <c r="BT98" s="53"/>
      <c r="BU98" s="127">
        <v>575</v>
      </c>
      <c r="BV98" s="127"/>
      <c r="BW98" s="127"/>
      <c r="BX98" s="127">
        <v>606</v>
      </c>
      <c r="BY98" s="127">
        <f>SUM(BY94:BY97)</f>
        <v>603</v>
      </c>
      <c r="BZ98" s="127"/>
      <c r="CA98" s="127"/>
      <c r="CB98" s="127"/>
      <c r="CC98" s="127"/>
      <c r="CD98" s="127"/>
      <c r="CE98" s="127"/>
      <c r="CF98" s="127"/>
      <c r="CG98" s="127"/>
      <c r="CH98" s="127"/>
      <c r="CI98" s="127"/>
      <c r="CJ98" s="127"/>
      <c r="CK98" s="127"/>
      <c r="CL98" s="127"/>
      <c r="CM98" s="127"/>
      <c r="CN98" s="127"/>
      <c r="CO98" s="127"/>
      <c r="CP98" s="127"/>
      <c r="CQ98" s="127"/>
      <c r="CR98" s="127"/>
      <c r="CS98" s="127"/>
      <c r="CT98" s="127"/>
      <c r="CU98" s="127"/>
      <c r="CV98" s="127"/>
      <c r="CW98" s="127"/>
      <c r="CX98" s="127"/>
      <c r="CY98" s="127"/>
      <c r="CZ98" s="127"/>
    </row>
    <row r="99" spans="1:104" hidden="1" outlineLevel="1">
      <c r="A99" s="371"/>
      <c r="B99" s="264"/>
      <c r="H99" s="53"/>
      <c r="I99" s="53"/>
      <c r="J99" s="53"/>
      <c r="K99" s="53"/>
      <c r="L99" s="53"/>
      <c r="M99" s="53"/>
      <c r="N99" s="53"/>
      <c r="O99" s="53"/>
      <c r="P99" s="53"/>
      <c r="Q99" s="53"/>
      <c r="R99" s="53"/>
      <c r="S99" s="53"/>
      <c r="T99" s="53"/>
      <c r="U99" s="53"/>
      <c r="V99" s="53"/>
      <c r="W99" s="53"/>
      <c r="X99" s="53"/>
      <c r="Y99" s="53"/>
      <c r="AA99" s="53"/>
      <c r="AB99" s="53"/>
      <c r="AC99" s="53"/>
      <c r="AD99" s="53"/>
      <c r="AE99" s="53"/>
      <c r="AF99" s="53"/>
      <c r="AG99" s="53"/>
      <c r="AH99" s="53"/>
      <c r="AI99" s="53"/>
      <c r="AJ99" s="53"/>
      <c r="AK99" s="53"/>
      <c r="AL99" s="53"/>
      <c r="AM99" s="53"/>
      <c r="AN99" s="53"/>
      <c r="AO99" s="53"/>
      <c r="AP99" s="53"/>
      <c r="AQ99" s="53"/>
      <c r="AR99" s="7"/>
      <c r="AS99" s="275"/>
      <c r="AY99" s="264"/>
      <c r="BA99" s="275"/>
      <c r="BB99" s="275"/>
      <c r="BC99" s="275"/>
      <c r="BD99" s="275"/>
      <c r="BM99" s="53"/>
      <c r="BN99" s="53"/>
      <c r="BO99" s="53"/>
      <c r="BP99" s="53"/>
      <c r="BQ99" s="53"/>
      <c r="BR99" s="53"/>
      <c r="BS99" s="53"/>
      <c r="BT99" s="53"/>
      <c r="BU99" s="127"/>
      <c r="BV99" s="127"/>
      <c r="BW99" s="127"/>
      <c r="BX99" s="127"/>
      <c r="BY99" s="127"/>
      <c r="BZ99" s="127"/>
      <c r="CA99" s="127"/>
      <c r="CB99" s="127"/>
      <c r="CC99" s="127"/>
      <c r="CD99" s="127"/>
      <c r="CE99" s="127"/>
      <c r="CF99" s="127"/>
      <c r="CG99" s="127"/>
      <c r="CH99" s="127"/>
      <c r="CI99" s="127"/>
      <c r="CJ99" s="127"/>
      <c r="CK99" s="127"/>
      <c r="CL99" s="127"/>
      <c r="CM99" s="127"/>
      <c r="CN99" s="127"/>
      <c r="CO99" s="127"/>
      <c r="CP99" s="127"/>
      <c r="CQ99" s="127"/>
      <c r="CR99" s="127"/>
      <c r="CS99" s="127"/>
      <c r="CT99" s="127"/>
      <c r="CU99" s="127"/>
      <c r="CV99" s="127"/>
      <c r="CW99" s="127"/>
      <c r="CX99" s="127"/>
      <c r="CY99" s="127"/>
      <c r="CZ99" s="127"/>
    </row>
    <row r="100" spans="1:104" hidden="1" outlineLevel="1">
      <c r="A100" s="371"/>
      <c r="B100" s="264" t="s">
        <v>167</v>
      </c>
      <c r="H100" s="53"/>
      <c r="I100" s="53"/>
      <c r="J100" s="53"/>
      <c r="K100" s="53"/>
      <c r="L100" s="53"/>
      <c r="M100" s="53"/>
      <c r="N100" s="53">
        <v>500</v>
      </c>
      <c r="O100" s="53"/>
      <c r="P100" s="53"/>
      <c r="Q100" s="53"/>
      <c r="R100" s="53"/>
      <c r="S100" s="53"/>
      <c r="T100" s="53"/>
      <c r="U100" s="53"/>
      <c r="V100" s="53"/>
      <c r="W100" s="53"/>
      <c r="X100" s="53"/>
      <c r="Y100" s="53"/>
      <c r="AA100" s="53"/>
      <c r="AB100" s="53"/>
      <c r="AC100" s="53"/>
      <c r="AD100" s="53"/>
      <c r="AE100" s="53"/>
      <c r="AF100" s="53"/>
      <c r="AG100" s="53"/>
      <c r="AH100" s="53"/>
      <c r="AI100" s="53"/>
      <c r="AJ100" s="53"/>
      <c r="AK100" s="53"/>
      <c r="AL100" s="53"/>
      <c r="AM100" s="53"/>
      <c r="AN100" s="53"/>
      <c r="AO100" s="53"/>
      <c r="AP100" s="53"/>
      <c r="AQ100" s="53"/>
      <c r="AR100" s="7"/>
      <c r="AS100" s="275"/>
      <c r="AY100" s="264" t="s">
        <v>167</v>
      </c>
      <c r="BA100" s="275"/>
      <c r="BB100" s="275"/>
      <c r="BC100" s="275"/>
      <c r="BD100" s="275"/>
      <c r="BM100" s="53"/>
      <c r="BN100" s="53"/>
      <c r="BO100" s="53"/>
      <c r="BP100" s="53"/>
      <c r="BQ100" s="53"/>
      <c r="BR100" s="53"/>
      <c r="BS100" s="53"/>
      <c r="BT100" s="53"/>
      <c r="BU100" s="127"/>
      <c r="BV100" s="127"/>
      <c r="BW100" s="127"/>
      <c r="BX100" s="127"/>
      <c r="BY100" s="127"/>
      <c r="BZ100" s="127"/>
      <c r="CA100" s="127"/>
      <c r="CB100" s="127"/>
      <c r="CC100" s="127"/>
      <c r="CD100" s="127"/>
      <c r="CE100" s="127"/>
      <c r="CF100" s="127"/>
      <c r="CG100" s="127"/>
      <c r="CH100" s="127"/>
      <c r="CI100" s="127"/>
      <c r="CJ100" s="127"/>
      <c r="CK100" s="127"/>
      <c r="CL100" s="127"/>
      <c r="CM100" s="127"/>
      <c r="CN100" s="127"/>
      <c r="CO100" s="127"/>
      <c r="CP100" s="127"/>
      <c r="CQ100" s="127"/>
      <c r="CR100" s="127"/>
      <c r="CS100" s="127"/>
      <c r="CT100" s="127"/>
      <c r="CU100" s="127"/>
      <c r="CV100" s="127"/>
      <c r="CW100" s="127"/>
      <c r="CX100" s="127"/>
      <c r="CY100" s="127"/>
      <c r="CZ100" s="127"/>
    </row>
    <row r="101" spans="1:104" hidden="1" outlineLevel="1">
      <c r="A101" s="371"/>
      <c r="B101" s="264" t="s">
        <v>169</v>
      </c>
      <c r="H101" s="53"/>
      <c r="I101" s="53"/>
      <c r="J101" s="53"/>
      <c r="K101" s="53"/>
      <c r="L101" s="53"/>
      <c r="M101" s="53"/>
      <c r="N101" s="53">
        <v>24</v>
      </c>
      <c r="O101" s="53"/>
      <c r="P101" s="53"/>
      <c r="Q101" s="53"/>
      <c r="R101" s="53"/>
      <c r="S101" s="53"/>
      <c r="T101" s="53"/>
      <c r="U101" s="53"/>
      <c r="V101" s="53"/>
      <c r="W101" s="53"/>
      <c r="X101" s="53"/>
      <c r="Y101" s="53"/>
      <c r="AA101" s="53"/>
      <c r="AB101" s="53"/>
      <c r="AC101" s="53"/>
      <c r="AD101" s="53"/>
      <c r="AE101" s="53"/>
      <c r="AF101" s="53"/>
      <c r="AG101" s="53"/>
      <c r="AH101" s="53"/>
      <c r="AI101" s="53"/>
      <c r="AJ101" s="53"/>
      <c r="AK101" s="53"/>
      <c r="AL101" s="53"/>
      <c r="AM101" s="53"/>
      <c r="AN101" s="53"/>
      <c r="AO101" s="53"/>
      <c r="AP101" s="53"/>
      <c r="AQ101" s="53"/>
      <c r="AR101" s="7"/>
      <c r="AS101" s="275"/>
      <c r="AY101" s="264" t="s">
        <v>169</v>
      </c>
      <c r="BA101" s="275"/>
      <c r="BB101" s="275"/>
      <c r="BC101" s="275"/>
      <c r="BD101" s="275"/>
      <c r="BM101" s="53"/>
      <c r="BN101" s="53"/>
      <c r="BO101" s="53"/>
      <c r="BP101" s="53"/>
      <c r="BQ101" s="53"/>
      <c r="BR101" s="53"/>
      <c r="BS101" s="53"/>
      <c r="BT101" s="53"/>
      <c r="BU101" s="127"/>
      <c r="BV101" s="127"/>
      <c r="BW101" s="127"/>
      <c r="BX101" s="127"/>
      <c r="BY101" s="127"/>
      <c r="BZ101" s="127"/>
      <c r="CA101" s="127"/>
      <c r="CB101" s="127"/>
      <c r="CC101" s="127"/>
      <c r="CD101" s="127"/>
      <c r="CE101" s="127"/>
      <c r="CF101" s="127"/>
      <c r="CG101" s="127"/>
      <c r="CH101" s="127"/>
      <c r="CI101" s="127"/>
      <c r="CJ101" s="127"/>
      <c r="CK101" s="127"/>
      <c r="CL101" s="127"/>
      <c r="CM101" s="127"/>
      <c r="CN101" s="127"/>
      <c r="CO101" s="127"/>
      <c r="CP101" s="127"/>
      <c r="CQ101" s="127"/>
      <c r="CR101" s="127"/>
      <c r="CS101" s="127"/>
      <c r="CT101" s="127"/>
      <c r="CU101" s="127"/>
      <c r="CV101" s="127"/>
      <c r="CW101" s="127"/>
      <c r="CX101" s="127"/>
      <c r="CY101" s="127"/>
      <c r="CZ101" s="127"/>
    </row>
    <row r="102" spans="1:104" hidden="1" outlineLevel="1">
      <c r="A102" s="371"/>
      <c r="B102" s="264" t="s">
        <v>168</v>
      </c>
      <c r="H102" s="53"/>
      <c r="I102" s="53"/>
      <c r="J102" s="53"/>
      <c r="K102" s="53"/>
      <c r="L102" s="53"/>
      <c r="M102" s="53"/>
      <c r="N102" s="53">
        <v>36</v>
      </c>
      <c r="O102" s="53"/>
      <c r="P102" s="53"/>
      <c r="Q102" s="53"/>
      <c r="R102" s="53"/>
      <c r="S102" s="53"/>
      <c r="T102" s="53"/>
      <c r="U102" s="53"/>
      <c r="V102" s="53"/>
      <c r="W102" s="53"/>
      <c r="X102" s="53"/>
      <c r="Y102" s="53"/>
      <c r="AA102" s="53"/>
      <c r="AB102" s="53"/>
      <c r="AC102" s="53"/>
      <c r="AD102" s="53"/>
      <c r="AE102" s="53"/>
      <c r="AF102" s="53"/>
      <c r="AG102" s="53"/>
      <c r="AH102" s="53"/>
      <c r="AI102" s="53"/>
      <c r="AJ102" s="53"/>
      <c r="AK102" s="53"/>
      <c r="AL102" s="53"/>
      <c r="AM102" s="53"/>
      <c r="AN102" s="53"/>
      <c r="AO102" s="53"/>
      <c r="AP102" s="53"/>
      <c r="AQ102" s="53"/>
      <c r="AR102" s="7"/>
      <c r="AS102" s="275"/>
      <c r="AY102" s="264" t="s">
        <v>168</v>
      </c>
      <c r="BA102" s="275"/>
      <c r="BB102" s="275"/>
      <c r="BC102" s="275"/>
      <c r="BD102" s="275"/>
      <c r="BM102" s="53"/>
      <c r="BN102" s="53"/>
      <c r="BO102" s="53"/>
      <c r="BP102" s="53"/>
      <c r="BQ102" s="53"/>
      <c r="BR102" s="53"/>
      <c r="BS102" s="53"/>
      <c r="BT102" s="53"/>
      <c r="BU102" s="127"/>
      <c r="BV102" s="127"/>
      <c r="BW102" s="127"/>
      <c r="BX102" s="127"/>
      <c r="BY102" s="127"/>
      <c r="BZ102" s="127"/>
      <c r="CA102" s="127"/>
      <c r="CB102" s="127"/>
      <c r="CC102" s="127"/>
      <c r="CD102" s="127"/>
      <c r="CE102" s="127"/>
      <c r="CF102" s="127"/>
      <c r="CG102" s="127"/>
      <c r="CH102" s="127"/>
      <c r="CI102" s="127"/>
      <c r="CJ102" s="127"/>
      <c r="CK102" s="127"/>
      <c r="CL102" s="127"/>
      <c r="CM102" s="127"/>
      <c r="CN102" s="127"/>
      <c r="CO102" s="127"/>
      <c r="CP102" s="127"/>
      <c r="CQ102" s="127"/>
      <c r="CR102" s="127"/>
      <c r="CS102" s="127"/>
      <c r="CT102" s="127"/>
      <c r="CU102" s="127"/>
      <c r="CV102" s="127"/>
      <c r="CW102" s="127"/>
      <c r="CX102" s="127"/>
      <c r="CY102" s="127"/>
      <c r="CZ102" s="127"/>
    </row>
    <row r="103" spans="1:104" hidden="1" outlineLevel="1">
      <c r="A103" s="371"/>
      <c r="B103" s="264"/>
      <c r="H103" s="53"/>
      <c r="I103" s="53"/>
      <c r="J103" s="53"/>
      <c r="K103" s="53"/>
      <c r="L103" s="53"/>
      <c r="M103" s="53"/>
      <c r="N103" s="53"/>
      <c r="O103" s="53"/>
      <c r="P103" s="53"/>
      <c r="Q103" s="53"/>
      <c r="R103" s="53"/>
      <c r="S103" s="53"/>
      <c r="T103" s="53"/>
      <c r="U103" s="53"/>
      <c r="V103" s="53"/>
      <c r="W103" s="53"/>
      <c r="X103" s="53"/>
      <c r="Y103" s="53"/>
      <c r="AA103" s="53"/>
      <c r="AB103" s="53"/>
      <c r="AC103" s="53"/>
      <c r="AD103" s="53"/>
      <c r="AE103" s="53"/>
      <c r="AF103" s="53"/>
      <c r="AG103" s="53"/>
      <c r="AH103" s="53"/>
      <c r="AI103" s="53"/>
      <c r="AJ103" s="53"/>
      <c r="AK103" s="53"/>
      <c r="AL103" s="53"/>
      <c r="AM103" s="53"/>
      <c r="AN103" s="53"/>
      <c r="AO103" s="53"/>
      <c r="AP103" s="53"/>
      <c r="AQ103" s="53"/>
      <c r="AR103" s="7"/>
      <c r="AS103" s="275"/>
      <c r="AY103" s="264"/>
      <c r="BA103" s="275"/>
      <c r="BB103" s="275"/>
      <c r="BC103" s="275"/>
      <c r="BD103" s="275"/>
      <c r="BM103" s="53"/>
      <c r="BN103" s="53"/>
      <c r="BO103" s="53"/>
      <c r="BP103" s="53"/>
      <c r="BQ103" s="53"/>
      <c r="BR103" s="53"/>
      <c r="BS103" s="53"/>
      <c r="BT103" s="53"/>
      <c r="BU103" s="127"/>
      <c r="BV103" s="127"/>
      <c r="BW103" s="127"/>
      <c r="BX103" s="127"/>
      <c r="BY103" s="127"/>
      <c r="BZ103" s="127"/>
      <c r="CA103" s="127"/>
      <c r="CB103" s="127"/>
      <c r="CC103" s="127"/>
      <c r="CD103" s="127"/>
      <c r="CE103" s="127"/>
      <c r="CF103" s="127"/>
      <c r="CG103" s="127"/>
      <c r="CH103" s="127"/>
      <c r="CI103" s="127"/>
      <c r="CJ103" s="127"/>
      <c r="CK103" s="127"/>
      <c r="CL103" s="127"/>
      <c r="CM103" s="127"/>
      <c r="CN103" s="127"/>
      <c r="CO103" s="127"/>
      <c r="CP103" s="127"/>
      <c r="CQ103" s="127"/>
      <c r="CR103" s="127"/>
      <c r="CS103" s="127"/>
      <c r="CT103" s="127"/>
      <c r="CU103" s="127"/>
      <c r="CV103" s="127"/>
      <c r="CW103" s="127"/>
      <c r="CX103" s="127"/>
      <c r="CY103" s="127"/>
      <c r="CZ103" s="127"/>
    </row>
    <row r="104" spans="1:104" ht="13.15" hidden="1" outlineLevel="1">
      <c r="A104" s="371"/>
      <c r="B104" s="372" t="s">
        <v>184</v>
      </c>
      <c r="H104" s="53">
        <v>4300</v>
      </c>
      <c r="I104" s="53">
        <v>4600</v>
      </c>
      <c r="J104" s="53">
        <v>4750</v>
      </c>
      <c r="K104" s="53">
        <v>4950</v>
      </c>
      <c r="L104" s="53">
        <v>4950</v>
      </c>
      <c r="M104" s="53">
        <v>5050</v>
      </c>
      <c r="N104" s="53">
        <v>5200</v>
      </c>
      <c r="O104" s="53"/>
      <c r="P104" s="53"/>
      <c r="Q104" s="53"/>
      <c r="R104" s="53"/>
      <c r="S104" s="53"/>
      <c r="T104" s="53"/>
      <c r="U104" s="53"/>
      <c r="V104" s="53"/>
      <c r="W104" s="53"/>
      <c r="X104" s="53"/>
      <c r="Y104" s="53"/>
      <c r="AA104" s="53"/>
      <c r="AB104" s="53"/>
      <c r="AC104" s="53"/>
      <c r="AD104" s="53"/>
      <c r="AE104" s="53"/>
      <c r="AF104" s="53"/>
      <c r="AG104" s="53"/>
      <c r="AH104" s="53"/>
      <c r="AI104" s="53"/>
      <c r="AJ104" s="53"/>
      <c r="AK104" s="53"/>
      <c r="AL104" s="53"/>
      <c r="AM104" s="53"/>
      <c r="AN104" s="53"/>
      <c r="AO104" s="53"/>
      <c r="AP104" s="53"/>
      <c r="AQ104" s="53"/>
      <c r="AR104" s="7"/>
      <c r="AS104" s="275"/>
      <c r="AY104" s="264"/>
      <c r="BA104" s="275"/>
      <c r="BB104" s="275"/>
      <c r="BC104" s="275"/>
      <c r="BD104" s="275"/>
      <c r="BM104" s="53"/>
      <c r="BN104" s="53"/>
      <c r="BO104" s="53"/>
      <c r="BP104" s="53"/>
      <c r="BQ104" s="53"/>
      <c r="BR104" s="53"/>
      <c r="BS104" s="53"/>
      <c r="BT104" s="53"/>
      <c r="BU104" s="127"/>
      <c r="BV104" s="127"/>
      <c r="BW104" s="127"/>
      <c r="BX104" s="127"/>
      <c r="BY104" s="127"/>
      <c r="BZ104" s="127"/>
      <c r="CA104" s="127"/>
      <c r="CB104" s="127"/>
      <c r="CC104" s="127"/>
      <c r="CD104" s="127"/>
      <c r="CE104" s="127"/>
      <c r="CF104" s="127"/>
      <c r="CG104" s="127"/>
      <c r="CH104" s="127"/>
      <c r="CI104" s="127"/>
      <c r="CJ104" s="127"/>
      <c r="CK104" s="127"/>
      <c r="CL104" s="127"/>
      <c r="CM104" s="127"/>
      <c r="CN104" s="127"/>
      <c r="CO104" s="127"/>
      <c r="CP104" s="127"/>
      <c r="CQ104" s="127"/>
      <c r="CR104" s="127"/>
      <c r="CS104" s="127"/>
      <c r="CT104" s="127"/>
      <c r="CU104" s="127"/>
      <c r="CV104" s="127"/>
      <c r="CW104" s="127"/>
      <c r="CX104" s="127"/>
      <c r="CY104" s="127"/>
      <c r="CZ104" s="127"/>
    </row>
    <row r="105" spans="1:104" hidden="1" outlineLevel="1" collapsed="1"/>
    <row r="106" spans="1:104" ht="13.15" collapsed="1">
      <c r="B106" s="21" t="s">
        <v>3</v>
      </c>
      <c r="C106" s="22"/>
      <c r="D106" s="22"/>
      <c r="E106" s="22"/>
      <c r="F106" s="22"/>
      <c r="G106" s="22"/>
      <c r="H106" s="22"/>
      <c r="I106" s="22"/>
      <c r="J106" s="22"/>
      <c r="K106" s="22"/>
      <c r="L106" s="22"/>
      <c r="M106" s="22"/>
      <c r="N106" s="22"/>
      <c r="O106" s="22"/>
      <c r="P106" s="22"/>
      <c r="Q106" s="22"/>
      <c r="R106" s="22"/>
      <c r="S106" s="22"/>
      <c r="T106" s="22"/>
      <c r="U106" s="22"/>
      <c r="V106" s="22"/>
      <c r="W106" s="22"/>
      <c r="X106" s="22"/>
      <c r="Y106" s="23"/>
      <c r="AY106" s="26" t="s">
        <v>3</v>
      </c>
      <c r="AZ106" s="22"/>
      <c r="BA106" s="22"/>
      <c r="BB106" s="22"/>
      <c r="BC106" s="22"/>
      <c r="BD106" s="23"/>
      <c r="BE106" s="24"/>
      <c r="BF106" s="22"/>
      <c r="BG106" s="22"/>
      <c r="BH106" s="23"/>
      <c r="BI106" s="24"/>
      <c r="BJ106" s="22"/>
      <c r="BK106" s="22"/>
      <c r="BL106" s="23"/>
      <c r="BM106" s="24"/>
      <c r="BN106" s="22"/>
      <c r="BO106" s="22"/>
      <c r="BP106" s="23"/>
      <c r="BQ106" s="24"/>
      <c r="BR106" s="22"/>
      <c r="BS106" s="22"/>
      <c r="BT106" s="23"/>
      <c r="BU106" s="24"/>
      <c r="BV106" s="22"/>
      <c r="BW106" s="22"/>
      <c r="BX106" s="23"/>
      <c r="BY106" s="24"/>
      <c r="BZ106" s="22"/>
      <c r="CA106" s="22"/>
      <c r="CB106" s="23"/>
      <c r="CC106" s="22"/>
      <c r="CD106" s="22"/>
      <c r="CE106" s="22"/>
      <c r="CF106" s="23"/>
      <c r="CG106" s="22"/>
      <c r="CH106" s="22"/>
      <c r="CI106" s="22"/>
      <c r="CJ106" s="23"/>
      <c r="CK106" s="22"/>
      <c r="CL106" s="22"/>
      <c r="CM106" s="22"/>
      <c r="CN106" s="23"/>
      <c r="CO106" s="22"/>
      <c r="CP106" s="22"/>
      <c r="CQ106" s="22"/>
      <c r="CR106" s="23"/>
      <c r="CS106" s="22"/>
      <c r="CT106" s="22"/>
      <c r="CU106" s="22"/>
      <c r="CV106" s="23"/>
      <c r="CW106" s="28"/>
      <c r="CX106" s="28"/>
      <c r="CY106" s="28"/>
      <c r="CZ106" s="23"/>
    </row>
    <row r="107" spans="1:104" ht="13.15">
      <c r="B107" s="27" t="s">
        <v>185</v>
      </c>
      <c r="C107" s="28"/>
      <c r="D107" s="28"/>
      <c r="E107" s="28"/>
      <c r="F107" s="28"/>
      <c r="G107" s="28"/>
      <c r="H107" s="28"/>
      <c r="I107" s="28"/>
      <c r="J107" s="28"/>
      <c r="K107" s="28"/>
      <c r="L107" s="28"/>
      <c r="M107" s="28"/>
      <c r="N107" s="28"/>
      <c r="O107" s="28"/>
      <c r="P107" s="28"/>
      <c r="Q107" s="28"/>
      <c r="R107" s="28"/>
      <c r="S107" s="28"/>
      <c r="T107" s="28"/>
      <c r="U107" s="28"/>
      <c r="V107" s="28"/>
      <c r="W107" s="28"/>
      <c r="X107" s="28"/>
      <c r="Y107" s="29"/>
      <c r="AY107" s="32" t="s">
        <v>185</v>
      </c>
      <c r="AZ107" s="28"/>
      <c r="BA107" s="28" t="s">
        <v>186</v>
      </c>
      <c r="BB107" s="28" t="s">
        <v>187</v>
      </c>
      <c r="BC107" s="28" t="s">
        <v>188</v>
      </c>
      <c r="BD107" s="29" t="s">
        <v>189</v>
      </c>
      <c r="BE107" s="30" t="s">
        <v>186</v>
      </c>
      <c r="BF107" s="28" t="s">
        <v>187</v>
      </c>
      <c r="BG107" s="28" t="s">
        <v>188</v>
      </c>
      <c r="BH107" s="29" t="s">
        <v>189</v>
      </c>
      <c r="BI107" s="30" t="s">
        <v>186</v>
      </c>
      <c r="BJ107" s="28" t="s">
        <v>187</v>
      </c>
      <c r="BK107" s="28" t="s">
        <v>188</v>
      </c>
      <c r="BL107" s="29" t="s">
        <v>189</v>
      </c>
      <c r="BM107" s="30" t="s">
        <v>186</v>
      </c>
      <c r="BN107" s="28" t="s">
        <v>187</v>
      </c>
      <c r="BO107" s="28" t="s">
        <v>188</v>
      </c>
      <c r="BP107" s="29" t="s">
        <v>189</v>
      </c>
      <c r="BQ107" s="30" t="s">
        <v>186</v>
      </c>
      <c r="BR107" s="28" t="s">
        <v>187</v>
      </c>
      <c r="BS107" s="28" t="s">
        <v>188</v>
      </c>
      <c r="BT107" s="29" t="s">
        <v>189</v>
      </c>
      <c r="BU107" s="30" t="s">
        <v>186</v>
      </c>
      <c r="BV107" s="28" t="s">
        <v>187</v>
      </c>
      <c r="BW107" s="28" t="s">
        <v>188</v>
      </c>
      <c r="BX107" s="29" t="s">
        <v>189</v>
      </c>
      <c r="BY107" s="30" t="s">
        <v>186</v>
      </c>
      <c r="BZ107" s="28" t="s">
        <v>187</v>
      </c>
      <c r="CA107" s="28" t="s">
        <v>188</v>
      </c>
      <c r="CB107" s="29" t="s">
        <v>189</v>
      </c>
      <c r="CC107" s="30" t="s">
        <v>186</v>
      </c>
      <c r="CD107" s="28" t="s">
        <v>187</v>
      </c>
      <c r="CE107" s="28" t="s">
        <v>188</v>
      </c>
      <c r="CF107" s="29" t="s">
        <v>189</v>
      </c>
      <c r="CG107" s="30" t="s">
        <v>186</v>
      </c>
      <c r="CH107" s="28" t="s">
        <v>187</v>
      </c>
      <c r="CI107" s="28" t="s">
        <v>188</v>
      </c>
      <c r="CJ107" s="29" t="s">
        <v>189</v>
      </c>
      <c r="CK107" s="30" t="s">
        <v>186</v>
      </c>
      <c r="CL107" s="28" t="s">
        <v>187</v>
      </c>
      <c r="CM107" s="28" t="s">
        <v>188</v>
      </c>
      <c r="CN107" s="29" t="str">
        <f>CJ107</f>
        <v>Year</v>
      </c>
      <c r="CO107" s="28" t="str">
        <f>CK107</f>
        <v>3 mo</v>
      </c>
      <c r="CP107" s="28" t="str">
        <f>CL107</f>
        <v>6 mo</v>
      </c>
      <c r="CQ107" s="28" t="str">
        <f>CM107</f>
        <v>9 mo</v>
      </c>
      <c r="CR107" s="29" t="s">
        <v>189</v>
      </c>
      <c r="CS107" s="28" t="str">
        <f>CO107</f>
        <v>3 mo</v>
      </c>
      <c r="CT107" s="28" t="str">
        <f>CP107</f>
        <v>6 mo</v>
      </c>
      <c r="CU107" s="28" t="str">
        <f>CQ107</f>
        <v>9 mo</v>
      </c>
      <c r="CV107" s="29" t="s">
        <v>189</v>
      </c>
      <c r="CW107" s="28"/>
      <c r="CX107" s="28"/>
      <c r="CY107" s="28"/>
      <c r="CZ107" s="29" t="s">
        <v>189</v>
      </c>
    </row>
    <row r="108" spans="1:104" ht="13.15">
      <c r="B108" s="373" t="s">
        <v>17</v>
      </c>
      <c r="C108" s="42"/>
      <c r="D108" s="42"/>
      <c r="E108" s="42"/>
      <c r="F108" s="42"/>
      <c r="G108" s="42"/>
      <c r="H108" s="42" t="str">
        <f t="shared" ref="H108:Y108" si="153">H5</f>
        <v>2011</v>
      </c>
      <c r="I108" s="42" t="str">
        <f t="shared" si="153"/>
        <v>2012</v>
      </c>
      <c r="J108" s="42" t="str">
        <f t="shared" si="153"/>
        <v>2013</v>
      </c>
      <c r="K108" s="42" t="str">
        <f t="shared" si="153"/>
        <v>2014</v>
      </c>
      <c r="L108" s="42" t="str">
        <f t="shared" si="153"/>
        <v>2015</v>
      </c>
      <c r="M108" s="42" t="str">
        <f t="shared" si="153"/>
        <v>2016</v>
      </c>
      <c r="N108" s="42" t="str">
        <f t="shared" si="153"/>
        <v>2017</v>
      </c>
      <c r="O108" s="42" t="str">
        <f t="shared" si="153"/>
        <v>2018</v>
      </c>
      <c r="P108" s="42" t="str">
        <f t="shared" si="153"/>
        <v>2019</v>
      </c>
      <c r="Q108" s="42" t="str">
        <f t="shared" si="153"/>
        <v>2020</v>
      </c>
      <c r="R108" s="42" t="str">
        <f t="shared" si="153"/>
        <v>2021</v>
      </c>
      <c r="S108" s="42" t="str">
        <f t="shared" si="153"/>
        <v>2022</v>
      </c>
      <c r="T108" s="42" t="str">
        <f t="shared" si="153"/>
        <v>2023</v>
      </c>
      <c r="U108" s="42" t="str">
        <f t="shared" si="153"/>
        <v>2024</v>
      </c>
      <c r="V108" s="42" t="str">
        <f t="shared" si="153"/>
        <v>2025</v>
      </c>
      <c r="W108" s="42" t="str">
        <f t="shared" si="153"/>
        <v>2026E</v>
      </c>
      <c r="X108" s="42" t="str">
        <f t="shared" si="153"/>
        <v>2027E</v>
      </c>
      <c r="Y108" s="43" t="str">
        <f t="shared" si="153"/>
        <v>2028E</v>
      </c>
      <c r="AY108" s="41" t="s">
        <v>17</v>
      </c>
      <c r="AZ108" s="42"/>
      <c r="BA108" s="42" t="s">
        <v>53</v>
      </c>
      <c r="BB108" s="42" t="s">
        <v>54</v>
      </c>
      <c r="BC108" s="42" t="s">
        <v>55</v>
      </c>
      <c r="BD108" s="43" t="s">
        <v>56</v>
      </c>
      <c r="BE108" s="44" t="str">
        <f t="shared" ref="BE108:CV108" si="154">BE5</f>
        <v>1Q15</v>
      </c>
      <c r="BF108" s="42" t="str">
        <f t="shared" si="154"/>
        <v>2Q15</v>
      </c>
      <c r="BG108" s="42" t="str">
        <f t="shared" si="154"/>
        <v>3Q15</v>
      </c>
      <c r="BH108" s="43" t="str">
        <f t="shared" si="154"/>
        <v>4Q15</v>
      </c>
      <c r="BI108" s="44" t="str">
        <f t="shared" si="154"/>
        <v>1Q16</v>
      </c>
      <c r="BJ108" s="42" t="str">
        <f t="shared" si="154"/>
        <v>2Q16</v>
      </c>
      <c r="BK108" s="42" t="str">
        <f t="shared" si="154"/>
        <v>3Q16</v>
      </c>
      <c r="BL108" s="43" t="str">
        <f t="shared" si="154"/>
        <v>4Q16</v>
      </c>
      <c r="BM108" s="44" t="str">
        <f t="shared" si="154"/>
        <v>1Q17</v>
      </c>
      <c r="BN108" s="42" t="str">
        <f t="shared" si="154"/>
        <v>2Q17</v>
      </c>
      <c r="BO108" s="42" t="str">
        <f t="shared" si="154"/>
        <v>3Q17</v>
      </c>
      <c r="BP108" s="43" t="str">
        <f t="shared" si="154"/>
        <v>4Q17</v>
      </c>
      <c r="BQ108" s="44" t="str">
        <f t="shared" si="154"/>
        <v>1Q18</v>
      </c>
      <c r="BR108" s="42" t="str">
        <f t="shared" si="154"/>
        <v>2Q18</v>
      </c>
      <c r="BS108" s="42" t="str">
        <f t="shared" si="154"/>
        <v>3Q18</v>
      </c>
      <c r="BT108" s="43" t="str">
        <f t="shared" si="154"/>
        <v>4Q18</v>
      </c>
      <c r="BU108" s="44" t="str">
        <f t="shared" si="154"/>
        <v>1Q19</v>
      </c>
      <c r="BV108" s="42" t="str">
        <f t="shared" si="154"/>
        <v>2Q19</v>
      </c>
      <c r="BW108" s="42" t="str">
        <f t="shared" si="154"/>
        <v>3Q19</v>
      </c>
      <c r="BX108" s="43" t="str">
        <f t="shared" si="154"/>
        <v>4Q19</v>
      </c>
      <c r="BY108" s="44" t="str">
        <f t="shared" si="154"/>
        <v>1Q20</v>
      </c>
      <c r="BZ108" s="42" t="str">
        <f t="shared" si="154"/>
        <v>2Q20</v>
      </c>
      <c r="CA108" s="42" t="str">
        <f t="shared" si="154"/>
        <v>3Q20</v>
      </c>
      <c r="CB108" s="43" t="str">
        <f t="shared" si="154"/>
        <v>4Q20</v>
      </c>
      <c r="CC108" s="42" t="str">
        <f t="shared" si="154"/>
        <v>1Q21</v>
      </c>
      <c r="CD108" s="42" t="str">
        <f t="shared" si="154"/>
        <v>2Q21</v>
      </c>
      <c r="CE108" s="42" t="str">
        <f t="shared" si="154"/>
        <v>3Q21</v>
      </c>
      <c r="CF108" s="43" t="str">
        <f t="shared" si="154"/>
        <v>4Q21</v>
      </c>
      <c r="CG108" s="42" t="str">
        <f t="shared" si="154"/>
        <v>1Q22</v>
      </c>
      <c r="CH108" s="42" t="str">
        <f t="shared" si="154"/>
        <v>2Q22</v>
      </c>
      <c r="CI108" s="42" t="str">
        <f t="shared" si="154"/>
        <v>3Q22</v>
      </c>
      <c r="CJ108" s="43" t="str">
        <f t="shared" si="154"/>
        <v>4Q22</v>
      </c>
      <c r="CK108" s="42" t="str">
        <f t="shared" si="154"/>
        <v>1Q23</v>
      </c>
      <c r="CL108" s="42" t="str">
        <f t="shared" si="154"/>
        <v>2Q23</v>
      </c>
      <c r="CM108" s="42" t="str">
        <f t="shared" si="154"/>
        <v>3Q23</v>
      </c>
      <c r="CN108" s="43" t="str">
        <f t="shared" si="154"/>
        <v>4Q23</v>
      </c>
      <c r="CO108" s="42" t="str">
        <f t="shared" si="154"/>
        <v>1Q24</v>
      </c>
      <c r="CP108" s="42" t="str">
        <f t="shared" si="154"/>
        <v>2Q24</v>
      </c>
      <c r="CQ108" s="42" t="str">
        <f t="shared" si="154"/>
        <v>3Q24</v>
      </c>
      <c r="CR108" s="43" t="str">
        <f t="shared" si="154"/>
        <v>4Q24</v>
      </c>
      <c r="CS108" s="42" t="str">
        <f t="shared" si="154"/>
        <v>1Q25</v>
      </c>
      <c r="CT108" s="42" t="str">
        <f t="shared" si="154"/>
        <v>2Q25</v>
      </c>
      <c r="CU108" s="42" t="str">
        <f t="shared" si="154"/>
        <v>3Q25</v>
      </c>
      <c r="CV108" s="43" t="str">
        <f t="shared" si="154"/>
        <v>4Q25</v>
      </c>
      <c r="CW108" s="42"/>
      <c r="CX108" s="42"/>
      <c r="CY108" s="42"/>
      <c r="CZ108" s="43" t="str">
        <f t="shared" ref="CZ108" si="155">CZ5</f>
        <v>4Q26E</v>
      </c>
    </row>
    <row r="109" spans="1:104">
      <c r="B109" s="355" t="s">
        <v>128</v>
      </c>
      <c r="H109" s="49">
        <v>137.74199999999999</v>
      </c>
      <c r="I109" s="49">
        <v>157.601</v>
      </c>
      <c r="J109" s="49">
        <v>187.71899999999999</v>
      </c>
      <c r="K109" s="49">
        <v>208.702</v>
      </c>
      <c r="L109" s="49">
        <v>226.524</v>
      </c>
      <c r="M109" s="49">
        <v>235.983</v>
      </c>
      <c r="N109" s="49">
        <v>257.29000000000002</v>
      </c>
      <c r="O109" s="49">
        <v>296.529</v>
      </c>
      <c r="P109" s="49">
        <v>295.77499999999998</v>
      </c>
      <c r="Q109" s="49">
        <v>323.17200000000003</v>
      </c>
      <c r="R109" s="49">
        <v>498.73500000000001</v>
      </c>
      <c r="S109" s="49">
        <v>703.69600000000003</v>
      </c>
      <c r="T109" s="49">
        <v>634.13900000000001</v>
      </c>
      <c r="U109" s="49">
        <v>635.74</v>
      </c>
      <c r="V109" s="49">
        <v>587.58799999999997</v>
      </c>
      <c r="W109" s="49">
        <f>W21+W20</f>
        <v>617.75859835885035</v>
      </c>
      <c r="X109" s="49">
        <f>X21+X20</f>
        <v>664.40270640929623</v>
      </c>
      <c r="Y109" s="63">
        <f>Y21+Y20</f>
        <v>716.79670434426362</v>
      </c>
      <c r="AR109" s="7"/>
      <c r="AY109" s="356" t="s">
        <v>128</v>
      </c>
      <c r="BA109" s="49">
        <v>24.402999999999999</v>
      </c>
      <c r="BB109" s="49">
        <v>102.788</v>
      </c>
      <c r="BC109" s="49">
        <v>173.91900000000001</v>
      </c>
      <c r="BD109" s="63">
        <f>+K109</f>
        <v>208.702</v>
      </c>
      <c r="BE109" s="62">
        <v>31.3</v>
      </c>
      <c r="BF109" s="49">
        <v>115.541</v>
      </c>
      <c r="BG109" s="49">
        <v>190.185</v>
      </c>
      <c r="BH109" s="63">
        <f>+L109</f>
        <v>226.524</v>
      </c>
      <c r="BI109" s="62">
        <v>34.173999999999999</v>
      </c>
      <c r="BJ109" s="49">
        <v>115.598</v>
      </c>
      <c r="BK109" s="49">
        <v>196.11600000000001</v>
      </c>
      <c r="BL109" s="63">
        <f>+M109</f>
        <v>235.983</v>
      </c>
      <c r="BM109" s="62">
        <v>33.768000000000001</v>
      </c>
      <c r="BN109" s="49">
        <v>124.61499999999999</v>
      </c>
      <c r="BO109" s="49">
        <v>204.63399999999999</v>
      </c>
      <c r="BP109" s="63">
        <f>+N109</f>
        <v>257.29000000000002</v>
      </c>
      <c r="BQ109" s="62">
        <v>42.377000000000002</v>
      </c>
      <c r="BR109" s="49">
        <v>150.64099999999999</v>
      </c>
      <c r="BS109" s="49">
        <v>247.52699999999999</v>
      </c>
      <c r="BT109" s="63">
        <f>+O109</f>
        <v>296.529</v>
      </c>
      <c r="BU109" s="62">
        <v>43.804000000000002</v>
      </c>
      <c r="BV109" s="49">
        <v>151.714</v>
      </c>
      <c r="BW109" s="49">
        <v>251.369</v>
      </c>
      <c r="BX109" s="63">
        <f>+P109</f>
        <v>295.77499999999998</v>
      </c>
      <c r="BY109" s="62">
        <v>36.247</v>
      </c>
      <c r="BZ109" s="49">
        <v>140.489</v>
      </c>
      <c r="CA109" s="49">
        <v>266.69499999999999</v>
      </c>
      <c r="CB109" s="63">
        <f>+Q109</f>
        <v>323.17200000000003</v>
      </c>
      <c r="CC109" s="49">
        <v>66.126999999999995</v>
      </c>
      <c r="CD109" s="49">
        <v>238.26</v>
      </c>
      <c r="CE109" s="49">
        <v>403.10399999999998</v>
      </c>
      <c r="CF109" s="63">
        <f>$R109</f>
        <v>498.73500000000001</v>
      </c>
      <c r="CG109" s="49">
        <v>134.88999999999999</v>
      </c>
      <c r="CH109" s="49">
        <v>360.39600000000002</v>
      </c>
      <c r="CI109" s="49">
        <v>546.56600000000003</v>
      </c>
      <c r="CJ109" s="63">
        <f>$S109</f>
        <v>703.69600000000003</v>
      </c>
      <c r="CK109" s="49">
        <v>130.37100000000001</v>
      </c>
      <c r="CL109" s="49">
        <v>335.774</v>
      </c>
      <c r="CM109" s="49">
        <v>536.39800000000002</v>
      </c>
      <c r="CN109" s="63">
        <f>$T109</f>
        <v>634.13900000000001</v>
      </c>
      <c r="CO109" s="49">
        <v>104.262</v>
      </c>
      <c r="CP109" s="49">
        <v>318.91300000000001</v>
      </c>
      <c r="CQ109" s="49">
        <v>520.55999999999995</v>
      </c>
      <c r="CR109" s="63">
        <f>$U109</f>
        <v>635.74</v>
      </c>
      <c r="CS109" s="49">
        <v>94.54</v>
      </c>
      <c r="CT109" s="49">
        <v>311.30799999999999</v>
      </c>
      <c r="CU109" s="49">
        <v>500.53800000000001</v>
      </c>
      <c r="CV109" s="63">
        <f>$V109</f>
        <v>587.58799999999997</v>
      </c>
      <c r="CW109" s="49"/>
      <c r="CX109" s="49"/>
      <c r="CY109" s="49"/>
      <c r="CZ109" s="63">
        <f>$W109</f>
        <v>617.75859835885035</v>
      </c>
    </row>
    <row r="110" spans="1:104" ht="26.25">
      <c r="B110" s="131" t="s">
        <v>190</v>
      </c>
      <c r="H110" s="127"/>
      <c r="I110" s="127"/>
      <c r="J110" s="127"/>
      <c r="K110" s="127"/>
      <c r="L110" s="127"/>
      <c r="M110" s="127"/>
      <c r="N110" s="127"/>
      <c r="O110" s="127"/>
      <c r="P110" s="127"/>
      <c r="Q110" s="127"/>
      <c r="R110" s="127"/>
      <c r="S110" s="127"/>
      <c r="T110" s="127"/>
      <c r="U110" s="53"/>
      <c r="V110" s="53"/>
      <c r="W110" s="53"/>
      <c r="X110" s="53"/>
      <c r="Y110" s="64"/>
      <c r="AY110" s="374" t="s">
        <v>190</v>
      </c>
      <c r="BD110" s="120"/>
      <c r="BE110" s="375"/>
      <c r="BF110" s="127"/>
      <c r="BG110" s="127"/>
      <c r="BH110" s="376"/>
      <c r="BI110" s="375"/>
      <c r="BJ110" s="127"/>
      <c r="BK110" s="127"/>
      <c r="BL110" s="376"/>
      <c r="BM110" s="375"/>
      <c r="BN110" s="127"/>
      <c r="BO110" s="127"/>
      <c r="BP110" s="376"/>
      <c r="BQ110" s="375"/>
      <c r="BR110" s="127"/>
      <c r="BS110" s="127"/>
      <c r="BT110" s="376"/>
      <c r="BU110" s="375"/>
      <c r="BV110" s="127"/>
      <c r="BW110" s="127"/>
      <c r="BX110" s="376"/>
      <c r="BY110" s="375"/>
      <c r="BZ110" s="127"/>
      <c r="CA110" s="127"/>
      <c r="CB110" s="376"/>
      <c r="CC110" s="127"/>
      <c r="CD110" s="127"/>
      <c r="CE110" s="127"/>
      <c r="CF110" s="376"/>
      <c r="CG110" s="127"/>
      <c r="CH110" s="127"/>
      <c r="CI110" s="127"/>
      <c r="CJ110" s="376"/>
      <c r="CK110" s="127"/>
      <c r="CL110" s="127"/>
      <c r="CM110" s="127"/>
      <c r="CN110" s="376"/>
      <c r="CO110" s="127"/>
      <c r="CP110" s="127"/>
      <c r="CQ110" s="127"/>
      <c r="CR110" s="376"/>
      <c r="CS110" s="127"/>
      <c r="CT110" s="127"/>
      <c r="CU110" s="127"/>
      <c r="CV110" s="376"/>
      <c r="CW110" s="127"/>
      <c r="CX110" s="127"/>
      <c r="CY110" s="127"/>
      <c r="CZ110" s="376"/>
    </row>
    <row r="111" spans="1:104">
      <c r="B111" s="355" t="s">
        <v>191</v>
      </c>
      <c r="H111" s="53">
        <v>11.725</v>
      </c>
      <c r="I111" s="53">
        <v>15.911</v>
      </c>
      <c r="J111" s="53">
        <v>17.706</v>
      </c>
      <c r="K111" s="53">
        <v>17.927</v>
      </c>
      <c r="L111" s="53">
        <v>19.117000000000001</v>
      </c>
      <c r="M111" s="53">
        <v>20.065999999999999</v>
      </c>
      <c r="N111" s="53">
        <v>22.033000000000001</v>
      </c>
      <c r="O111" s="53">
        <v>22.094999999999999</v>
      </c>
      <c r="P111" s="53">
        <v>24.512</v>
      </c>
      <c r="Q111" s="53">
        <v>25.908000000000001</v>
      </c>
      <c r="R111" s="53">
        <v>28.126999999999999</v>
      </c>
      <c r="S111" s="53">
        <v>31.683</v>
      </c>
      <c r="T111" s="53">
        <v>35.090000000000003</v>
      </c>
      <c r="U111" s="53">
        <v>40.822000000000003</v>
      </c>
      <c r="V111" s="53">
        <v>43.752000000000002</v>
      </c>
      <c r="W111" s="53">
        <f>W241</f>
        <v>47.936250000000001</v>
      </c>
      <c r="X111" s="53">
        <f>X241</f>
        <v>51.08625</v>
      </c>
      <c r="Y111" s="64">
        <f>Y241</f>
        <v>54.236249999999998</v>
      </c>
      <c r="AY111" s="356" t="s">
        <v>191</v>
      </c>
      <c r="BD111" s="120"/>
      <c r="BE111" s="52">
        <v>4.6210000000000004</v>
      </c>
      <c r="BF111" s="53">
        <v>9.4090000000000007</v>
      </c>
      <c r="BG111" s="53">
        <v>14.215999999999999</v>
      </c>
      <c r="BH111" s="64">
        <f t="shared" ref="BH111:BH118" si="156">+L111</f>
        <v>19.117000000000001</v>
      </c>
      <c r="BI111" s="52">
        <v>4.9569999999999999</v>
      </c>
      <c r="BJ111" s="53">
        <v>10.042999999999999</v>
      </c>
      <c r="BK111" s="53">
        <v>15.077999999999999</v>
      </c>
      <c r="BL111" s="64">
        <f t="shared" ref="BL111:BL118" si="157">+M111</f>
        <v>20.065999999999999</v>
      </c>
      <c r="BM111" s="52">
        <v>5.3650000000000002</v>
      </c>
      <c r="BN111" s="53">
        <v>10.933999999999999</v>
      </c>
      <c r="BO111" s="53">
        <v>16.509</v>
      </c>
      <c r="BP111" s="64">
        <f t="shared" ref="BP111:BP118" si="158">+N111</f>
        <v>22.033000000000001</v>
      </c>
      <c r="BQ111" s="52">
        <v>5.5380000000000003</v>
      </c>
      <c r="BR111" s="53">
        <v>11.026999999999999</v>
      </c>
      <c r="BS111" s="53">
        <v>16.5</v>
      </c>
      <c r="BT111" s="64">
        <f t="shared" ref="BT111:BT118" si="159">+O111</f>
        <v>22.094999999999999</v>
      </c>
      <c r="BU111" s="52">
        <v>5.7679999999999998</v>
      </c>
      <c r="BV111" s="53">
        <v>11.656000000000001</v>
      </c>
      <c r="BW111" s="53">
        <v>17.983000000000001</v>
      </c>
      <c r="BX111" s="64">
        <f t="shared" ref="BX111:BX118" si="160">+P111</f>
        <v>24.512</v>
      </c>
      <c r="BY111" s="52">
        <v>6.4790000000000001</v>
      </c>
      <c r="BZ111" s="53">
        <v>12.898</v>
      </c>
      <c r="CA111" s="53">
        <v>19.350000000000001</v>
      </c>
      <c r="CB111" s="64">
        <f t="shared" ref="CB111:CB118" si="161">+Q111</f>
        <v>25.908000000000001</v>
      </c>
      <c r="CC111" s="53">
        <v>6.8979999999999997</v>
      </c>
      <c r="CD111" s="53">
        <v>13.877000000000001</v>
      </c>
      <c r="CE111" s="53">
        <v>20.873999999999999</v>
      </c>
      <c r="CF111" s="64">
        <f t="shared" ref="CF111:CF118" si="162">$R111</f>
        <v>28.126999999999999</v>
      </c>
      <c r="CG111" s="53">
        <v>7.593</v>
      </c>
      <c r="CH111" s="53">
        <v>15.375999999999999</v>
      </c>
      <c r="CI111" s="53">
        <v>23.44</v>
      </c>
      <c r="CJ111" s="64">
        <f t="shared" ref="CJ111:CJ118" si="163">$S111</f>
        <v>31.683</v>
      </c>
      <c r="CK111" s="53">
        <v>8.1829999999999998</v>
      </c>
      <c r="CL111" s="53">
        <v>16.614999999999998</v>
      </c>
      <c r="CM111" s="53">
        <v>25.405999999999999</v>
      </c>
      <c r="CN111" s="64">
        <f t="shared" ref="CN111:CN118" si="164">$T111</f>
        <v>35.090000000000003</v>
      </c>
      <c r="CO111" s="53">
        <v>9.8819999999999997</v>
      </c>
      <c r="CP111" s="53">
        <v>19.893000000000001</v>
      </c>
      <c r="CQ111" s="53">
        <v>30.331</v>
      </c>
      <c r="CR111" s="64">
        <f t="shared" ref="CR111:CR118" si="165">$U111</f>
        <v>40.822000000000003</v>
      </c>
      <c r="CS111" s="53">
        <v>10.776999999999999</v>
      </c>
      <c r="CT111" s="53">
        <v>21.687000000000001</v>
      </c>
      <c r="CU111" s="53">
        <v>32.68</v>
      </c>
      <c r="CV111" s="64">
        <f t="shared" ref="CV111:CV118" si="166">$V111</f>
        <v>43.752000000000002</v>
      </c>
      <c r="CW111" s="53"/>
      <c r="CX111" s="53"/>
      <c r="CY111" s="53"/>
      <c r="CZ111" s="64">
        <f t="shared" ref="CZ111:CZ118" si="167">$W111</f>
        <v>47.936250000000001</v>
      </c>
    </row>
    <row r="112" spans="1:104">
      <c r="B112" s="355" t="s">
        <v>192</v>
      </c>
      <c r="H112" s="53">
        <v>6.6630000000000003</v>
      </c>
      <c r="I112" s="53">
        <v>7.9390000000000001</v>
      </c>
      <c r="J112" s="53">
        <v>9.9670000000000005</v>
      </c>
      <c r="K112" s="53">
        <v>11.473000000000001</v>
      </c>
      <c r="L112" s="53">
        <v>12.596</v>
      </c>
      <c r="M112" s="53">
        <v>12.319000000000001</v>
      </c>
      <c r="N112" s="53">
        <v>13.292999999999999</v>
      </c>
      <c r="O112" s="53">
        <v>15.507999999999999</v>
      </c>
      <c r="P112" s="53">
        <v>17.032</v>
      </c>
      <c r="Q112" s="53">
        <v>22.129000000000001</v>
      </c>
      <c r="R112" s="53">
        <v>25.364999999999998</v>
      </c>
      <c r="S112" s="53">
        <v>28.821000000000002</v>
      </c>
      <c r="T112" s="53">
        <v>30</v>
      </c>
      <c r="U112" s="53">
        <v>35.021999999999998</v>
      </c>
      <c r="V112" s="53">
        <v>35.344000000000001</v>
      </c>
      <c r="W112" s="121">
        <v>35</v>
      </c>
      <c r="X112" s="121">
        <v>35</v>
      </c>
      <c r="Y112" s="377">
        <v>35</v>
      </c>
      <c r="AY112" s="356" t="s">
        <v>192</v>
      </c>
      <c r="BD112" s="120"/>
      <c r="BE112" s="52">
        <v>2.831</v>
      </c>
      <c r="BF112" s="53">
        <v>5.84</v>
      </c>
      <c r="BG112" s="53">
        <v>8.8620000000000001</v>
      </c>
      <c r="BH112" s="64">
        <f t="shared" si="156"/>
        <v>12.596</v>
      </c>
      <c r="BI112" s="52">
        <v>2.7850000000000001</v>
      </c>
      <c r="BJ112" s="53">
        <v>5.4740000000000002</v>
      </c>
      <c r="BK112" s="53">
        <v>8.359</v>
      </c>
      <c r="BL112" s="64">
        <f t="shared" si="157"/>
        <v>12.319000000000001</v>
      </c>
      <c r="BM112" s="52">
        <v>3.0270000000000001</v>
      </c>
      <c r="BN112" s="53">
        <v>6.2640000000000002</v>
      </c>
      <c r="BO112" s="53">
        <v>9.5990000000000002</v>
      </c>
      <c r="BP112" s="64">
        <f t="shared" si="158"/>
        <v>13.292999999999999</v>
      </c>
      <c r="BQ112" s="52">
        <v>3.59</v>
      </c>
      <c r="BR112" s="53">
        <v>7.3360000000000003</v>
      </c>
      <c r="BS112" s="53">
        <v>11.769</v>
      </c>
      <c r="BT112" s="64">
        <f t="shared" si="159"/>
        <v>15.507999999999999</v>
      </c>
      <c r="BU112" s="52">
        <v>3.8490000000000002</v>
      </c>
      <c r="BV112" s="53">
        <v>8.1739999999999995</v>
      </c>
      <c r="BW112" s="53">
        <v>11.992000000000001</v>
      </c>
      <c r="BX112" s="64">
        <f t="shared" si="160"/>
        <v>17.032</v>
      </c>
      <c r="BY112" s="52">
        <v>4.9119999999999999</v>
      </c>
      <c r="BZ112" s="53">
        <v>10.14</v>
      </c>
      <c r="CA112" s="53">
        <v>15.802</v>
      </c>
      <c r="CB112" s="64">
        <f t="shared" si="161"/>
        <v>22.129000000000001</v>
      </c>
      <c r="CC112" s="53">
        <v>5.8920000000000003</v>
      </c>
      <c r="CD112" s="53">
        <v>12.351000000000001</v>
      </c>
      <c r="CE112" s="53">
        <v>18.658999999999999</v>
      </c>
      <c r="CF112" s="64">
        <f t="shared" si="162"/>
        <v>25.364999999999998</v>
      </c>
      <c r="CG112" s="53">
        <v>7.9740000000000002</v>
      </c>
      <c r="CH112" s="53">
        <v>14.961</v>
      </c>
      <c r="CI112" s="53">
        <v>22.016999999999999</v>
      </c>
      <c r="CJ112" s="64">
        <f t="shared" si="163"/>
        <v>28.821000000000002</v>
      </c>
      <c r="CK112" s="53">
        <v>6.7009999999999996</v>
      </c>
      <c r="CL112" s="53">
        <v>13.529</v>
      </c>
      <c r="CM112" s="53">
        <v>20.791</v>
      </c>
      <c r="CN112" s="64">
        <f t="shared" si="164"/>
        <v>30</v>
      </c>
      <c r="CO112" s="53">
        <v>8.1270000000000007</v>
      </c>
      <c r="CP112" s="53">
        <v>16.516999999999999</v>
      </c>
      <c r="CQ112" s="53">
        <v>25.062999999999999</v>
      </c>
      <c r="CR112" s="64">
        <f t="shared" si="165"/>
        <v>35.021999999999998</v>
      </c>
      <c r="CS112" s="53">
        <v>8.8000000000000007</v>
      </c>
      <c r="CT112" s="53">
        <v>17.611999999999998</v>
      </c>
      <c r="CU112" s="53">
        <v>26.683</v>
      </c>
      <c r="CV112" s="64">
        <f t="shared" si="166"/>
        <v>35.344000000000001</v>
      </c>
      <c r="CW112" s="53"/>
      <c r="CX112" s="53"/>
      <c r="CY112" s="53"/>
      <c r="CZ112" s="64">
        <f t="shared" si="167"/>
        <v>35</v>
      </c>
    </row>
    <row r="113" spans="2:139">
      <c r="B113" s="355" t="s">
        <v>193</v>
      </c>
      <c r="H113" s="53">
        <v>8.31</v>
      </c>
      <c r="I113" s="53">
        <v>6.7240000000000002</v>
      </c>
      <c r="J113" s="53">
        <v>8.5890000000000004</v>
      </c>
      <c r="K113" s="53">
        <v>0.28899999999999998</v>
      </c>
      <c r="L113" s="53">
        <v>4.6870000000000003</v>
      </c>
      <c r="M113" s="53">
        <v>2.72</v>
      </c>
      <c r="N113" s="53">
        <v>-10.734999999999999</v>
      </c>
      <c r="O113" s="53">
        <v>8.2899999999999991</v>
      </c>
      <c r="P113" s="53">
        <v>1.278</v>
      </c>
      <c r="Q113" s="53">
        <v>0.04</v>
      </c>
      <c r="R113" s="53">
        <v>5.9390000000000001</v>
      </c>
      <c r="S113" s="53">
        <v>13.465999999999999</v>
      </c>
      <c r="T113" s="53">
        <v>-7.1790000000000003</v>
      </c>
      <c r="U113" s="53">
        <v>0.22900000000000001</v>
      </c>
      <c r="V113" s="53"/>
      <c r="W113" s="53"/>
      <c r="X113" s="53"/>
      <c r="Y113" s="64"/>
      <c r="AY113" s="356" t="s">
        <v>193</v>
      </c>
      <c r="BD113" s="120"/>
      <c r="BE113" s="52"/>
      <c r="BF113" s="53">
        <v>3.0089999999999999</v>
      </c>
      <c r="BG113" s="53">
        <v>5.6340000000000003</v>
      </c>
      <c r="BH113" s="64">
        <f t="shared" si="156"/>
        <v>4.6870000000000003</v>
      </c>
      <c r="BI113" s="52">
        <v>1.056</v>
      </c>
      <c r="BJ113" s="53">
        <v>2.2610000000000001</v>
      </c>
      <c r="BK113" s="53">
        <v>3.984</v>
      </c>
      <c r="BL113" s="64">
        <f t="shared" si="157"/>
        <v>2.72</v>
      </c>
      <c r="BM113" s="52"/>
      <c r="BN113" s="53">
        <v>2.7389999999999999</v>
      </c>
      <c r="BO113" s="53">
        <v>4.101</v>
      </c>
      <c r="BP113" s="64">
        <f t="shared" si="158"/>
        <v>-10.734999999999999</v>
      </c>
      <c r="BQ113" s="52"/>
      <c r="BR113" s="53">
        <v>1.569</v>
      </c>
      <c r="BS113" s="53">
        <v>3.9249999999999998</v>
      </c>
      <c r="BT113" s="64">
        <f t="shared" si="159"/>
        <v>8.2899999999999991</v>
      </c>
      <c r="BU113" s="52"/>
      <c r="BV113" s="53">
        <v>1.1559999999999999</v>
      </c>
      <c r="BW113" s="53">
        <v>2.7650000000000001</v>
      </c>
      <c r="BX113" s="64">
        <f t="shared" si="160"/>
        <v>1.278</v>
      </c>
      <c r="BY113" s="52"/>
      <c r="BZ113" s="53">
        <v>1.6759999999999999</v>
      </c>
      <c r="CA113" s="53">
        <v>3.177</v>
      </c>
      <c r="CB113" s="64">
        <f t="shared" si="161"/>
        <v>0.04</v>
      </c>
      <c r="CC113" s="53"/>
      <c r="CD113" s="53">
        <v>2.1150000000000002</v>
      </c>
      <c r="CE113" s="53">
        <v>3.9660000000000002</v>
      </c>
      <c r="CF113" s="64">
        <f t="shared" si="162"/>
        <v>5.9390000000000001</v>
      </c>
      <c r="CG113" s="53"/>
      <c r="CH113" s="53">
        <v>4.0979999999999999</v>
      </c>
      <c r="CI113" s="53">
        <v>0</v>
      </c>
      <c r="CJ113" s="64">
        <f t="shared" si="163"/>
        <v>13.465999999999999</v>
      </c>
      <c r="CK113" s="53"/>
      <c r="CL113" s="53">
        <v>3.4420000000000002</v>
      </c>
      <c r="CM113" s="53">
        <v>0</v>
      </c>
      <c r="CN113" s="64">
        <f t="shared" si="164"/>
        <v>-7.1790000000000003</v>
      </c>
      <c r="CO113" s="53">
        <v>0</v>
      </c>
      <c r="CP113" s="53">
        <v>3.5680000000000001</v>
      </c>
      <c r="CQ113" s="53"/>
      <c r="CR113" s="64">
        <f t="shared" si="165"/>
        <v>0.22900000000000001</v>
      </c>
      <c r="CS113" s="53">
        <v>0</v>
      </c>
      <c r="CT113" s="53">
        <v>0</v>
      </c>
      <c r="CU113" s="53">
        <v>0</v>
      </c>
      <c r="CV113" s="64">
        <f t="shared" si="166"/>
        <v>0</v>
      </c>
      <c r="CW113" s="53"/>
      <c r="CX113" s="53"/>
      <c r="CY113" s="53"/>
      <c r="CZ113" s="64">
        <f t="shared" si="167"/>
        <v>0</v>
      </c>
    </row>
    <row r="114" spans="2:139">
      <c r="B114" s="355" t="s">
        <v>194</v>
      </c>
      <c r="H114" s="53">
        <v>2.3740000000000001</v>
      </c>
      <c r="I114" s="53">
        <v>1.8260000000000001</v>
      </c>
      <c r="J114" s="53">
        <v>0.96099999999999997</v>
      </c>
      <c r="K114" s="53">
        <v>2.609</v>
      </c>
      <c r="L114" s="53">
        <v>2.6880000000000002</v>
      </c>
      <c r="M114" s="53">
        <v>3.4870000000000001</v>
      </c>
      <c r="N114" s="53">
        <v>1.9910000000000001</v>
      </c>
      <c r="O114" s="53">
        <v>2.9449999999999998</v>
      </c>
      <c r="P114" s="53">
        <v>4.274</v>
      </c>
      <c r="Q114" s="53">
        <v>4.5430000000000001</v>
      </c>
      <c r="R114" s="53">
        <v>5.1539999999999999</v>
      </c>
      <c r="S114" s="53">
        <v>6.7460000000000004</v>
      </c>
      <c r="T114" s="53">
        <v>7.1580000000000004</v>
      </c>
      <c r="U114" s="53">
        <v>4.2850000000000001</v>
      </c>
      <c r="V114" s="53">
        <v>5.2009999999999996</v>
      </c>
      <c r="W114" s="53"/>
      <c r="X114" s="53"/>
      <c r="Y114" s="64"/>
      <c r="AY114" s="356" t="s">
        <v>194</v>
      </c>
      <c r="BD114" s="120"/>
      <c r="BE114" s="52">
        <v>1.288</v>
      </c>
      <c r="BF114" s="53">
        <v>0.47599999999999998</v>
      </c>
      <c r="BG114" s="53">
        <v>1.3049999999999999</v>
      </c>
      <c r="BH114" s="64">
        <f t="shared" si="156"/>
        <v>2.6880000000000002</v>
      </c>
      <c r="BI114" s="52"/>
      <c r="BJ114" s="53"/>
      <c r="BK114" s="53"/>
      <c r="BL114" s="64">
        <f t="shared" si="157"/>
        <v>3.4870000000000001</v>
      </c>
      <c r="BM114" s="52">
        <v>0.40100000000000002</v>
      </c>
      <c r="BN114" s="53"/>
      <c r="BO114" s="53"/>
      <c r="BP114" s="64">
        <f t="shared" si="158"/>
        <v>1.9910000000000001</v>
      </c>
      <c r="BQ114" s="52">
        <v>0.89800000000000002</v>
      </c>
      <c r="BR114" s="53"/>
      <c r="BS114" s="53"/>
      <c r="BT114" s="64">
        <f t="shared" si="159"/>
        <v>2.9449999999999998</v>
      </c>
      <c r="BU114" s="52">
        <v>1.4059999999999999</v>
      </c>
      <c r="BV114" s="53"/>
      <c r="BW114" s="53"/>
      <c r="BX114" s="64">
        <f t="shared" si="160"/>
        <v>4.274</v>
      </c>
      <c r="BY114" s="52">
        <v>2.0049999999999999</v>
      </c>
      <c r="BZ114" s="53"/>
      <c r="CA114" s="53"/>
      <c r="CB114" s="64">
        <f t="shared" si="161"/>
        <v>4.5430000000000001</v>
      </c>
      <c r="CC114" s="53">
        <v>0.39300000000000002</v>
      </c>
      <c r="CD114" s="53">
        <v>0.46500000000000002</v>
      </c>
      <c r="CE114" s="53"/>
      <c r="CF114" s="64">
        <f t="shared" si="162"/>
        <v>5.1539999999999999</v>
      </c>
      <c r="CG114" s="53">
        <v>1.0609999999999999</v>
      </c>
      <c r="CH114" s="53">
        <v>4.1390000000000002</v>
      </c>
      <c r="CI114" s="53">
        <v>6.3109999999999999</v>
      </c>
      <c r="CJ114" s="64">
        <f t="shared" si="163"/>
        <v>6.7460000000000004</v>
      </c>
      <c r="CK114" s="53">
        <v>1.0429999999999999</v>
      </c>
      <c r="CL114" s="53">
        <v>1.405</v>
      </c>
      <c r="CM114" s="53">
        <v>5.8920000000000003</v>
      </c>
      <c r="CN114" s="64">
        <f t="shared" si="164"/>
        <v>7.1580000000000004</v>
      </c>
      <c r="CO114" s="53">
        <v>0.86199999999999999</v>
      </c>
      <c r="CP114" s="53">
        <v>1.569</v>
      </c>
      <c r="CQ114" s="53">
        <v>0.60799999999999998</v>
      </c>
      <c r="CR114" s="64">
        <f t="shared" si="165"/>
        <v>4.2850000000000001</v>
      </c>
      <c r="CS114" s="53">
        <v>0.84</v>
      </c>
      <c r="CT114" s="53">
        <v>0.70399999999999996</v>
      </c>
      <c r="CU114" s="53">
        <v>2.5499999999999998</v>
      </c>
      <c r="CV114" s="64">
        <f t="shared" si="166"/>
        <v>5.2009999999999996</v>
      </c>
      <c r="CW114" s="53"/>
      <c r="CX114" s="53"/>
      <c r="CY114" s="53"/>
      <c r="CZ114" s="64">
        <f t="shared" si="167"/>
        <v>0</v>
      </c>
    </row>
    <row r="115" spans="2:139">
      <c r="B115" s="355" t="s">
        <v>195</v>
      </c>
      <c r="H115" s="53">
        <v>1.718</v>
      </c>
      <c r="I115" s="53">
        <v>1.772</v>
      </c>
      <c r="J115" s="53">
        <v>1.6890000000000001</v>
      </c>
      <c r="K115" s="53">
        <v>1.7589999999999999</v>
      </c>
      <c r="L115" s="53">
        <v>1.9630000000000001</v>
      </c>
      <c r="M115" s="53">
        <v>2.3479999999999999</v>
      </c>
      <c r="N115" s="53">
        <v>2.4279999999999999</v>
      </c>
      <c r="O115" s="53">
        <v>2.6190000000000002</v>
      </c>
      <c r="P115" s="53">
        <v>3.948</v>
      </c>
      <c r="Q115" s="53">
        <v>2.6880000000000002</v>
      </c>
      <c r="R115" s="53">
        <v>6.8879999999999999</v>
      </c>
      <c r="S115" s="53">
        <v>8.5389999999999997</v>
      </c>
      <c r="T115" s="53"/>
      <c r="U115" s="53">
        <v>8.7349999999999994</v>
      </c>
      <c r="V115" s="53">
        <v>8.7430000000000003</v>
      </c>
      <c r="W115" s="53"/>
      <c r="X115" s="53"/>
      <c r="Y115" s="64"/>
      <c r="AY115" s="356" t="s">
        <v>195</v>
      </c>
      <c r="BD115" s="120"/>
      <c r="BE115" s="52">
        <v>1.9630000000000001</v>
      </c>
      <c r="BF115" s="53">
        <v>1.9630000000000001</v>
      </c>
      <c r="BG115" s="53">
        <v>1.9630000000000001</v>
      </c>
      <c r="BH115" s="64">
        <f t="shared" si="156"/>
        <v>1.9630000000000001</v>
      </c>
      <c r="BI115" s="52">
        <v>2.3479999999999999</v>
      </c>
      <c r="BJ115" s="53"/>
      <c r="BK115" s="53">
        <v>2.3479999999999999</v>
      </c>
      <c r="BL115" s="64">
        <f t="shared" si="157"/>
        <v>2.3479999999999999</v>
      </c>
      <c r="BM115" s="52">
        <v>2.4279999999999999</v>
      </c>
      <c r="BN115" s="53"/>
      <c r="BO115" s="53">
        <v>2.4279999999999999</v>
      </c>
      <c r="BP115" s="64">
        <f t="shared" si="158"/>
        <v>2.4279999999999999</v>
      </c>
      <c r="BQ115" s="52">
        <v>2.9449999999999998</v>
      </c>
      <c r="BR115" s="53"/>
      <c r="BS115" s="53">
        <v>2.9449999999999998</v>
      </c>
      <c r="BT115" s="64">
        <f t="shared" si="159"/>
        <v>2.6190000000000002</v>
      </c>
      <c r="BU115" s="52">
        <v>4.274</v>
      </c>
      <c r="BV115" s="53"/>
      <c r="BW115" s="53">
        <v>4.274</v>
      </c>
      <c r="BX115" s="64">
        <f t="shared" si="160"/>
        <v>3.948</v>
      </c>
      <c r="BY115" s="52">
        <v>4.5430000000000001</v>
      </c>
      <c r="BZ115" s="53"/>
      <c r="CA115" s="53">
        <v>4.5430000000000001</v>
      </c>
      <c r="CB115" s="64">
        <f t="shared" si="161"/>
        <v>2.6880000000000002</v>
      </c>
      <c r="CC115" s="53">
        <v>5.1539999999999999</v>
      </c>
      <c r="CD115" s="53"/>
      <c r="CE115" s="53">
        <v>5.1539999999999999</v>
      </c>
      <c r="CF115" s="64">
        <f t="shared" si="162"/>
        <v>6.8879999999999999</v>
      </c>
      <c r="CG115" s="53">
        <v>6.7370000000000001</v>
      </c>
      <c r="CH115" s="53">
        <v>0</v>
      </c>
      <c r="CI115" s="53">
        <v>6.7460000000000004</v>
      </c>
      <c r="CJ115" s="64">
        <f t="shared" si="163"/>
        <v>8.5389999999999997</v>
      </c>
      <c r="CK115" s="53">
        <v>8.8620000000000001</v>
      </c>
      <c r="CL115" s="53">
        <v>0</v>
      </c>
      <c r="CM115" s="53">
        <v>8.8620000000000001</v>
      </c>
      <c r="CN115" s="64">
        <f t="shared" si="164"/>
        <v>0</v>
      </c>
      <c r="CO115" s="53">
        <v>8.7349999999999994</v>
      </c>
      <c r="CP115" s="53">
        <v>8.7349999999999994</v>
      </c>
      <c r="CQ115" s="53">
        <v>8.7349999999999994</v>
      </c>
      <c r="CR115" s="64">
        <f t="shared" si="165"/>
        <v>8.7349999999999994</v>
      </c>
      <c r="CS115" s="53">
        <v>8.7430000000000003</v>
      </c>
      <c r="CT115" s="53">
        <v>8.7430000000000003</v>
      </c>
      <c r="CU115" s="53">
        <v>8.7430000000000003</v>
      </c>
      <c r="CV115" s="64">
        <f t="shared" si="166"/>
        <v>8.7430000000000003</v>
      </c>
      <c r="CW115" s="53"/>
      <c r="CX115" s="53"/>
      <c r="CY115" s="53"/>
      <c r="CZ115" s="64">
        <f t="shared" si="167"/>
        <v>0</v>
      </c>
    </row>
    <row r="116" spans="2:139" ht="12.75" customHeight="1">
      <c r="B116" s="355" t="s">
        <v>196</v>
      </c>
      <c r="H116" s="53"/>
      <c r="I116" s="53"/>
      <c r="J116" s="53"/>
      <c r="K116" s="53"/>
      <c r="L116" s="53"/>
      <c r="M116" s="53">
        <v>0</v>
      </c>
      <c r="N116" s="53">
        <v>-3.8860000000000001</v>
      </c>
      <c r="O116" s="53">
        <v>-9.282</v>
      </c>
      <c r="P116" s="53">
        <v>-10.256</v>
      </c>
      <c r="Q116" s="53">
        <v>-11.263999999999999</v>
      </c>
      <c r="R116" s="53">
        <v>-19.298999999999999</v>
      </c>
      <c r="S116" s="53">
        <v>-22.670999999999999</v>
      </c>
      <c r="T116" s="53">
        <v>-26.177</v>
      </c>
      <c r="U116" s="53">
        <v>-30.501000000000001</v>
      </c>
      <c r="V116" s="53">
        <v>-27.765000000000001</v>
      </c>
      <c r="W116" s="53">
        <v>-25</v>
      </c>
      <c r="X116" s="53">
        <v>-25</v>
      </c>
      <c r="Y116" s="64">
        <v>-25</v>
      </c>
      <c r="AY116" s="356" t="s">
        <v>196</v>
      </c>
      <c r="BD116" s="120"/>
      <c r="BE116" s="52"/>
      <c r="BF116" s="53"/>
      <c r="BG116" s="53"/>
      <c r="BH116" s="64">
        <f t="shared" si="156"/>
        <v>0</v>
      </c>
      <c r="BI116" s="52"/>
      <c r="BJ116" s="53"/>
      <c r="BK116" s="53">
        <v>0</v>
      </c>
      <c r="BL116" s="64">
        <f t="shared" si="157"/>
        <v>0</v>
      </c>
      <c r="BM116" s="52"/>
      <c r="BN116" s="53"/>
      <c r="BO116" s="53">
        <v>-2.294</v>
      </c>
      <c r="BP116" s="64">
        <f t="shared" si="158"/>
        <v>-3.8860000000000001</v>
      </c>
      <c r="BQ116" s="52">
        <f>-1.638+0.431</f>
        <v>-1.2069999999999999</v>
      </c>
      <c r="BR116" s="53">
        <f>-4.795+3.26</f>
        <v>-1.5350000000000001</v>
      </c>
      <c r="BS116" s="53">
        <v>-8.4909999999999997</v>
      </c>
      <c r="BT116" s="64">
        <f t="shared" si="159"/>
        <v>-9.282</v>
      </c>
      <c r="BU116" s="52">
        <f>-1.444+-0.221</f>
        <v>-1.665</v>
      </c>
      <c r="BV116" s="53">
        <f>-4.409+5.644</f>
        <v>1.2350000000000003</v>
      </c>
      <c r="BW116" s="53">
        <v>-7.9390000000000001</v>
      </c>
      <c r="BX116" s="64">
        <f t="shared" si="160"/>
        <v>-10.256</v>
      </c>
      <c r="BY116" s="52">
        <f>-1.014+0.668</f>
        <v>-0.34599999999999997</v>
      </c>
      <c r="BZ116" s="53">
        <f>-5.117+6.475</f>
        <v>1.3579999999999997</v>
      </c>
      <c r="CA116" s="53">
        <v>-9.1720000000000006</v>
      </c>
      <c r="CB116" s="64">
        <f t="shared" si="161"/>
        <v>-11.263999999999999</v>
      </c>
      <c r="CC116" s="53">
        <f>-4.671+1.042</f>
        <v>-3.6290000000000004</v>
      </c>
      <c r="CD116" s="53">
        <f>-10.21+6.15</f>
        <v>-4.0600000000000005</v>
      </c>
      <c r="CE116" s="53">
        <v>-16.266999999999999</v>
      </c>
      <c r="CF116" s="64">
        <f t="shared" si="162"/>
        <v>-19.298999999999999</v>
      </c>
      <c r="CG116" s="53">
        <f>-4.045+1.417</f>
        <v>-2.6280000000000001</v>
      </c>
      <c r="CH116" s="53">
        <v>-10.362</v>
      </c>
      <c r="CI116" s="53">
        <v>-17.289000000000001</v>
      </c>
      <c r="CJ116" s="64">
        <f t="shared" si="163"/>
        <v>-22.670999999999999</v>
      </c>
      <c r="CK116" s="53">
        <v>-3.64</v>
      </c>
      <c r="CL116" s="53">
        <v>-10.878</v>
      </c>
      <c r="CM116" s="53">
        <v>-20.384</v>
      </c>
      <c r="CN116" s="64">
        <f t="shared" si="164"/>
        <v>-26.177</v>
      </c>
      <c r="CO116" s="53">
        <v>-5.46</v>
      </c>
      <c r="CP116" s="53">
        <v>-13.532</v>
      </c>
      <c r="CQ116" s="53">
        <v>-23.908000000000001</v>
      </c>
      <c r="CR116" s="64">
        <f t="shared" si="165"/>
        <v>-30.501000000000001</v>
      </c>
      <c r="CS116" s="53">
        <v>-5.1459999999999999</v>
      </c>
      <c r="CT116" s="53">
        <v>-12.528</v>
      </c>
      <c r="CU116" s="53">
        <v>-22.03</v>
      </c>
      <c r="CV116" s="64">
        <f t="shared" si="166"/>
        <v>-27.765000000000001</v>
      </c>
      <c r="CW116" s="53"/>
      <c r="CX116" s="53"/>
      <c r="CY116" s="53"/>
      <c r="CZ116" s="64">
        <f t="shared" si="167"/>
        <v>-25</v>
      </c>
    </row>
    <row r="117" spans="2:139">
      <c r="B117" s="355" t="s">
        <v>197</v>
      </c>
      <c r="H117" s="53">
        <v>0.17100000000000001</v>
      </c>
      <c r="I117" s="53">
        <v>0.10299999999999999</v>
      </c>
      <c r="J117" s="53">
        <v>-0.156</v>
      </c>
      <c r="K117" s="53">
        <v>-1.292</v>
      </c>
      <c r="L117" s="53">
        <v>-0.48699999999999999</v>
      </c>
      <c r="M117" s="53">
        <v>-0.189</v>
      </c>
      <c r="N117" s="53">
        <v>0.115</v>
      </c>
      <c r="O117" s="53">
        <v>2.7E-2</v>
      </c>
      <c r="P117" s="53">
        <v>-0.58499999999999996</v>
      </c>
      <c r="Q117" s="53">
        <v>1.7000000000000001E-2</v>
      </c>
      <c r="R117" s="53">
        <v>0.35</v>
      </c>
      <c r="S117" s="53">
        <v>-1.6240000000000001</v>
      </c>
      <c r="T117" s="53"/>
      <c r="U117" s="9">
        <v>0.53600000000000003</v>
      </c>
      <c r="Y117" s="120"/>
      <c r="AY117" s="356" t="s">
        <v>197</v>
      </c>
      <c r="BD117" s="120"/>
      <c r="BE117" s="52"/>
      <c r="BF117" s="53">
        <v>-0.36599999999999999</v>
      </c>
      <c r="BG117" s="53">
        <v>-0.42</v>
      </c>
      <c r="BH117" s="64">
        <f t="shared" si="156"/>
        <v>-0.48699999999999999</v>
      </c>
      <c r="BI117" s="52"/>
      <c r="BJ117" s="53"/>
      <c r="BK117" s="53"/>
      <c r="BL117" s="64">
        <f t="shared" si="157"/>
        <v>-0.189</v>
      </c>
      <c r="BM117" s="52"/>
      <c r="BN117" s="53"/>
      <c r="BO117" s="53"/>
      <c r="BP117" s="64">
        <f t="shared" si="158"/>
        <v>0.115</v>
      </c>
      <c r="BQ117" s="52"/>
      <c r="BR117" s="53"/>
      <c r="BS117" s="53"/>
      <c r="BT117" s="64">
        <f t="shared" si="159"/>
        <v>2.7E-2</v>
      </c>
      <c r="BU117" s="52"/>
      <c r="BV117" s="53"/>
      <c r="BW117" s="53"/>
      <c r="BX117" s="64">
        <f t="shared" si="160"/>
        <v>-0.58499999999999996</v>
      </c>
      <c r="BY117" s="52"/>
      <c r="BZ117" s="53"/>
      <c r="CA117" s="53"/>
      <c r="CB117" s="64">
        <f t="shared" si="161"/>
        <v>1.7000000000000001E-2</v>
      </c>
      <c r="CC117" s="53"/>
      <c r="CD117" s="53"/>
      <c r="CE117" s="53"/>
      <c r="CF117" s="64">
        <f t="shared" si="162"/>
        <v>0.35</v>
      </c>
      <c r="CG117" s="53">
        <f>+-0.153</f>
        <v>-0.153</v>
      </c>
      <c r="CH117" s="53"/>
      <c r="CI117" s="53">
        <v>0</v>
      </c>
      <c r="CJ117" s="64">
        <f t="shared" si="163"/>
        <v>-1.6240000000000001</v>
      </c>
      <c r="CK117" s="53"/>
      <c r="CL117" s="53"/>
      <c r="CM117" s="53"/>
      <c r="CN117" s="64">
        <f t="shared" si="164"/>
        <v>0</v>
      </c>
      <c r="CO117" s="53"/>
      <c r="CP117" s="53"/>
      <c r="CQ117" s="53"/>
      <c r="CR117" s="64">
        <f t="shared" si="165"/>
        <v>0.53600000000000003</v>
      </c>
      <c r="CS117" s="53"/>
      <c r="CT117" s="53"/>
      <c r="CU117" s="53"/>
      <c r="CV117" s="64">
        <f t="shared" si="166"/>
        <v>0</v>
      </c>
      <c r="CW117" s="53"/>
      <c r="CX117" s="53"/>
      <c r="CY117" s="53"/>
      <c r="CZ117" s="64">
        <f t="shared" si="167"/>
        <v>0</v>
      </c>
    </row>
    <row r="118" spans="2:139" ht="25.9">
      <c r="B118" s="355" t="s">
        <v>198</v>
      </c>
      <c r="H118" s="53">
        <v>-0.85899999999999999</v>
      </c>
      <c r="I118" s="53">
        <v>-1.079</v>
      </c>
      <c r="J118" s="53">
        <v>-1.5109999999999999</v>
      </c>
      <c r="K118" s="53">
        <v>-1.8280000000000001</v>
      </c>
      <c r="L118" s="53">
        <v>-2.4220000000000002</v>
      </c>
      <c r="M118" s="53">
        <v>0</v>
      </c>
      <c r="N118" s="53">
        <v>0</v>
      </c>
      <c r="O118" s="53">
        <v>0</v>
      </c>
      <c r="P118" s="53">
        <v>0</v>
      </c>
      <c r="Q118" s="53">
        <v>0</v>
      </c>
      <c r="R118" s="53">
        <v>0</v>
      </c>
      <c r="S118" s="53">
        <v>0</v>
      </c>
      <c r="T118" s="53">
        <f>8.862-0.143</f>
        <v>8.7189999999999994</v>
      </c>
      <c r="U118" s="53">
        <v>0</v>
      </c>
      <c r="V118" s="53">
        <v>18.844000000000001</v>
      </c>
      <c r="W118" s="90"/>
      <c r="X118" s="90"/>
      <c r="Y118" s="91"/>
      <c r="AY118" s="356" t="s">
        <v>198</v>
      </c>
      <c r="AZ118" s="84"/>
      <c r="BA118" s="149"/>
      <c r="BB118" s="149"/>
      <c r="BC118" s="149"/>
      <c r="BD118" s="378"/>
      <c r="BE118" s="52">
        <v>-0.35799999999999998</v>
      </c>
      <c r="BF118" s="53">
        <v>-1.774</v>
      </c>
      <c r="BG118" s="53">
        <v>-1.9830000000000001</v>
      </c>
      <c r="BH118" s="64">
        <f t="shared" si="156"/>
        <v>-2.4220000000000002</v>
      </c>
      <c r="BI118" s="52">
        <v>-0.85399999999999998</v>
      </c>
      <c r="BJ118" s="53"/>
      <c r="BK118" s="53"/>
      <c r="BL118" s="64">
        <f t="shared" si="157"/>
        <v>0</v>
      </c>
      <c r="BM118" s="52"/>
      <c r="BN118" s="53"/>
      <c r="BO118" s="53"/>
      <c r="BP118" s="64">
        <f t="shared" si="158"/>
        <v>0</v>
      </c>
      <c r="BQ118" s="52"/>
      <c r="BR118" s="53"/>
      <c r="BS118" s="53">
        <v>0.92700000000000005</v>
      </c>
      <c r="BT118" s="64">
        <f t="shared" si="159"/>
        <v>0</v>
      </c>
      <c r="BU118" s="52"/>
      <c r="BV118" s="53"/>
      <c r="BW118" s="53">
        <v>1.26</v>
      </c>
      <c r="BX118" s="64">
        <f t="shared" si="160"/>
        <v>0</v>
      </c>
      <c r="BY118" s="52"/>
      <c r="BZ118" s="53"/>
      <c r="CA118" s="53">
        <v>1.776</v>
      </c>
      <c r="CB118" s="64">
        <f t="shared" si="161"/>
        <v>0</v>
      </c>
      <c r="CC118" s="53"/>
      <c r="CD118" s="53"/>
      <c r="CE118" s="53">
        <v>1.9690000000000001</v>
      </c>
      <c r="CF118" s="64">
        <f t="shared" si="162"/>
        <v>0</v>
      </c>
      <c r="CG118" s="53"/>
      <c r="CH118" s="53">
        <v>6.8529999999999998</v>
      </c>
      <c r="CI118" s="53">
        <v>5.6719999999999997</v>
      </c>
      <c r="CJ118" s="64">
        <f t="shared" si="163"/>
        <v>0</v>
      </c>
      <c r="CK118" s="53">
        <v>1.1599999999999999</v>
      </c>
      <c r="CL118" s="53">
        <v>8.3810000000000002</v>
      </c>
      <c r="CM118" s="53">
        <v>2.8410000000000002</v>
      </c>
      <c r="CN118" s="64">
        <f t="shared" si="164"/>
        <v>8.7189999999999994</v>
      </c>
      <c r="CO118" s="53">
        <v>1.2450000000000001</v>
      </c>
      <c r="CP118" s="53">
        <v>0.29399999999999998</v>
      </c>
      <c r="CQ118" s="53">
        <v>6.5529999999999999</v>
      </c>
      <c r="CR118" s="64">
        <f t="shared" si="165"/>
        <v>0</v>
      </c>
      <c r="CS118" s="53">
        <v>0.81100000000000005</v>
      </c>
      <c r="CT118" s="53">
        <v>3.2970000000000002</v>
      </c>
      <c r="CU118" s="53">
        <v>5.6390000000000002</v>
      </c>
      <c r="CV118" s="64">
        <f t="shared" si="166"/>
        <v>18.844000000000001</v>
      </c>
      <c r="CW118" s="53"/>
      <c r="CX118" s="53"/>
      <c r="CY118" s="53"/>
      <c r="CZ118" s="64">
        <f t="shared" si="167"/>
        <v>0</v>
      </c>
    </row>
    <row r="119" spans="2:139" ht="13.15">
      <c r="B119" s="48" t="s">
        <v>199</v>
      </c>
      <c r="H119" s="53">
        <f t="shared" ref="H119:N119" si="168">SUM(H109:H118)</f>
        <v>167.84399999999997</v>
      </c>
      <c r="I119" s="53">
        <f t="shared" si="168"/>
        <v>190.79699999999997</v>
      </c>
      <c r="J119" s="53">
        <f t="shared" si="168"/>
        <v>224.964</v>
      </c>
      <c r="K119" s="53">
        <f t="shared" si="168"/>
        <v>239.63899999999998</v>
      </c>
      <c r="L119" s="53">
        <f t="shared" si="168"/>
        <v>264.66599999999994</v>
      </c>
      <c r="M119" s="53">
        <f t="shared" si="168"/>
        <v>276.73400000000004</v>
      </c>
      <c r="N119" s="53">
        <f t="shared" si="168"/>
        <v>282.529</v>
      </c>
      <c r="O119" s="53">
        <f t="shared" ref="O119:Y119" si="169">SUM(O109:O118)</f>
        <v>338.73100000000005</v>
      </c>
      <c r="P119" s="53">
        <f t="shared" si="169"/>
        <v>335.97800000000001</v>
      </c>
      <c r="Q119" s="53">
        <f t="shared" si="169"/>
        <v>367.23300000000006</v>
      </c>
      <c r="R119" s="53">
        <f t="shared" si="169"/>
        <v>551.25900000000001</v>
      </c>
      <c r="S119" s="53">
        <f t="shared" si="169"/>
        <v>768.65599999999995</v>
      </c>
      <c r="T119" s="53">
        <f t="shared" si="169"/>
        <v>681.75000000000011</v>
      </c>
      <c r="U119" s="53">
        <f t="shared" si="169"/>
        <v>694.86800000000005</v>
      </c>
      <c r="V119" s="53">
        <f>SUM(V109:V118)</f>
        <v>671.70700000000011</v>
      </c>
      <c r="W119" s="53">
        <f t="shared" si="169"/>
        <v>675.69484835885032</v>
      </c>
      <c r="X119" s="53">
        <f t="shared" si="169"/>
        <v>725.48895640929618</v>
      </c>
      <c r="Y119" s="64">
        <f t="shared" si="169"/>
        <v>781.03295434426366</v>
      </c>
      <c r="AR119" s="7"/>
      <c r="AY119" s="59" t="s">
        <v>199</v>
      </c>
      <c r="AZ119" s="84"/>
      <c r="BA119" s="149"/>
      <c r="BB119" s="149"/>
      <c r="BC119" s="149"/>
      <c r="BD119" s="378"/>
      <c r="BE119" s="52">
        <f t="shared" ref="BE119:CH119" si="170">SUM(BE109:BE118)</f>
        <v>41.645000000000003</v>
      </c>
      <c r="BF119" s="53">
        <f t="shared" si="170"/>
        <v>134.09799999999996</v>
      </c>
      <c r="BG119" s="53">
        <f t="shared" si="170"/>
        <v>219.762</v>
      </c>
      <c r="BH119" s="64">
        <f t="shared" si="170"/>
        <v>264.66599999999994</v>
      </c>
      <c r="BI119" s="52">
        <f t="shared" si="170"/>
        <v>44.465999999999994</v>
      </c>
      <c r="BJ119" s="53">
        <f t="shared" si="170"/>
        <v>133.37599999999998</v>
      </c>
      <c r="BK119" s="53">
        <f t="shared" si="170"/>
        <v>225.88500000000005</v>
      </c>
      <c r="BL119" s="64">
        <f t="shared" si="170"/>
        <v>276.73400000000004</v>
      </c>
      <c r="BM119" s="52">
        <f t="shared" si="170"/>
        <v>44.989000000000004</v>
      </c>
      <c r="BN119" s="53">
        <f t="shared" si="170"/>
        <v>144.55200000000002</v>
      </c>
      <c r="BO119" s="53">
        <f t="shared" si="170"/>
        <v>234.97699999999995</v>
      </c>
      <c r="BP119" s="64">
        <f t="shared" si="170"/>
        <v>282.529</v>
      </c>
      <c r="BQ119" s="52">
        <f t="shared" si="170"/>
        <v>54.141000000000012</v>
      </c>
      <c r="BR119" s="53">
        <f t="shared" si="170"/>
        <v>169.03799999999998</v>
      </c>
      <c r="BS119" s="53">
        <f t="shared" si="170"/>
        <v>275.10200000000003</v>
      </c>
      <c r="BT119" s="64">
        <f t="shared" si="170"/>
        <v>338.73100000000005</v>
      </c>
      <c r="BU119" s="52">
        <f t="shared" si="170"/>
        <v>57.436000000000007</v>
      </c>
      <c r="BV119" s="53">
        <f t="shared" si="170"/>
        <v>173.93500000000003</v>
      </c>
      <c r="BW119" s="53">
        <f t="shared" si="170"/>
        <v>281.70399999999995</v>
      </c>
      <c r="BX119" s="64">
        <f t="shared" si="170"/>
        <v>335.97800000000001</v>
      </c>
      <c r="BY119" s="52">
        <f t="shared" si="170"/>
        <v>53.84</v>
      </c>
      <c r="BZ119" s="53">
        <f t="shared" si="170"/>
        <v>166.56099999999998</v>
      </c>
      <c r="CA119" s="53">
        <f t="shared" si="170"/>
        <v>302.17100000000005</v>
      </c>
      <c r="CB119" s="64">
        <f t="shared" si="170"/>
        <v>367.23300000000006</v>
      </c>
      <c r="CC119" s="53">
        <f t="shared" si="170"/>
        <v>80.83499999999998</v>
      </c>
      <c r="CD119" s="53">
        <f t="shared" si="170"/>
        <v>263.00799999999998</v>
      </c>
      <c r="CE119" s="53">
        <f t="shared" si="170"/>
        <v>437.459</v>
      </c>
      <c r="CF119" s="64">
        <f t="shared" si="170"/>
        <v>551.25900000000001</v>
      </c>
      <c r="CG119" s="53">
        <f t="shared" si="170"/>
        <v>155.47399999999996</v>
      </c>
      <c r="CH119" s="53">
        <f t="shared" si="170"/>
        <v>395.46100000000001</v>
      </c>
      <c r="CI119" s="53">
        <f>+CI109+46.897</f>
        <v>593.46300000000008</v>
      </c>
      <c r="CJ119" s="64">
        <f t="shared" ref="CJ119:CU119" si="171">SUM(CJ109:CJ118)</f>
        <v>768.65599999999995</v>
      </c>
      <c r="CK119" s="53">
        <f t="shared" si="171"/>
        <v>152.68</v>
      </c>
      <c r="CL119" s="53">
        <f t="shared" si="171"/>
        <v>368.26800000000003</v>
      </c>
      <c r="CM119" s="53">
        <f t="shared" si="171"/>
        <v>579.80600000000004</v>
      </c>
      <c r="CN119" s="64">
        <f t="shared" si="171"/>
        <v>681.75000000000011</v>
      </c>
      <c r="CO119" s="53">
        <f t="shared" si="171"/>
        <v>127.65300000000001</v>
      </c>
      <c r="CP119" s="53">
        <f t="shared" si="171"/>
        <v>355.95700000000005</v>
      </c>
      <c r="CQ119" s="53">
        <f t="shared" si="171"/>
        <v>567.94199999999989</v>
      </c>
      <c r="CR119" s="64">
        <f t="shared" si="171"/>
        <v>694.86800000000005</v>
      </c>
      <c r="CS119" s="53">
        <f t="shared" si="171"/>
        <v>119.36500000000001</v>
      </c>
      <c r="CT119" s="53">
        <f t="shared" si="171"/>
        <v>350.82300000000004</v>
      </c>
      <c r="CU119" s="53">
        <f t="shared" si="171"/>
        <v>554.803</v>
      </c>
      <c r="CV119" s="64">
        <f>SUM(CV109:CV118)</f>
        <v>671.70700000000011</v>
      </c>
      <c r="CW119" s="53"/>
      <c r="CX119" s="53"/>
      <c r="CY119" s="53"/>
      <c r="CZ119" s="64">
        <f>SUM(CZ109:CZ118)</f>
        <v>675.69484835885032</v>
      </c>
    </row>
    <row r="120" spans="2:139" ht="13.15">
      <c r="B120" s="355"/>
      <c r="H120" s="53"/>
      <c r="I120" s="53"/>
      <c r="J120" s="53"/>
      <c r="K120" s="53"/>
      <c r="L120" s="53"/>
      <c r="M120" s="53"/>
      <c r="N120" s="53"/>
      <c r="O120" s="53"/>
      <c r="P120" s="53"/>
      <c r="Q120" s="53"/>
      <c r="R120" s="53"/>
      <c r="S120" s="53"/>
      <c r="T120" s="53"/>
      <c r="U120" s="90"/>
      <c r="V120" s="90"/>
      <c r="W120" s="90"/>
      <c r="X120" s="90"/>
      <c r="Y120" s="91"/>
      <c r="AR120" s="7"/>
      <c r="AY120" s="356"/>
      <c r="AZ120" s="84"/>
      <c r="BA120" s="149"/>
      <c r="BB120" s="149"/>
      <c r="BC120" s="149"/>
      <c r="BD120" s="378"/>
      <c r="BE120" s="52"/>
      <c r="BF120" s="53"/>
      <c r="BG120" s="53"/>
      <c r="BH120" s="64"/>
      <c r="BI120" s="52"/>
      <c r="BJ120" s="53"/>
      <c r="BK120" s="53"/>
      <c r="BL120" s="64"/>
      <c r="BM120" s="52"/>
      <c r="BN120" s="53"/>
      <c r="BO120" s="53"/>
      <c r="BP120" s="64"/>
      <c r="BQ120" s="52"/>
      <c r="BR120" s="53"/>
      <c r="BS120" s="379"/>
      <c r="BT120" s="64"/>
      <c r="BU120" s="52"/>
      <c r="BV120" s="53"/>
      <c r="BW120" s="379"/>
      <c r="BX120" s="64"/>
      <c r="BY120" s="52"/>
      <c r="BZ120" s="53"/>
      <c r="CA120" s="379"/>
      <c r="CB120" s="64"/>
      <c r="CC120" s="379"/>
      <c r="CD120" s="53"/>
      <c r="CE120" s="379"/>
      <c r="CF120" s="64"/>
      <c r="CG120" s="379"/>
      <c r="CH120" s="53"/>
      <c r="CI120" s="379"/>
      <c r="CJ120" s="64"/>
      <c r="CK120" s="379"/>
      <c r="CL120" s="53"/>
      <c r="CM120" s="379"/>
      <c r="CN120" s="64"/>
      <c r="CO120" s="379"/>
      <c r="CP120" s="379"/>
      <c r="CQ120" s="379"/>
      <c r="CR120" s="64"/>
      <c r="CS120" s="379"/>
      <c r="CT120" s="379"/>
      <c r="CU120" s="379"/>
      <c r="CV120" s="64"/>
      <c r="CW120" s="53"/>
      <c r="CX120" s="53"/>
      <c r="CY120" s="53"/>
      <c r="CZ120" s="64"/>
    </row>
    <row r="121" spans="2:139" s="84" customFormat="1" ht="13.15">
      <c r="B121" s="303" t="s">
        <v>200</v>
      </c>
      <c r="H121" s="90">
        <f>SUM(H122:H125)</f>
        <v>-106.392</v>
      </c>
      <c r="I121" s="90">
        <f t="shared" ref="I121:Y121" si="172">SUM(I122:I125)</f>
        <v>-17.454000000000008</v>
      </c>
      <c r="J121" s="90">
        <f t="shared" si="172"/>
        <v>-74.695000000000007</v>
      </c>
      <c r="K121" s="90">
        <f t="shared" si="172"/>
        <v>-94.659000000000006</v>
      </c>
      <c r="L121" s="90">
        <f t="shared" si="172"/>
        <v>-43.282999999999994</v>
      </c>
      <c r="M121" s="90">
        <f t="shared" si="172"/>
        <v>4.9969999999999999</v>
      </c>
      <c r="N121" s="90">
        <f t="shared" si="172"/>
        <v>23.990999999999996</v>
      </c>
      <c r="O121" s="90">
        <f t="shared" si="172"/>
        <v>-168.17400000000001</v>
      </c>
      <c r="P121" s="90">
        <f t="shared" si="172"/>
        <v>-0.20699999999999985</v>
      </c>
      <c r="Q121" s="90">
        <f t="shared" si="172"/>
        <v>167.14600000000002</v>
      </c>
      <c r="R121" s="90">
        <f t="shared" si="172"/>
        <v>-201.69299999999996</v>
      </c>
      <c r="S121" s="90">
        <f t="shared" si="172"/>
        <v>-196.69200000000001</v>
      </c>
      <c r="T121" s="90">
        <f t="shared" si="172"/>
        <v>-119.79599999999999</v>
      </c>
      <c r="U121" s="90">
        <f t="shared" si="172"/>
        <v>78.23399999999998</v>
      </c>
      <c r="V121" s="90">
        <f t="shared" si="172"/>
        <v>-102.09399999999998</v>
      </c>
      <c r="W121" s="90">
        <f t="shared" si="172"/>
        <v>-20.275499720813229</v>
      </c>
      <c r="X121" s="90">
        <f t="shared" si="172"/>
        <v>-44.734187199036398</v>
      </c>
      <c r="Y121" s="91">
        <f t="shared" si="172"/>
        <v>-47.488454781807206</v>
      </c>
      <c r="AC121" s="149"/>
      <c r="AD121" s="149"/>
      <c r="AE121" s="149"/>
      <c r="AF121" s="149"/>
      <c r="AG121" s="149"/>
      <c r="AH121" s="149"/>
      <c r="AI121" s="149"/>
      <c r="AJ121" s="149"/>
      <c r="AK121" s="149"/>
      <c r="AL121" s="149"/>
      <c r="AM121" s="149"/>
      <c r="AN121" s="149"/>
      <c r="AO121" s="149"/>
      <c r="AP121" s="149"/>
      <c r="AQ121" s="149"/>
      <c r="AS121" s="149"/>
      <c r="AT121" s="149"/>
      <c r="AU121" s="149"/>
      <c r="AV121" s="149"/>
      <c r="AW121" s="149"/>
      <c r="AY121" s="304" t="s">
        <v>200</v>
      </c>
      <c r="BA121" s="149"/>
      <c r="BB121" s="149"/>
      <c r="BC121" s="149"/>
      <c r="BD121" s="378"/>
      <c r="BE121" s="89">
        <f t="shared" ref="BE121:BY121" si="173">SUM(BE122:BE125)</f>
        <v>-59.185999999999993</v>
      </c>
      <c r="BF121" s="90">
        <f t="shared" si="173"/>
        <v>-208.22500000000002</v>
      </c>
      <c r="BG121" s="90">
        <f t="shared" si="173"/>
        <v>-120.00399999999999</v>
      </c>
      <c r="BH121" s="91">
        <f t="shared" si="173"/>
        <v>-43.282999999999994</v>
      </c>
      <c r="BI121" s="89">
        <f t="shared" si="173"/>
        <v>-3.2149999999999856</v>
      </c>
      <c r="BJ121" s="90">
        <f t="shared" si="173"/>
        <v>-94.763999999999996</v>
      </c>
      <c r="BK121" s="90">
        <f t="shared" si="173"/>
        <v>-81.48599999999999</v>
      </c>
      <c r="BL121" s="91">
        <f t="shared" si="173"/>
        <v>4.9969999999999999</v>
      </c>
      <c r="BM121" s="89">
        <f t="shared" si="173"/>
        <v>-11.333000000000009</v>
      </c>
      <c r="BN121" s="90">
        <f t="shared" si="173"/>
        <v>-111.282</v>
      </c>
      <c r="BO121" s="90">
        <f t="shared" si="173"/>
        <v>-50.374999999999993</v>
      </c>
      <c r="BP121" s="91">
        <f t="shared" si="173"/>
        <v>23.990999999999996</v>
      </c>
      <c r="BQ121" s="89">
        <f t="shared" si="173"/>
        <v>-95.754999999999995</v>
      </c>
      <c r="BR121" s="90">
        <f t="shared" si="173"/>
        <v>-188.29399999999995</v>
      </c>
      <c r="BS121" s="90">
        <f t="shared" si="173"/>
        <v>-205.03700000000001</v>
      </c>
      <c r="BT121" s="91">
        <f t="shared" si="173"/>
        <v>-168.17400000000001</v>
      </c>
      <c r="BU121" s="89">
        <f t="shared" si="173"/>
        <v>-4.5000000000000018</v>
      </c>
      <c r="BV121" s="90">
        <f t="shared" si="173"/>
        <v>-105.48799999999999</v>
      </c>
      <c r="BW121" s="90">
        <f t="shared" si="173"/>
        <v>-84.173000000000002</v>
      </c>
      <c r="BX121" s="91">
        <f t="shared" si="173"/>
        <v>-0.20699999999999985</v>
      </c>
      <c r="BY121" s="89">
        <f t="shared" si="173"/>
        <v>-11.980999999999987</v>
      </c>
      <c r="BZ121" s="90">
        <f>SUM(BZ122:BZ125)</f>
        <v>94.693999999999988</v>
      </c>
      <c r="CA121" s="90">
        <f>SUM(CA122:CA125)</f>
        <v>70.606999999999999</v>
      </c>
      <c r="CB121" s="91">
        <f>Q121</f>
        <v>167.14600000000002</v>
      </c>
      <c r="CC121" s="90">
        <f t="shared" ref="CC121:CU121" si="174">SUM(CC122:CC125)</f>
        <v>-118.57999999999997</v>
      </c>
      <c r="CD121" s="90">
        <f t="shared" si="174"/>
        <v>-180.661</v>
      </c>
      <c r="CE121" s="90">
        <f t="shared" si="174"/>
        <v>-117.78699999999999</v>
      </c>
      <c r="CF121" s="91">
        <f t="shared" si="174"/>
        <v>-201.69299999999996</v>
      </c>
      <c r="CG121" s="90">
        <f t="shared" si="174"/>
        <v>-257.22899999999998</v>
      </c>
      <c r="CH121" s="90">
        <f t="shared" si="174"/>
        <v>-322.38900000000001</v>
      </c>
      <c r="CI121" s="90">
        <f t="shared" si="174"/>
        <v>-234.583</v>
      </c>
      <c r="CJ121" s="91">
        <f t="shared" si="174"/>
        <v>-196.69200000000001</v>
      </c>
      <c r="CK121" s="90">
        <f t="shared" si="174"/>
        <v>-200.10100000000003</v>
      </c>
      <c r="CL121" s="90">
        <f t="shared" si="174"/>
        <v>-457.44700000000006</v>
      </c>
      <c r="CM121" s="90">
        <f t="shared" si="174"/>
        <v>-316.46599999999995</v>
      </c>
      <c r="CN121" s="91">
        <f t="shared" si="174"/>
        <v>-119.79599999999999</v>
      </c>
      <c r="CO121" s="90">
        <f t="shared" si="174"/>
        <v>-23.947000000000013</v>
      </c>
      <c r="CP121" s="90">
        <f t="shared" si="174"/>
        <v>-194.51600000000002</v>
      </c>
      <c r="CQ121" s="90">
        <f t="shared" si="174"/>
        <v>-173.73700000000002</v>
      </c>
      <c r="CR121" s="91">
        <f t="shared" si="174"/>
        <v>78.23399999999998</v>
      </c>
      <c r="CS121" s="90">
        <f t="shared" si="174"/>
        <v>-297.00899999999996</v>
      </c>
      <c r="CT121" s="90">
        <f t="shared" si="174"/>
        <v>-535.91300000000001</v>
      </c>
      <c r="CU121" s="90">
        <f t="shared" si="174"/>
        <v>-384.95600000000002</v>
      </c>
      <c r="CV121" s="91">
        <f>SUM(CV122:CV125)</f>
        <v>-102.09399999999998</v>
      </c>
      <c r="CW121" s="90"/>
      <c r="CX121" s="90"/>
      <c r="CY121" s="90"/>
      <c r="CZ121" s="91">
        <f>SUM(CZ122:CZ125)</f>
        <v>-20.275499720813229</v>
      </c>
    </row>
    <row r="122" spans="2:139">
      <c r="B122" s="355" t="s">
        <v>201</v>
      </c>
      <c r="H122" s="53">
        <v>11.987</v>
      </c>
      <c r="I122" s="53">
        <v>-5.7519999999999998</v>
      </c>
      <c r="J122" s="53">
        <v>-25.846</v>
      </c>
      <c r="K122" s="53">
        <v>-41.067999999999998</v>
      </c>
      <c r="L122" s="53">
        <v>-26.120999999999999</v>
      </c>
      <c r="M122" s="53">
        <v>-26.940999999999999</v>
      </c>
      <c r="N122" s="53">
        <v>-1.6759999999999999</v>
      </c>
      <c r="O122" s="53">
        <v>-28.831</v>
      </c>
      <c r="P122" s="53">
        <v>8.4570000000000007</v>
      </c>
      <c r="Q122" s="53">
        <v>-3.5590000000000002</v>
      </c>
      <c r="R122" s="53">
        <v>-130.41399999999999</v>
      </c>
      <c r="S122" s="53">
        <v>-60.154000000000003</v>
      </c>
      <c r="T122" s="53">
        <v>-36.034999999999997</v>
      </c>
      <c r="U122" s="53">
        <v>-85.555000000000007</v>
      </c>
      <c r="V122" s="53">
        <v>83.424999999999997</v>
      </c>
      <c r="W122" s="53">
        <f t="shared" ref="W122:Y123" si="175">V165-W165</f>
        <v>-16.22821111111125</v>
      </c>
      <c r="X122" s="53">
        <f t="shared" si="175"/>
        <v>-32.496368444444329</v>
      </c>
      <c r="Y122" s="64">
        <f t="shared" si="175"/>
        <v>-33.79622318222232</v>
      </c>
      <c r="AY122" s="356" t="s">
        <v>201</v>
      </c>
      <c r="BD122" s="120"/>
      <c r="BE122" s="52">
        <v>-6.8840000000000003</v>
      </c>
      <c r="BF122" s="53">
        <v>-168.339</v>
      </c>
      <c r="BG122" s="53">
        <v>-82.792000000000002</v>
      </c>
      <c r="BH122" s="64">
        <f>+L122</f>
        <v>-26.120999999999999</v>
      </c>
      <c r="BI122" s="52">
        <v>-11.933999999999999</v>
      </c>
      <c r="BJ122" s="53">
        <v>-153.702</v>
      </c>
      <c r="BK122" s="53">
        <v>-96.691999999999993</v>
      </c>
      <c r="BL122" s="64">
        <f>+M122</f>
        <v>-26.940999999999999</v>
      </c>
      <c r="BM122" s="52">
        <v>-5.68</v>
      </c>
      <c r="BN122" s="53">
        <v>-134.952</v>
      </c>
      <c r="BO122" s="53">
        <v>-89.394000000000005</v>
      </c>
      <c r="BP122" s="64">
        <f>+N122</f>
        <v>-1.6759999999999999</v>
      </c>
      <c r="BQ122" s="52">
        <v>-10.058999999999999</v>
      </c>
      <c r="BR122" s="53">
        <v>-183.10499999999999</v>
      </c>
      <c r="BS122" s="53">
        <f>+-126.181</f>
        <v>-126.181</v>
      </c>
      <c r="BT122" s="64">
        <f>+O122</f>
        <v>-28.831</v>
      </c>
      <c r="BU122" s="52">
        <v>-2.3290000000000002</v>
      </c>
      <c r="BV122" s="53">
        <v>-146.441</v>
      </c>
      <c r="BW122" s="53">
        <v>-102.813</v>
      </c>
      <c r="BX122" s="64">
        <f>+P122</f>
        <v>8.4570000000000007</v>
      </c>
      <c r="BY122" s="52">
        <v>-46.533999999999999</v>
      </c>
      <c r="BZ122" s="53">
        <v>-146.512</v>
      </c>
      <c r="CA122" s="53">
        <v>-113.017</v>
      </c>
      <c r="CB122" s="64">
        <f>+Q122</f>
        <v>-3.5590000000000002</v>
      </c>
      <c r="CC122" s="53">
        <v>-61.072000000000003</v>
      </c>
      <c r="CD122" s="53">
        <v>-283.077</v>
      </c>
      <c r="CE122" s="53">
        <v>-198.011</v>
      </c>
      <c r="CF122" s="64">
        <f>$R122</f>
        <v>-130.41399999999999</v>
      </c>
      <c r="CG122" s="53">
        <v>-91.754999999999995</v>
      </c>
      <c r="CH122" s="53">
        <v>-289.47800000000001</v>
      </c>
      <c r="CI122" s="53">
        <v>-170.74600000000001</v>
      </c>
      <c r="CJ122" s="64">
        <f>$S122</f>
        <v>-60.154000000000003</v>
      </c>
      <c r="CK122" s="53">
        <v>-64.691000000000003</v>
      </c>
      <c r="CL122" s="53">
        <v>-243.44</v>
      </c>
      <c r="CM122" s="53">
        <v>-184.10599999999999</v>
      </c>
      <c r="CN122" s="64">
        <f>$T122</f>
        <v>-36.034999999999997</v>
      </c>
      <c r="CO122" s="53">
        <v>-33.502000000000002</v>
      </c>
      <c r="CP122" s="53">
        <v>-203.96199999999999</v>
      </c>
      <c r="CQ122" s="53">
        <v>-145.071</v>
      </c>
      <c r="CR122" s="64">
        <f>$U122</f>
        <v>-85.555000000000007</v>
      </c>
      <c r="CS122" s="53">
        <v>83.864000000000004</v>
      </c>
      <c r="CT122" s="53">
        <v>-131.119</v>
      </c>
      <c r="CU122" s="53">
        <v>-60.234000000000002</v>
      </c>
      <c r="CV122" s="64">
        <f>$V122</f>
        <v>83.424999999999997</v>
      </c>
      <c r="CW122" s="53"/>
      <c r="CX122" s="53"/>
      <c r="CY122" s="53"/>
      <c r="CZ122" s="64">
        <f>$W122</f>
        <v>-16.22821111111125</v>
      </c>
    </row>
    <row r="123" spans="2:139">
      <c r="B123" s="355" t="s">
        <v>202</v>
      </c>
      <c r="H123" s="53">
        <v>-22.489000000000001</v>
      </c>
      <c r="I123" s="53">
        <v>-26.652000000000001</v>
      </c>
      <c r="J123" s="53">
        <v>-40.575000000000003</v>
      </c>
      <c r="K123" s="53">
        <v>-98.741</v>
      </c>
      <c r="L123" s="53">
        <v>-3.6520000000000001</v>
      </c>
      <c r="M123" s="53">
        <v>-9.7289999999999992</v>
      </c>
      <c r="N123" s="53">
        <v>-73.403000000000006</v>
      </c>
      <c r="O123" s="53">
        <v>-78.953999999999994</v>
      </c>
      <c r="P123" s="53">
        <v>-15.525</v>
      </c>
      <c r="Q123" s="53">
        <v>139.929</v>
      </c>
      <c r="R123" s="53">
        <v>-243.66</v>
      </c>
      <c r="S123" s="53">
        <v>-259.86</v>
      </c>
      <c r="T123" s="53">
        <v>64.62</v>
      </c>
      <c r="U123" s="53">
        <v>-41.677999999999997</v>
      </c>
      <c r="V123" s="53">
        <v>11.957000000000001</v>
      </c>
      <c r="W123" s="53">
        <f t="shared" si="175"/>
        <v>6.0326696526312844</v>
      </c>
      <c r="X123" s="53">
        <f t="shared" si="175"/>
        <v>-15.21022174083646</v>
      </c>
      <c r="Y123" s="64">
        <f t="shared" si="175"/>
        <v>-16.155964975338975</v>
      </c>
      <c r="AY123" s="356" t="s">
        <v>202</v>
      </c>
      <c r="BD123" s="120"/>
      <c r="BE123" s="52">
        <v>-126.9</v>
      </c>
      <c r="BF123" s="53">
        <v>-124.477</v>
      </c>
      <c r="BG123" s="53">
        <v>-80.165000000000006</v>
      </c>
      <c r="BH123" s="64">
        <f>+L123</f>
        <v>-3.6520000000000001</v>
      </c>
      <c r="BI123" s="52">
        <v>-69.117999999999995</v>
      </c>
      <c r="BJ123" s="53">
        <v>-72.37</v>
      </c>
      <c r="BK123" s="53">
        <v>-63.48</v>
      </c>
      <c r="BL123" s="64">
        <f>+M123</f>
        <v>-9.7289999999999992</v>
      </c>
      <c r="BM123" s="52">
        <v>-66.100999999999999</v>
      </c>
      <c r="BN123" s="53">
        <v>-83.522999999999996</v>
      </c>
      <c r="BO123" s="53">
        <v>-97.685000000000002</v>
      </c>
      <c r="BP123" s="64">
        <f>+N123</f>
        <v>-73.403000000000006</v>
      </c>
      <c r="BQ123" s="52">
        <v>-49.936999999999998</v>
      </c>
      <c r="BR123" s="53">
        <v>-113.831</v>
      </c>
      <c r="BS123" s="53">
        <f>+-50.566</f>
        <v>-50.566000000000003</v>
      </c>
      <c r="BT123" s="64">
        <f>+O123</f>
        <v>-78.953999999999994</v>
      </c>
      <c r="BU123" s="52">
        <v>-55.56</v>
      </c>
      <c r="BV123" s="53">
        <v>-117.59099999999999</v>
      </c>
      <c r="BW123" s="53">
        <v>-74.447999999999993</v>
      </c>
      <c r="BX123" s="64">
        <f>+P123</f>
        <v>-15.525</v>
      </c>
      <c r="BY123" s="52">
        <v>-27.28</v>
      </c>
      <c r="BZ123" s="53">
        <v>63.432000000000002</v>
      </c>
      <c r="CA123" s="53">
        <v>34.448</v>
      </c>
      <c r="CB123" s="64">
        <f>+Q123</f>
        <v>139.929</v>
      </c>
      <c r="CC123" s="53">
        <v>-204.59299999999999</v>
      </c>
      <c r="CD123" s="53">
        <v>-173.53899999999999</v>
      </c>
      <c r="CE123" s="53">
        <v>-170.66200000000001</v>
      </c>
      <c r="CF123" s="64">
        <f>$R123</f>
        <v>-243.66</v>
      </c>
      <c r="CG123" s="53">
        <v>-273.70299999999997</v>
      </c>
      <c r="CH123" s="53">
        <v>-366.35899999999998</v>
      </c>
      <c r="CI123" s="53">
        <v>-276.65300000000002</v>
      </c>
      <c r="CJ123" s="64">
        <f>$S123</f>
        <v>-259.86</v>
      </c>
      <c r="CK123" s="53">
        <v>-240.75800000000001</v>
      </c>
      <c r="CL123" s="53">
        <v>-313.63400000000001</v>
      </c>
      <c r="CM123" s="53">
        <v>-143.74600000000001</v>
      </c>
      <c r="CN123" s="64">
        <f>$T123</f>
        <v>64.62</v>
      </c>
      <c r="CO123" s="53">
        <v>-307.21899999999999</v>
      </c>
      <c r="CP123" s="53">
        <v>-225.98400000000001</v>
      </c>
      <c r="CQ123" s="53">
        <v>-248.202</v>
      </c>
      <c r="CR123" s="64">
        <f>$U123</f>
        <v>-41.677999999999997</v>
      </c>
      <c r="CS123" s="53">
        <v>-389.99</v>
      </c>
      <c r="CT123" s="53">
        <v>-552.95600000000002</v>
      </c>
      <c r="CU123" s="53">
        <v>-204.47900000000001</v>
      </c>
      <c r="CV123" s="64">
        <f>$V123</f>
        <v>11.957000000000001</v>
      </c>
      <c r="CW123" s="53"/>
      <c r="CX123" s="53"/>
      <c r="CY123" s="53"/>
      <c r="CZ123" s="64">
        <f>$W123</f>
        <v>6.0326696526312844</v>
      </c>
    </row>
    <row r="124" spans="2:139">
      <c r="B124" s="355" t="s">
        <v>203</v>
      </c>
      <c r="H124" s="53">
        <v>-98.611000000000004</v>
      </c>
      <c r="I124" s="53">
        <v>11.872999999999999</v>
      </c>
      <c r="J124" s="53">
        <v>-7.2560000000000002</v>
      </c>
      <c r="K124" s="53">
        <v>45.241999999999997</v>
      </c>
      <c r="L124" s="53">
        <v>-13.225</v>
      </c>
      <c r="M124" s="53">
        <v>43.734000000000002</v>
      </c>
      <c r="N124" s="53">
        <v>99.956000000000003</v>
      </c>
      <c r="O124" s="53">
        <v>-57.398000000000003</v>
      </c>
      <c r="P124" s="53">
        <v>12.734</v>
      </c>
      <c r="Q124" s="53">
        <v>33.936</v>
      </c>
      <c r="R124" s="53">
        <v>182.81899999999999</v>
      </c>
      <c r="S124" s="53">
        <v>121.99299999999999</v>
      </c>
      <c r="T124" s="53">
        <v>-162.042</v>
      </c>
      <c r="U124" s="53">
        <v>197.76499999999999</v>
      </c>
      <c r="V124" s="53">
        <v>-203.05099999999999</v>
      </c>
      <c r="W124" s="53">
        <f>W179-V179</f>
        <v>-10.079958262333264</v>
      </c>
      <c r="X124" s="53">
        <f>X179-W179</f>
        <v>2.9724029862443899</v>
      </c>
      <c r="Y124" s="64">
        <f>Y179-X179</f>
        <v>2.4637333757540887</v>
      </c>
      <c r="AY124" s="356" t="s">
        <v>203</v>
      </c>
      <c r="BD124" s="120"/>
      <c r="BE124" s="52">
        <v>72.05</v>
      </c>
      <c r="BF124" s="53">
        <v>84.894000000000005</v>
      </c>
      <c r="BG124" s="53">
        <v>45.357999999999997</v>
      </c>
      <c r="BH124" s="64">
        <f>+L124</f>
        <v>-13.225</v>
      </c>
      <c r="BI124" s="52">
        <v>75.936000000000007</v>
      </c>
      <c r="BJ124" s="53">
        <v>130.84</v>
      </c>
      <c r="BK124" s="53">
        <v>83.549000000000007</v>
      </c>
      <c r="BL124" s="64">
        <f>+M124</f>
        <v>43.734000000000002</v>
      </c>
      <c r="BM124" s="52">
        <v>63.031999999999996</v>
      </c>
      <c r="BN124" s="53">
        <v>107.34399999999999</v>
      </c>
      <c r="BO124" s="53">
        <v>137.21100000000001</v>
      </c>
      <c r="BP124" s="64">
        <f>+N124</f>
        <v>99.956000000000003</v>
      </c>
      <c r="BQ124" s="52">
        <v>-36.649000000000001</v>
      </c>
      <c r="BR124" s="53">
        <v>107.908</v>
      </c>
      <c r="BS124" s="53">
        <f>+-23.286</f>
        <v>-23.286000000000001</v>
      </c>
      <c r="BT124" s="64">
        <f>+O124</f>
        <v>-57.398000000000003</v>
      </c>
      <c r="BU124" s="52">
        <v>55.35</v>
      </c>
      <c r="BV124" s="53">
        <v>161.685</v>
      </c>
      <c r="BW124" s="53">
        <v>99.626999999999995</v>
      </c>
      <c r="BX124" s="64">
        <f>+P124</f>
        <v>12.734</v>
      </c>
      <c r="BY124" s="52">
        <v>66.049000000000007</v>
      </c>
      <c r="BZ124" s="53">
        <v>182.95699999999999</v>
      </c>
      <c r="CA124" s="53">
        <v>158.09399999999999</v>
      </c>
      <c r="CB124" s="64">
        <f>+Q124</f>
        <v>33.936</v>
      </c>
      <c r="CC124" s="53">
        <v>149.91399999999999</v>
      </c>
      <c r="CD124" s="53">
        <v>282.85199999999998</v>
      </c>
      <c r="CE124" s="53">
        <v>263.75200000000001</v>
      </c>
      <c r="CF124" s="64">
        <f>$R124</f>
        <v>182.81899999999999</v>
      </c>
      <c r="CG124" s="53">
        <v>107.755</v>
      </c>
      <c r="CH124" s="53">
        <v>332.21699999999998</v>
      </c>
      <c r="CI124" s="53">
        <v>212.82900000000001</v>
      </c>
      <c r="CJ124" s="64">
        <f>$S124</f>
        <v>121.99299999999999</v>
      </c>
      <c r="CK124" s="53">
        <v>101.813</v>
      </c>
      <c r="CL124" s="53">
        <v>103.44199999999999</v>
      </c>
      <c r="CM124" s="53">
        <v>17.608000000000001</v>
      </c>
      <c r="CN124" s="64">
        <f>$T124</f>
        <v>-162.042</v>
      </c>
      <c r="CO124" s="53">
        <v>315.08699999999999</v>
      </c>
      <c r="CP124" s="53">
        <v>233.517</v>
      </c>
      <c r="CQ124" s="53">
        <v>218.88200000000001</v>
      </c>
      <c r="CR124" s="64">
        <f>$U124</f>
        <v>197.76499999999999</v>
      </c>
      <c r="CS124" s="53">
        <v>8.8870000000000005</v>
      </c>
      <c r="CT124" s="53">
        <v>149.774</v>
      </c>
      <c r="CU124" s="53">
        <v>-108.318</v>
      </c>
      <c r="CV124" s="64">
        <f>$V124</f>
        <v>-203.05099999999999</v>
      </c>
      <c r="CW124" s="53"/>
      <c r="CX124" s="53"/>
      <c r="CY124" s="53"/>
      <c r="CZ124" s="64">
        <f>$W124</f>
        <v>-10.079958262333264</v>
      </c>
    </row>
    <row r="125" spans="2:139">
      <c r="B125" s="355" t="s">
        <v>204</v>
      </c>
      <c r="H125" s="53">
        <v>2.7210000000000001</v>
      </c>
      <c r="I125" s="53">
        <v>3.077</v>
      </c>
      <c r="J125" s="53">
        <v>-1.018</v>
      </c>
      <c r="K125" s="53">
        <v>-9.1999999999999998E-2</v>
      </c>
      <c r="L125" s="53">
        <v>-0.28499999999999998</v>
      </c>
      <c r="M125" s="53">
        <v>-2.0670000000000002</v>
      </c>
      <c r="N125" s="53">
        <v>-0.88600000000000001</v>
      </c>
      <c r="O125" s="53">
        <v>-2.9910000000000001</v>
      </c>
      <c r="P125" s="53">
        <v>-5.8730000000000002</v>
      </c>
      <c r="Q125" s="53">
        <v>-3.16</v>
      </c>
      <c r="R125" s="53">
        <v>-10.438000000000001</v>
      </c>
      <c r="S125" s="53">
        <v>1.329</v>
      </c>
      <c r="T125" s="53">
        <v>13.661</v>
      </c>
      <c r="U125" s="53">
        <v>7.702</v>
      </c>
      <c r="V125" s="53">
        <v>5.5750000000000002</v>
      </c>
      <c r="W125" s="53">
        <f>V167-W167</f>
        <v>0</v>
      </c>
      <c r="X125" s="53">
        <f>W167-X167</f>
        <v>0</v>
      </c>
      <c r="Y125" s="64">
        <f>X167-Y167</f>
        <v>0</v>
      </c>
      <c r="AY125" s="356" t="s">
        <v>204</v>
      </c>
      <c r="BD125" s="120"/>
      <c r="BE125" s="52">
        <v>2.548</v>
      </c>
      <c r="BF125" s="53">
        <v>-0.30299999999999999</v>
      </c>
      <c r="BG125" s="53">
        <v>-2.4049999999999998</v>
      </c>
      <c r="BH125" s="64">
        <f>+L125</f>
        <v>-0.28499999999999998</v>
      </c>
      <c r="BI125" s="52">
        <v>1.901</v>
      </c>
      <c r="BJ125" s="53">
        <v>0.46800000000000003</v>
      </c>
      <c r="BK125" s="53">
        <v>-4.8630000000000004</v>
      </c>
      <c r="BL125" s="64">
        <f>+M125</f>
        <v>-2.0670000000000002</v>
      </c>
      <c r="BM125" s="52">
        <v>-2.5840000000000001</v>
      </c>
      <c r="BN125" s="53">
        <v>-0.151</v>
      </c>
      <c r="BO125" s="53">
        <v>-0.50700000000000001</v>
      </c>
      <c r="BP125" s="64">
        <f>+N125</f>
        <v>-0.88600000000000001</v>
      </c>
      <c r="BQ125" s="52">
        <v>0.89</v>
      </c>
      <c r="BR125" s="53">
        <v>0.73399999999999999</v>
      </c>
      <c r="BS125" s="53">
        <v>-5.0039999999999996</v>
      </c>
      <c r="BT125" s="64">
        <f>+O125</f>
        <v>-2.9910000000000001</v>
      </c>
      <c r="BU125" s="52">
        <v>-1.9610000000000001</v>
      </c>
      <c r="BV125" s="53">
        <v>-3.141</v>
      </c>
      <c r="BW125" s="53">
        <v>-6.5389999999999997</v>
      </c>
      <c r="BX125" s="64">
        <f>+P125</f>
        <v>-5.8730000000000002</v>
      </c>
      <c r="BY125" s="52">
        <v>-4.2160000000000002</v>
      </c>
      <c r="BZ125" s="53">
        <v>-5.1829999999999998</v>
      </c>
      <c r="CA125" s="53">
        <v>-8.9179999999999993</v>
      </c>
      <c r="CB125" s="64">
        <f>+Q125</f>
        <v>-3.16</v>
      </c>
      <c r="CC125" s="53">
        <v>-2.8290000000000002</v>
      </c>
      <c r="CD125" s="53">
        <v>-6.8970000000000002</v>
      </c>
      <c r="CE125" s="53">
        <v>-12.866</v>
      </c>
      <c r="CF125" s="64">
        <f>$R125</f>
        <v>-10.438000000000001</v>
      </c>
      <c r="CG125" s="53">
        <v>0.47399999999999998</v>
      </c>
      <c r="CH125" s="53">
        <v>1.2310000000000001</v>
      </c>
      <c r="CI125" s="53">
        <v>-1.2999999999999999E-2</v>
      </c>
      <c r="CJ125" s="64">
        <f>$S125</f>
        <v>1.329</v>
      </c>
      <c r="CK125" s="53">
        <v>3.5350000000000001</v>
      </c>
      <c r="CL125" s="53">
        <v>-3.8149999999999999</v>
      </c>
      <c r="CM125" s="53">
        <v>-6.2220000000000004</v>
      </c>
      <c r="CN125" s="64">
        <f>$T125</f>
        <v>13.661</v>
      </c>
      <c r="CO125" s="53">
        <v>1.6870000000000001</v>
      </c>
      <c r="CP125" s="53">
        <v>1.913</v>
      </c>
      <c r="CQ125" s="53">
        <v>0.65400000000000003</v>
      </c>
      <c r="CR125" s="64">
        <f>$U125</f>
        <v>7.702</v>
      </c>
      <c r="CS125" s="53">
        <v>0.23</v>
      </c>
      <c r="CT125" s="53">
        <v>-1.6120000000000001</v>
      </c>
      <c r="CU125" s="53">
        <v>-11.925000000000001</v>
      </c>
      <c r="CV125" s="64">
        <f>$V125</f>
        <v>5.5750000000000002</v>
      </c>
      <c r="CW125" s="53"/>
      <c r="CX125" s="53"/>
      <c r="CY125" s="53"/>
      <c r="CZ125" s="64">
        <f>$W125</f>
        <v>0</v>
      </c>
    </row>
    <row r="126" spans="2:139" s="84" customFormat="1" ht="13.15">
      <c r="B126" s="303" t="s">
        <v>205</v>
      </c>
      <c r="H126" s="380">
        <f t="shared" ref="H126:M126" si="176">H119+SUM(H122:H125)</f>
        <v>61.45199999999997</v>
      </c>
      <c r="I126" s="380">
        <f t="shared" si="176"/>
        <v>173.34299999999996</v>
      </c>
      <c r="J126" s="106">
        <f t="shared" si="176"/>
        <v>150.26900000000001</v>
      </c>
      <c r="K126" s="106">
        <f t="shared" si="176"/>
        <v>144.97999999999996</v>
      </c>
      <c r="L126" s="106">
        <f t="shared" si="176"/>
        <v>221.38299999999995</v>
      </c>
      <c r="M126" s="106">
        <f t="shared" si="176"/>
        <v>281.73100000000005</v>
      </c>
      <c r="N126" s="106">
        <f t="shared" ref="N126:X126" si="177">N119+SUM(N122:N125)</f>
        <v>306.52</v>
      </c>
      <c r="O126" s="106">
        <f t="shared" si="177"/>
        <v>170.55700000000004</v>
      </c>
      <c r="P126" s="106">
        <f t="shared" si="177"/>
        <v>335.77100000000002</v>
      </c>
      <c r="Q126" s="106">
        <f t="shared" si="177"/>
        <v>534.37900000000013</v>
      </c>
      <c r="R126" s="106">
        <f t="shared" si="177"/>
        <v>349.56600000000003</v>
      </c>
      <c r="S126" s="106">
        <f t="shared" si="177"/>
        <v>571.96399999999994</v>
      </c>
      <c r="T126" s="106">
        <f t="shared" si="177"/>
        <v>561.95400000000018</v>
      </c>
      <c r="U126" s="106">
        <f t="shared" si="177"/>
        <v>773.10200000000009</v>
      </c>
      <c r="V126" s="106">
        <f>V119+SUM(V122:V125)</f>
        <v>569.61300000000017</v>
      </c>
      <c r="W126" s="106">
        <f t="shared" si="177"/>
        <v>655.41934863803704</v>
      </c>
      <c r="X126" s="106">
        <f t="shared" si="177"/>
        <v>680.75476921025984</v>
      </c>
      <c r="Y126" s="108">
        <f t="shared" ref="Y126" si="178">Y119+SUM(Y122:Y125)</f>
        <v>733.54449956245639</v>
      </c>
      <c r="AC126" s="149"/>
      <c r="AD126" s="149"/>
      <c r="AE126" s="149"/>
      <c r="AF126" s="149"/>
      <c r="AG126" s="149"/>
      <c r="AH126" s="149"/>
      <c r="AI126" s="149"/>
      <c r="AJ126" s="149"/>
      <c r="AK126" s="149"/>
      <c r="AL126" s="149"/>
      <c r="AM126" s="149"/>
      <c r="AN126" s="149"/>
      <c r="AO126" s="149"/>
      <c r="AP126" s="149"/>
      <c r="AQ126" s="149"/>
      <c r="AS126" s="149"/>
      <c r="AT126" s="149"/>
      <c r="AU126" s="149"/>
      <c r="AV126" s="149"/>
      <c r="AW126" s="149"/>
      <c r="AY126" s="304" t="s">
        <v>205</v>
      </c>
      <c r="BA126" s="380">
        <v>24.901</v>
      </c>
      <c r="BB126" s="380">
        <v>-65.158000000000001</v>
      </c>
      <c r="BC126" s="380">
        <v>41.719000000000001</v>
      </c>
      <c r="BD126" s="381">
        <f>+K126</f>
        <v>144.97999999999996</v>
      </c>
      <c r="BE126" s="382">
        <f t="shared" ref="BE126:BS126" si="179">BE119+SUM(BE122:BE125)</f>
        <v>-17.54099999999999</v>
      </c>
      <c r="BF126" s="380">
        <f t="shared" si="179"/>
        <v>-74.127000000000066</v>
      </c>
      <c r="BG126" s="380">
        <f t="shared" si="179"/>
        <v>99.75800000000001</v>
      </c>
      <c r="BH126" s="381">
        <f t="shared" si="179"/>
        <v>221.38299999999995</v>
      </c>
      <c r="BI126" s="382">
        <f t="shared" si="179"/>
        <v>41.251000000000005</v>
      </c>
      <c r="BJ126" s="380">
        <f t="shared" si="179"/>
        <v>38.611999999999981</v>
      </c>
      <c r="BK126" s="380">
        <f t="shared" si="179"/>
        <v>144.39900000000006</v>
      </c>
      <c r="BL126" s="381">
        <f t="shared" si="179"/>
        <v>281.73100000000005</v>
      </c>
      <c r="BM126" s="382">
        <f t="shared" si="179"/>
        <v>33.655999999999992</v>
      </c>
      <c r="BN126" s="380">
        <f t="shared" si="179"/>
        <v>33.270000000000024</v>
      </c>
      <c r="BO126" s="380">
        <f t="shared" si="179"/>
        <v>184.60199999999995</v>
      </c>
      <c r="BP126" s="381">
        <f t="shared" si="179"/>
        <v>306.52</v>
      </c>
      <c r="BQ126" s="382">
        <f t="shared" si="179"/>
        <v>-41.613999999999983</v>
      </c>
      <c r="BR126" s="380">
        <f t="shared" si="179"/>
        <v>-19.255999999999972</v>
      </c>
      <c r="BS126" s="380">
        <f t="shared" si="179"/>
        <v>70.065000000000026</v>
      </c>
      <c r="BT126" s="381">
        <f>BT119+SUM(BT122:BT125)</f>
        <v>170.55700000000004</v>
      </c>
      <c r="BU126" s="382">
        <f>BU119+SUM(BU122:BU125)</f>
        <v>52.936000000000007</v>
      </c>
      <c r="BV126" s="380">
        <f>BV119+SUM(BV122:BV125)</f>
        <v>68.447000000000045</v>
      </c>
      <c r="BW126" s="380">
        <f>BW119+SUM(BW122:BW125)</f>
        <v>197.53099999999995</v>
      </c>
      <c r="BX126" s="381">
        <f>BX119+SUM(BX122:BX125)</f>
        <v>335.77100000000002</v>
      </c>
      <c r="BY126" s="382">
        <f>BY119+SUM(BY121)</f>
        <v>41.859000000000016</v>
      </c>
      <c r="BZ126" s="380">
        <f>BZ119+SUM(BZ122:BZ125)</f>
        <v>261.255</v>
      </c>
      <c r="CA126" s="380">
        <f>CA119+SUM(CA122:CA125)</f>
        <v>372.77800000000002</v>
      </c>
      <c r="CB126" s="381">
        <f>CB119+SUM(CB121)</f>
        <v>534.37900000000013</v>
      </c>
      <c r="CC126" s="380">
        <f>CC119+SUM(CC122:CC125)</f>
        <v>-37.74499999999999</v>
      </c>
      <c r="CD126" s="380">
        <f>CD119+SUM(CD122:CD125)</f>
        <v>82.34699999999998</v>
      </c>
      <c r="CE126" s="380">
        <f>CE119+SUM(CE122:CE125)</f>
        <v>319.67200000000003</v>
      </c>
      <c r="CF126" s="381">
        <f>CF119+SUM(CF122:CF125)</f>
        <v>349.56600000000003</v>
      </c>
      <c r="CG126" s="380">
        <f>CG119+SUM(CG122:CG125)</f>
        <v>-101.75500000000002</v>
      </c>
      <c r="CH126" s="380">
        <f t="shared" ref="CH126:CV126" si="180">CH119+SUM(CH122:CH125)</f>
        <v>73.072000000000003</v>
      </c>
      <c r="CI126" s="380">
        <f t="shared" si="180"/>
        <v>358.88000000000011</v>
      </c>
      <c r="CJ126" s="381">
        <f t="shared" si="180"/>
        <v>571.96399999999994</v>
      </c>
      <c r="CK126" s="380">
        <f t="shared" si="180"/>
        <v>-47.421000000000021</v>
      </c>
      <c r="CL126" s="380">
        <f t="shared" si="180"/>
        <v>-89.17900000000003</v>
      </c>
      <c r="CM126" s="380">
        <f>CM119+SUM(CM122:CM125)</f>
        <v>263.34000000000009</v>
      </c>
      <c r="CN126" s="381">
        <f>CN119+SUM(CN122:CN125)</f>
        <v>561.95400000000018</v>
      </c>
      <c r="CO126" s="380">
        <f t="shared" si="180"/>
        <v>103.70599999999999</v>
      </c>
      <c r="CP126" s="380">
        <f t="shared" si="180"/>
        <v>161.44100000000003</v>
      </c>
      <c r="CQ126" s="380">
        <f t="shared" si="180"/>
        <v>394.20499999999987</v>
      </c>
      <c r="CR126" s="381">
        <f t="shared" si="180"/>
        <v>773.10200000000009</v>
      </c>
      <c r="CS126" s="380">
        <f t="shared" si="180"/>
        <v>-177.64399999999995</v>
      </c>
      <c r="CT126" s="380">
        <f t="shared" si="180"/>
        <v>-185.08999999999997</v>
      </c>
      <c r="CU126" s="380">
        <f t="shared" si="180"/>
        <v>169.84699999999998</v>
      </c>
      <c r="CV126" s="381">
        <f t="shared" si="180"/>
        <v>569.61300000000017</v>
      </c>
      <c r="CW126" s="309"/>
      <c r="CX126" s="309"/>
      <c r="CY126" s="309"/>
      <c r="CZ126" s="381">
        <f>CZ119+SUM(CZ122:CZ125)</f>
        <v>655.41934863803704</v>
      </c>
      <c r="EI126" s="2"/>
    </row>
    <row r="127" spans="2:139">
      <c r="B127" s="355" t="s">
        <v>206</v>
      </c>
      <c r="H127" s="309"/>
      <c r="I127" s="309"/>
      <c r="J127" s="309"/>
      <c r="K127" s="309"/>
      <c r="L127" s="309"/>
      <c r="M127" s="309"/>
      <c r="N127" s="309"/>
      <c r="O127" s="309"/>
      <c r="P127" s="309"/>
      <c r="Q127" s="309"/>
      <c r="R127" s="309"/>
      <c r="S127" s="309"/>
      <c r="T127" s="309"/>
      <c r="U127" s="53"/>
      <c r="V127" s="53"/>
      <c r="W127" s="53"/>
      <c r="X127" s="53"/>
      <c r="Y127" s="64"/>
      <c r="AY127" s="356" t="s">
        <v>206</v>
      </c>
      <c r="BD127" s="120"/>
      <c r="BE127" s="308"/>
      <c r="BF127" s="309"/>
      <c r="BG127" s="309"/>
      <c r="BH127" s="383"/>
      <c r="BI127" s="308"/>
      <c r="BJ127" s="309"/>
      <c r="BK127" s="309"/>
      <c r="BL127" s="383"/>
      <c r="BM127" s="308"/>
      <c r="BN127" s="309"/>
      <c r="BO127" s="309"/>
      <c r="BP127" s="383"/>
      <c r="BQ127" s="308"/>
      <c r="BR127" s="309"/>
      <c r="BS127" s="309"/>
      <c r="BT127" s="383"/>
      <c r="BU127" s="308"/>
      <c r="BV127" s="309"/>
      <c r="BW127" s="309"/>
      <c r="BX127" s="383"/>
      <c r="BY127" s="308"/>
      <c r="BZ127" s="309"/>
      <c r="CA127" s="309"/>
      <c r="CB127" s="383"/>
      <c r="CC127" s="309"/>
      <c r="CD127" s="309"/>
      <c r="CE127" s="309"/>
      <c r="CF127" s="383"/>
      <c r="CG127" s="309"/>
      <c r="CH127" s="384"/>
      <c r="CI127" s="309"/>
      <c r="CJ127" s="383"/>
      <c r="CK127" s="309"/>
      <c r="CL127" s="384"/>
      <c r="CM127" s="309"/>
      <c r="CN127" s="383"/>
      <c r="CO127" s="309"/>
      <c r="CP127" s="309"/>
      <c r="CQ127" s="309"/>
      <c r="CR127" s="383"/>
      <c r="CS127" s="309"/>
      <c r="CT127" s="309"/>
      <c r="CU127" s="309"/>
      <c r="CV127" s="383"/>
      <c r="CW127" s="309"/>
      <c r="CX127" s="309"/>
      <c r="CY127" s="309"/>
      <c r="CZ127" s="383"/>
    </row>
    <row r="128" spans="2:139" ht="13.15">
      <c r="B128" s="131" t="s">
        <v>207</v>
      </c>
      <c r="H128" s="309"/>
      <c r="I128" s="309"/>
      <c r="J128" s="309"/>
      <c r="K128" s="309"/>
      <c r="L128" s="309"/>
      <c r="M128" s="309"/>
      <c r="N128" s="309"/>
      <c r="O128" s="309"/>
      <c r="P128" s="309"/>
      <c r="Q128" s="309"/>
      <c r="R128" s="309"/>
      <c r="S128" s="309"/>
      <c r="T128" s="309"/>
      <c r="U128" s="53"/>
      <c r="V128" s="53"/>
      <c r="W128" s="53"/>
      <c r="X128" s="53"/>
      <c r="Y128" s="64"/>
      <c r="AY128" s="374" t="s">
        <v>207</v>
      </c>
      <c r="BD128" s="120"/>
      <c r="BE128" s="308"/>
      <c r="BF128" s="309"/>
      <c r="BG128" s="309"/>
      <c r="BH128" s="383"/>
      <c r="BI128" s="308"/>
      <c r="BJ128" s="309"/>
      <c r="BK128" s="309"/>
      <c r="BL128" s="383"/>
      <c r="BM128" s="308"/>
      <c r="BN128" s="309"/>
      <c r="BO128" s="309"/>
      <c r="BP128" s="383"/>
      <c r="BQ128" s="308"/>
      <c r="BR128" s="309"/>
      <c r="BS128" s="309"/>
      <c r="BT128" s="383"/>
      <c r="BU128" s="308"/>
      <c r="BV128" s="309"/>
      <c r="BW128" s="309"/>
      <c r="BX128" s="383"/>
      <c r="BY128" s="308"/>
      <c r="BZ128" s="309"/>
      <c r="CA128" s="309"/>
      <c r="CB128" s="383"/>
      <c r="CC128" s="309"/>
      <c r="CD128" s="309"/>
      <c r="CE128" s="309"/>
      <c r="CF128" s="383"/>
      <c r="CG128" s="309"/>
      <c r="CH128" s="309"/>
      <c r="CI128" s="309"/>
      <c r="CJ128" s="383"/>
      <c r="CK128" s="309"/>
      <c r="CL128" s="309"/>
      <c r="CM128" s="309"/>
      <c r="CN128" s="383"/>
      <c r="CO128" s="309"/>
      <c r="CP128" s="309"/>
      <c r="CQ128" s="309"/>
      <c r="CR128" s="383"/>
      <c r="CS128" s="309"/>
      <c r="CT128" s="309"/>
      <c r="CU128" s="309"/>
      <c r="CV128" s="383"/>
      <c r="CW128" s="309"/>
      <c r="CX128" s="309"/>
      <c r="CY128" s="309"/>
      <c r="CZ128" s="383"/>
    </row>
    <row r="129" spans="2:104">
      <c r="B129" s="355" t="s">
        <v>208</v>
      </c>
      <c r="H129" s="53">
        <v>-13.925000000000001</v>
      </c>
      <c r="I129" s="53">
        <v>-12.317</v>
      </c>
      <c r="J129" s="53">
        <v>-14.58</v>
      </c>
      <c r="K129" s="53">
        <v>-21.512</v>
      </c>
      <c r="L129" s="53">
        <v>-23.698</v>
      </c>
      <c r="M129" s="53">
        <v>-43.576999999999998</v>
      </c>
      <c r="N129" s="53">
        <v>-17.876000000000001</v>
      </c>
      <c r="O129" s="53">
        <v>-17.152999999999999</v>
      </c>
      <c r="P129" s="53">
        <v>-17.805</v>
      </c>
      <c r="Q129" s="53">
        <v>-16.436</v>
      </c>
      <c r="R129" s="53">
        <v>-25.463999999999999</v>
      </c>
      <c r="S129" s="53">
        <v>-35.652000000000001</v>
      </c>
      <c r="T129" s="53">
        <v>-35.478000000000002</v>
      </c>
      <c r="U129" s="53">
        <v>-30.09</v>
      </c>
      <c r="V129" s="53">
        <v>-34.093000000000004</v>
      </c>
      <c r="W129" s="121">
        <v>-35</v>
      </c>
      <c r="X129" s="121">
        <v>-35</v>
      </c>
      <c r="Y129" s="377">
        <v>-35</v>
      </c>
      <c r="AY129" s="356" t="s">
        <v>208</v>
      </c>
      <c r="BD129" s="120"/>
      <c r="BE129" s="52">
        <v>-3.1139999999999999</v>
      </c>
      <c r="BF129" s="53">
        <v>-14.632999999999999</v>
      </c>
      <c r="BG129" s="53">
        <v>-20.593</v>
      </c>
      <c r="BH129" s="64">
        <f>+L129</f>
        <v>-23.698</v>
      </c>
      <c r="BI129" s="52">
        <v>-2.7429999999999999</v>
      </c>
      <c r="BJ129" s="53">
        <v>-5.6180000000000003</v>
      </c>
      <c r="BK129" s="53">
        <v>-8.9890000000000008</v>
      </c>
      <c r="BL129" s="64">
        <f>+M129</f>
        <v>-43.576999999999998</v>
      </c>
      <c r="BM129" s="52">
        <v>-4.1470000000000002</v>
      </c>
      <c r="BN129" s="53">
        <v>-10.311999999999999</v>
      </c>
      <c r="BO129" s="53">
        <v>-13.829000000000001</v>
      </c>
      <c r="BP129" s="64">
        <f>+N129</f>
        <v>-17.876000000000001</v>
      </c>
      <c r="BQ129" s="52">
        <v>-3.4940000000000002</v>
      </c>
      <c r="BR129" s="53">
        <v>-8.8239999999999998</v>
      </c>
      <c r="BS129" s="53">
        <f>+-12.754</f>
        <v>-12.754</v>
      </c>
      <c r="BT129" s="64">
        <f>+O129</f>
        <v>-17.152999999999999</v>
      </c>
      <c r="BU129" s="52">
        <v>-4.1319999999999997</v>
      </c>
      <c r="BV129" s="53">
        <v>-9.1969999999999992</v>
      </c>
      <c r="BW129" s="53">
        <v>-14.007</v>
      </c>
      <c r="BX129" s="64">
        <f>+P129</f>
        <v>-17.805</v>
      </c>
      <c r="BY129" s="52">
        <v>-3.859</v>
      </c>
      <c r="BZ129" s="53">
        <v>-8.0190000000000001</v>
      </c>
      <c r="CA129" s="53">
        <v>-11.608000000000001</v>
      </c>
      <c r="CB129" s="64">
        <f>+Q129</f>
        <v>-16.436</v>
      </c>
      <c r="CC129" s="53">
        <v>-4.8220000000000001</v>
      </c>
      <c r="CD129" s="53">
        <v>-11.007999999999999</v>
      </c>
      <c r="CE129" s="53">
        <v>-16.661999999999999</v>
      </c>
      <c r="CF129" s="64">
        <f>$R129</f>
        <v>-25.463999999999999</v>
      </c>
      <c r="CG129" s="53">
        <v>-8.1709999999999994</v>
      </c>
      <c r="CH129" s="53">
        <v>-18.952000000000002</v>
      </c>
      <c r="CI129" s="53">
        <v>-26.359000000000002</v>
      </c>
      <c r="CJ129" s="64">
        <f>$S129</f>
        <v>-35.652000000000001</v>
      </c>
      <c r="CK129" s="53">
        <v>-7.5049999999999999</v>
      </c>
      <c r="CL129" s="53">
        <v>-15.831</v>
      </c>
      <c r="CM129" s="53">
        <v>-25.5</v>
      </c>
      <c r="CN129" s="64">
        <f>$T129</f>
        <v>-35.478000000000002</v>
      </c>
      <c r="CO129" s="53">
        <v>-200</v>
      </c>
      <c r="CP129" s="53">
        <v>-12.141999999999999</v>
      </c>
      <c r="CQ129" s="53">
        <v>-21.876999999999999</v>
      </c>
      <c r="CR129" s="64">
        <f>$U129</f>
        <v>-30.09</v>
      </c>
      <c r="CS129" s="53">
        <v>-7.4429999999999996</v>
      </c>
      <c r="CT129" s="53">
        <v>-14.034000000000001</v>
      </c>
      <c r="CU129" s="53">
        <v>-22.887</v>
      </c>
      <c r="CV129" s="64">
        <f>$V129</f>
        <v>-34.093000000000004</v>
      </c>
      <c r="CW129" s="53"/>
      <c r="CX129" s="53"/>
      <c r="CY129" s="53"/>
      <c r="CZ129" s="64">
        <f>$W129</f>
        <v>-35</v>
      </c>
    </row>
    <row r="130" spans="2:104">
      <c r="B130" s="355" t="s">
        <v>209</v>
      </c>
      <c r="H130" s="53">
        <v>0.73699999999999999</v>
      </c>
      <c r="I130" s="53">
        <v>0.504</v>
      </c>
      <c r="J130" s="53">
        <v>0.32300000000000001</v>
      </c>
      <c r="K130" s="53">
        <v>2.3879999999999999</v>
      </c>
      <c r="L130" s="53">
        <v>0.76</v>
      </c>
      <c r="M130" s="53">
        <v>0.74399999999999999</v>
      </c>
      <c r="N130" s="53">
        <v>0.16800000000000001</v>
      </c>
      <c r="O130" s="53">
        <v>0.22800000000000001</v>
      </c>
      <c r="P130" s="53">
        <v>1.38</v>
      </c>
      <c r="Q130" s="53">
        <v>9.4E-2</v>
      </c>
      <c r="R130" s="53">
        <v>1.3560000000000001</v>
      </c>
      <c r="S130" s="53">
        <v>1.863</v>
      </c>
      <c r="T130" s="53">
        <v>1.306</v>
      </c>
      <c r="U130" s="53">
        <v>0.26200000000000001</v>
      </c>
      <c r="V130" s="53"/>
      <c r="W130" s="118"/>
      <c r="X130" s="118"/>
      <c r="Y130" s="306"/>
      <c r="AY130" s="356" t="s">
        <v>209</v>
      </c>
      <c r="BD130" s="120"/>
      <c r="BE130" s="52">
        <v>7.0999999999999994E-2</v>
      </c>
      <c r="BF130" s="53">
        <v>0.623</v>
      </c>
      <c r="BG130" s="53">
        <v>0.68600000000000005</v>
      </c>
      <c r="BH130" s="64">
        <f>+L130</f>
        <v>0.76</v>
      </c>
      <c r="BI130" s="52">
        <v>6.9000000000000006E-2</v>
      </c>
      <c r="BJ130" s="53">
        <v>0.624</v>
      </c>
      <c r="BK130" s="53">
        <v>0.67500000000000004</v>
      </c>
      <c r="BL130" s="64">
        <f>+M130</f>
        <v>0.74399999999999999</v>
      </c>
      <c r="BM130" s="52">
        <v>0.02</v>
      </c>
      <c r="BN130" s="53">
        <v>7.4999999999999997E-2</v>
      </c>
      <c r="BO130" s="53">
        <v>0.13900000000000001</v>
      </c>
      <c r="BP130" s="64">
        <f>+N130</f>
        <v>0.16800000000000001</v>
      </c>
      <c r="BQ130" s="52">
        <v>6.2E-2</v>
      </c>
      <c r="BR130" s="53">
        <v>8.5999999999999993E-2</v>
      </c>
      <c r="BS130" s="53">
        <v>0.14299999999999999</v>
      </c>
      <c r="BT130" s="64">
        <f>+O130</f>
        <v>0.22800000000000001</v>
      </c>
      <c r="BU130" s="52">
        <v>2.9000000000000001E-2</v>
      </c>
      <c r="BV130" s="53">
        <v>9.1999999999999998E-2</v>
      </c>
      <c r="BW130" s="53">
        <v>1.2949999999999999</v>
      </c>
      <c r="BX130" s="64">
        <f>+P130</f>
        <v>1.38</v>
      </c>
      <c r="BY130" s="52">
        <v>0.01</v>
      </c>
      <c r="BZ130" s="53">
        <v>3.6999999999999998E-2</v>
      </c>
      <c r="CA130" s="53"/>
      <c r="CB130" s="64">
        <f>+Q130</f>
        <v>9.4E-2</v>
      </c>
      <c r="CC130" s="53">
        <v>0.05</v>
      </c>
      <c r="CD130" s="53">
        <v>0.1</v>
      </c>
      <c r="CE130" s="53">
        <v>0.108</v>
      </c>
      <c r="CF130" s="64">
        <f>$R130</f>
        <v>1.3560000000000001</v>
      </c>
      <c r="CG130" s="53">
        <v>0</v>
      </c>
      <c r="CH130" s="53">
        <v>0.111</v>
      </c>
      <c r="CI130" s="53"/>
      <c r="CJ130" s="64">
        <f>$S130</f>
        <v>1.863</v>
      </c>
      <c r="CK130" s="53">
        <v>5.6000000000000001E-2</v>
      </c>
      <c r="CL130" s="53">
        <v>1.232</v>
      </c>
      <c r="CM130" s="53">
        <v>1.2270000000000001</v>
      </c>
      <c r="CN130" s="64">
        <f>$T130</f>
        <v>1.306</v>
      </c>
      <c r="CO130" s="53">
        <v>5.8000000000000003E-2</v>
      </c>
      <c r="CP130" s="53">
        <v>0</v>
      </c>
      <c r="CQ130" s="53">
        <v>0</v>
      </c>
      <c r="CR130" s="64">
        <f>$U130</f>
        <v>0.26200000000000001</v>
      </c>
      <c r="CS130" s="53">
        <v>0</v>
      </c>
      <c r="CT130" s="53">
        <v>0</v>
      </c>
      <c r="CU130" s="53">
        <v>0</v>
      </c>
      <c r="CV130" s="64">
        <f>$V130</f>
        <v>0</v>
      </c>
      <c r="CW130" s="53"/>
      <c r="CX130" s="53"/>
      <c r="CY130" s="53"/>
      <c r="CZ130" s="64">
        <f>$W130</f>
        <v>0</v>
      </c>
    </row>
    <row r="131" spans="2:104">
      <c r="B131" s="355" t="s">
        <v>210</v>
      </c>
      <c r="H131" s="53">
        <v>-43.454999999999998</v>
      </c>
      <c r="I131" s="53">
        <v>-80.478999999999999</v>
      </c>
      <c r="J131" s="53"/>
      <c r="K131" s="53"/>
      <c r="L131" s="53"/>
      <c r="M131" s="53"/>
      <c r="N131" s="53"/>
      <c r="O131" s="53">
        <v>-5.6260000000000003</v>
      </c>
      <c r="P131" s="53">
        <v>-59.671999999999997</v>
      </c>
      <c r="Q131" s="53">
        <v>0</v>
      </c>
      <c r="R131" s="53">
        <v>-129.46199999999999</v>
      </c>
      <c r="S131" s="53">
        <v>-4.7E-2</v>
      </c>
      <c r="T131" s="53">
        <v>-3.8220000000000001</v>
      </c>
      <c r="U131" s="53">
        <v>-5.173</v>
      </c>
      <c r="V131" s="53">
        <v>-19.198</v>
      </c>
      <c r="W131" s="118"/>
      <c r="X131" s="118"/>
      <c r="Y131" s="306"/>
      <c r="AR131" s="7"/>
      <c r="AY131" s="356" t="s">
        <v>210</v>
      </c>
      <c r="BD131" s="120"/>
      <c r="BE131" s="52">
        <v>0</v>
      </c>
      <c r="BF131" s="53">
        <v>0</v>
      </c>
      <c r="BG131" s="53">
        <v>0</v>
      </c>
      <c r="BH131" s="64">
        <f>+L131</f>
        <v>0</v>
      </c>
      <c r="BI131" s="52">
        <v>0</v>
      </c>
      <c r="BJ131" s="53">
        <v>0</v>
      </c>
      <c r="BK131" s="53">
        <v>0</v>
      </c>
      <c r="BL131" s="64">
        <f>+M131</f>
        <v>0</v>
      </c>
      <c r="BM131" s="52">
        <v>0</v>
      </c>
      <c r="BN131" s="53">
        <v>0</v>
      </c>
      <c r="BO131" s="53">
        <v>0</v>
      </c>
      <c r="BP131" s="64">
        <f>+N131</f>
        <v>0</v>
      </c>
      <c r="BQ131" s="52">
        <v>0</v>
      </c>
      <c r="BR131" s="53">
        <v>0</v>
      </c>
      <c r="BS131" s="53">
        <f>+-5.828</f>
        <v>-5.8280000000000003</v>
      </c>
      <c r="BT131" s="64">
        <f>+O131</f>
        <v>-5.6260000000000003</v>
      </c>
      <c r="BU131" s="52"/>
      <c r="BV131" s="53">
        <v>-16.760999999999999</v>
      </c>
      <c r="BW131" s="53">
        <v>-47.343000000000004</v>
      </c>
      <c r="BX131" s="64">
        <f>+P131</f>
        <v>-59.671999999999997</v>
      </c>
      <c r="BY131" s="52"/>
      <c r="BZ131" s="53"/>
      <c r="CA131" s="53"/>
      <c r="CB131" s="64">
        <f>+Q131</f>
        <v>0</v>
      </c>
      <c r="CC131" s="53">
        <v>0</v>
      </c>
      <c r="CD131" s="53">
        <v>-126.54900000000001</v>
      </c>
      <c r="CE131" s="53">
        <v>-129.46199999999999</v>
      </c>
      <c r="CF131" s="64">
        <f>$R131</f>
        <v>-129.46199999999999</v>
      </c>
      <c r="CG131" s="53">
        <v>0</v>
      </c>
      <c r="CH131" s="53">
        <v>-4.7E-2</v>
      </c>
      <c r="CI131" s="53">
        <v>-4.7E-2</v>
      </c>
      <c r="CJ131" s="64">
        <f>$S131</f>
        <v>-4.7E-2</v>
      </c>
      <c r="CK131" s="53">
        <v>-2.9889999999999999</v>
      </c>
      <c r="CL131" s="53">
        <v>-2.9889999999999999</v>
      </c>
      <c r="CM131" s="53">
        <v>-3.827</v>
      </c>
      <c r="CN131" s="64">
        <f>$T131</f>
        <v>-3.8220000000000001</v>
      </c>
      <c r="CO131" s="53">
        <v>-5.1779999999999999</v>
      </c>
      <c r="CP131" s="53">
        <v>-5.173</v>
      </c>
      <c r="CQ131" s="53">
        <v>-5.173</v>
      </c>
      <c r="CR131" s="64">
        <f>$U131</f>
        <v>-5.173</v>
      </c>
      <c r="CS131" s="53">
        <v>-3.67</v>
      </c>
      <c r="CT131" s="53">
        <v>-19.382999999999999</v>
      </c>
      <c r="CU131" s="53">
        <v>-19.303000000000001</v>
      </c>
      <c r="CV131" s="64">
        <f>$V131</f>
        <v>-19.198</v>
      </c>
      <c r="CW131" s="53"/>
      <c r="CX131" s="53"/>
      <c r="CY131" s="53"/>
      <c r="CZ131" s="64">
        <f>$W131</f>
        <v>0</v>
      </c>
    </row>
    <row r="132" spans="2:104">
      <c r="B132" s="355" t="s">
        <v>211</v>
      </c>
      <c r="H132" s="53"/>
      <c r="I132" s="53"/>
      <c r="J132" s="53"/>
      <c r="K132" s="53"/>
      <c r="L132" s="53"/>
      <c r="M132" s="53">
        <v>0</v>
      </c>
      <c r="N132" s="53">
        <v>-63.6</v>
      </c>
      <c r="O132" s="53">
        <v>-3.76</v>
      </c>
      <c r="P132" s="53">
        <v>-4.9400000000000004</v>
      </c>
      <c r="Q132" s="53">
        <v>0</v>
      </c>
      <c r="R132" s="53">
        <f>-1+5.993</f>
        <v>4.9930000000000003</v>
      </c>
      <c r="S132" s="53"/>
      <c r="T132" s="53">
        <f>-2.849-0.5</f>
        <v>-3.3490000000000002</v>
      </c>
      <c r="U132" s="53">
        <v>-255.66900000000001</v>
      </c>
      <c r="V132" s="53">
        <f>-44.331-0.5</f>
        <v>-44.831000000000003</v>
      </c>
      <c r="W132" s="53"/>
      <c r="X132" s="53"/>
      <c r="Y132" s="64"/>
      <c r="AY132" s="356" t="s">
        <v>211</v>
      </c>
      <c r="BA132" s="286"/>
      <c r="BB132" s="286"/>
      <c r="BC132" s="286"/>
      <c r="BD132" s="293"/>
      <c r="BE132" s="52">
        <v>0</v>
      </c>
      <c r="BF132" s="53">
        <v>0</v>
      </c>
      <c r="BG132" s="53">
        <v>0</v>
      </c>
      <c r="BH132" s="64">
        <f>+L132</f>
        <v>0</v>
      </c>
      <c r="BI132" s="52">
        <v>0</v>
      </c>
      <c r="BJ132" s="53">
        <v>0</v>
      </c>
      <c r="BK132" s="53">
        <v>0</v>
      </c>
      <c r="BL132" s="64">
        <f>+M132</f>
        <v>0</v>
      </c>
      <c r="BM132" s="52">
        <v>0</v>
      </c>
      <c r="BN132" s="53">
        <v>-63.6</v>
      </c>
      <c r="BO132" s="53">
        <v>-63.6</v>
      </c>
      <c r="BP132" s="64">
        <f>+N132</f>
        <v>-63.6</v>
      </c>
      <c r="BQ132" s="52">
        <v>0</v>
      </c>
      <c r="BR132" s="53">
        <v>0</v>
      </c>
      <c r="BS132" s="53">
        <v>-3.76</v>
      </c>
      <c r="BT132" s="64">
        <f>+O132</f>
        <v>-3.76</v>
      </c>
      <c r="BU132" s="52"/>
      <c r="BV132" s="53">
        <v>-4.9400000000000004</v>
      </c>
      <c r="BW132" s="53">
        <v>-4.9400000000000004</v>
      </c>
      <c r="BX132" s="64">
        <f>+P132</f>
        <v>-4.9400000000000004</v>
      </c>
      <c r="BY132" s="52"/>
      <c r="BZ132" s="53"/>
      <c r="CA132" s="53">
        <v>6.0999999999999999E-2</v>
      </c>
      <c r="CB132" s="64">
        <f>+Q132</f>
        <v>0</v>
      </c>
      <c r="CC132" s="53">
        <v>5.9930000000000003</v>
      </c>
      <c r="CD132" s="53">
        <v>5.9930000000000003</v>
      </c>
      <c r="CE132" s="53">
        <v>5.9930000000000003</v>
      </c>
      <c r="CF132" s="64">
        <f>$R132</f>
        <v>4.9930000000000003</v>
      </c>
      <c r="CG132" s="53">
        <v>-4.7E-2</v>
      </c>
      <c r="CH132" s="53"/>
      <c r="CI132" s="53"/>
      <c r="CJ132" s="64">
        <f>$S132</f>
        <v>0</v>
      </c>
      <c r="CK132" s="53"/>
      <c r="CL132" s="53"/>
      <c r="CM132" s="53"/>
      <c r="CN132" s="64">
        <f>$T132</f>
        <v>-3.3490000000000002</v>
      </c>
      <c r="CO132" s="53">
        <v>-5.8449999999999998</v>
      </c>
      <c r="CP132" s="53">
        <v>-200</v>
      </c>
      <c r="CQ132" s="53">
        <v>-255.66900000000001</v>
      </c>
      <c r="CR132" s="64">
        <f>$U132</f>
        <v>-255.66900000000001</v>
      </c>
      <c r="CS132" s="53">
        <v>255.66900000000001</v>
      </c>
      <c r="CT132" s="53">
        <v>255.66900000000001</v>
      </c>
      <c r="CU132" s="53">
        <v>55.668999999999997</v>
      </c>
      <c r="CV132" s="64">
        <f>$V132</f>
        <v>-44.831000000000003</v>
      </c>
      <c r="CW132" s="53"/>
      <c r="CX132" s="53"/>
      <c r="CY132" s="53"/>
      <c r="CZ132" s="64">
        <f>$W132</f>
        <v>0</v>
      </c>
    </row>
    <row r="133" spans="2:104" s="84" customFormat="1" ht="13.15">
      <c r="B133" s="303" t="s">
        <v>212</v>
      </c>
      <c r="H133" s="380">
        <f t="shared" ref="H133:M133" si="181">SUM(H129:H132)</f>
        <v>-56.643000000000001</v>
      </c>
      <c r="I133" s="380">
        <f t="shared" si="181"/>
        <v>-92.292000000000002</v>
      </c>
      <c r="J133" s="106">
        <f t="shared" si="181"/>
        <v>-14.257</v>
      </c>
      <c r="K133" s="106">
        <f t="shared" si="181"/>
        <v>-19.124000000000002</v>
      </c>
      <c r="L133" s="106">
        <f t="shared" si="181"/>
        <v>-22.937999999999999</v>
      </c>
      <c r="M133" s="106">
        <f t="shared" si="181"/>
        <v>-42.832999999999998</v>
      </c>
      <c r="N133" s="106">
        <f t="shared" ref="N133:Y133" si="182">SUM(N129:N132)</f>
        <v>-81.308000000000007</v>
      </c>
      <c r="O133" s="106">
        <f t="shared" si="182"/>
        <v>-26.311</v>
      </c>
      <c r="P133" s="106">
        <f t="shared" si="182"/>
        <v>-81.036999999999992</v>
      </c>
      <c r="Q133" s="106">
        <f t="shared" si="182"/>
        <v>-16.341999999999999</v>
      </c>
      <c r="R133" s="106">
        <f t="shared" si="182"/>
        <v>-148.577</v>
      </c>
      <c r="S133" s="106">
        <f t="shared" si="182"/>
        <v>-33.835999999999999</v>
      </c>
      <c r="T133" s="106">
        <f t="shared" si="182"/>
        <v>-41.343000000000004</v>
      </c>
      <c r="U133" s="106">
        <f t="shared" si="182"/>
        <v>-290.67</v>
      </c>
      <c r="V133" s="106">
        <f t="shared" si="182"/>
        <v>-98.122000000000014</v>
      </c>
      <c r="W133" s="106">
        <f t="shared" si="182"/>
        <v>-35</v>
      </c>
      <c r="X133" s="106">
        <f t="shared" si="182"/>
        <v>-35</v>
      </c>
      <c r="Y133" s="108">
        <f t="shared" si="182"/>
        <v>-35</v>
      </c>
      <c r="AC133" s="149"/>
      <c r="AD133" s="149"/>
      <c r="AE133" s="149"/>
      <c r="AF133" s="149"/>
      <c r="AG133" s="149"/>
      <c r="AH133" s="149"/>
      <c r="AI133" s="149"/>
      <c r="AJ133" s="149"/>
      <c r="AK133" s="149"/>
      <c r="AL133" s="149"/>
      <c r="AM133" s="149"/>
      <c r="AN133" s="149"/>
      <c r="AO133" s="149"/>
      <c r="AP133" s="149"/>
      <c r="AQ133" s="149"/>
      <c r="AS133" s="149"/>
      <c r="AT133" s="149"/>
      <c r="AU133" s="149"/>
      <c r="AV133" s="149"/>
      <c r="AW133" s="149"/>
      <c r="AY133" s="304" t="s">
        <v>212</v>
      </c>
      <c r="BA133" s="81">
        <v>-1.6659999999999999</v>
      </c>
      <c r="BB133" s="81">
        <v>-5.57</v>
      </c>
      <c r="BC133" s="81">
        <v>-8.9019999999999992</v>
      </c>
      <c r="BD133" s="311">
        <f>+K133</f>
        <v>-19.124000000000002</v>
      </c>
      <c r="BE133" s="382">
        <f t="shared" ref="BE133:CL133" si="183">SUM(BE129:BE132)</f>
        <v>-3.0429999999999997</v>
      </c>
      <c r="BF133" s="380">
        <f t="shared" si="183"/>
        <v>-14.01</v>
      </c>
      <c r="BG133" s="380">
        <f t="shared" si="183"/>
        <v>-19.907</v>
      </c>
      <c r="BH133" s="381">
        <f t="shared" si="183"/>
        <v>-22.937999999999999</v>
      </c>
      <c r="BI133" s="382">
        <f t="shared" si="183"/>
        <v>-2.6739999999999999</v>
      </c>
      <c r="BJ133" s="380">
        <f t="shared" si="183"/>
        <v>-4.9940000000000007</v>
      </c>
      <c r="BK133" s="380">
        <f t="shared" si="183"/>
        <v>-8.3140000000000001</v>
      </c>
      <c r="BL133" s="381">
        <f t="shared" si="183"/>
        <v>-42.832999999999998</v>
      </c>
      <c r="BM133" s="382">
        <f t="shared" si="183"/>
        <v>-4.1270000000000007</v>
      </c>
      <c r="BN133" s="380">
        <f t="shared" si="183"/>
        <v>-73.837000000000003</v>
      </c>
      <c r="BO133" s="380">
        <f t="shared" si="183"/>
        <v>-77.290000000000006</v>
      </c>
      <c r="BP133" s="381">
        <f t="shared" si="183"/>
        <v>-81.308000000000007</v>
      </c>
      <c r="BQ133" s="382">
        <f t="shared" si="183"/>
        <v>-3.4320000000000004</v>
      </c>
      <c r="BR133" s="380">
        <f t="shared" si="183"/>
        <v>-8.7379999999999995</v>
      </c>
      <c r="BS133" s="380">
        <f t="shared" si="183"/>
        <v>-22.198999999999998</v>
      </c>
      <c r="BT133" s="381">
        <f t="shared" si="183"/>
        <v>-26.311</v>
      </c>
      <c r="BU133" s="382">
        <f t="shared" si="183"/>
        <v>-4.1029999999999998</v>
      </c>
      <c r="BV133" s="380">
        <f t="shared" si="183"/>
        <v>-30.806000000000001</v>
      </c>
      <c r="BW133" s="380">
        <f t="shared" si="183"/>
        <v>-64.995000000000005</v>
      </c>
      <c r="BX133" s="381">
        <f t="shared" si="183"/>
        <v>-81.036999999999992</v>
      </c>
      <c r="BY133" s="382">
        <f t="shared" si="183"/>
        <v>-3.8490000000000002</v>
      </c>
      <c r="BZ133" s="380">
        <f t="shared" si="183"/>
        <v>-7.9820000000000002</v>
      </c>
      <c r="CA133" s="380">
        <f t="shared" si="183"/>
        <v>-11.547000000000001</v>
      </c>
      <c r="CB133" s="381">
        <f t="shared" si="183"/>
        <v>-16.341999999999999</v>
      </c>
      <c r="CC133" s="380">
        <f t="shared" si="183"/>
        <v>1.2210000000000001</v>
      </c>
      <c r="CD133" s="380">
        <f t="shared" si="183"/>
        <v>-131.464</v>
      </c>
      <c r="CE133" s="380">
        <f t="shared" si="183"/>
        <v>-140.023</v>
      </c>
      <c r="CF133" s="381">
        <f t="shared" si="183"/>
        <v>-148.577</v>
      </c>
      <c r="CG133" s="380">
        <f t="shared" si="183"/>
        <v>-8.218</v>
      </c>
      <c r="CH133" s="380">
        <f t="shared" si="183"/>
        <v>-18.888000000000002</v>
      </c>
      <c r="CI133" s="380">
        <f t="shared" si="183"/>
        <v>-26.406000000000002</v>
      </c>
      <c r="CJ133" s="381">
        <f t="shared" si="183"/>
        <v>-33.835999999999999</v>
      </c>
      <c r="CK133" s="380">
        <f t="shared" si="183"/>
        <v>-10.437999999999999</v>
      </c>
      <c r="CL133" s="380">
        <f t="shared" si="183"/>
        <v>-17.588000000000001</v>
      </c>
      <c r="CM133" s="380">
        <f>SUM(CM129:CM132)+0.05</f>
        <v>-28.05</v>
      </c>
      <c r="CN133" s="381">
        <f t="shared" ref="CN133:CU133" si="184">SUM(CN129:CN132)</f>
        <v>-41.343000000000004</v>
      </c>
      <c r="CO133" s="380">
        <f t="shared" si="184"/>
        <v>-210.965</v>
      </c>
      <c r="CP133" s="380">
        <f t="shared" si="184"/>
        <v>-217.315</v>
      </c>
      <c r="CQ133" s="380">
        <f t="shared" si="184"/>
        <v>-282.71899999999999</v>
      </c>
      <c r="CR133" s="381">
        <f t="shared" si="184"/>
        <v>-290.67</v>
      </c>
      <c r="CS133" s="380">
        <f t="shared" si="184"/>
        <v>244.55600000000001</v>
      </c>
      <c r="CT133" s="380">
        <f t="shared" si="184"/>
        <v>222.25200000000001</v>
      </c>
      <c r="CU133" s="380">
        <f t="shared" si="184"/>
        <v>13.478999999999999</v>
      </c>
      <c r="CV133" s="381">
        <f>SUM(CV129:CV132)</f>
        <v>-98.122000000000014</v>
      </c>
      <c r="CW133" s="309"/>
      <c r="CX133" s="309"/>
      <c r="CY133" s="309"/>
      <c r="CZ133" s="381">
        <f>SUM(CZ129:CZ132)</f>
        <v>-35</v>
      </c>
    </row>
    <row r="134" spans="2:104">
      <c r="B134" s="355" t="s">
        <v>206</v>
      </c>
      <c r="H134" s="127"/>
      <c r="I134" s="127"/>
      <c r="J134" s="127"/>
      <c r="K134" s="127"/>
      <c r="L134" s="127"/>
      <c r="M134" s="127"/>
      <c r="N134" s="127"/>
      <c r="O134" s="127"/>
      <c r="P134" s="127"/>
      <c r="Q134" s="127"/>
      <c r="R134" s="127"/>
      <c r="S134" s="127"/>
      <c r="T134" s="127"/>
      <c r="U134" s="53"/>
      <c r="V134" s="53"/>
      <c r="W134" s="53"/>
      <c r="X134" s="53"/>
      <c r="Y134" s="64"/>
      <c r="AY134" s="356" t="s">
        <v>206</v>
      </c>
      <c r="BD134" s="120"/>
      <c r="BE134" s="375"/>
      <c r="BF134" s="127"/>
      <c r="BG134" s="127"/>
      <c r="BH134" s="376"/>
      <c r="BI134" s="375"/>
      <c r="BJ134" s="127"/>
      <c r="BK134" s="127"/>
      <c r="BL134" s="376"/>
      <c r="BM134" s="375"/>
      <c r="BN134" s="127"/>
      <c r="BO134" s="127"/>
      <c r="BP134" s="376"/>
      <c r="BQ134" s="375"/>
      <c r="BR134" s="127"/>
      <c r="BS134" s="127"/>
      <c r="BT134" s="376"/>
      <c r="BU134" s="375"/>
      <c r="BV134" s="127"/>
      <c r="BW134" s="127"/>
      <c r="BX134" s="376"/>
      <c r="BY134" s="375"/>
      <c r="BZ134" s="127"/>
      <c r="CA134" s="127"/>
      <c r="CB134" s="376"/>
      <c r="CC134" s="127"/>
      <c r="CD134" s="127"/>
      <c r="CE134" s="127"/>
      <c r="CF134" s="376"/>
      <c r="CG134" s="127"/>
      <c r="CH134" s="127"/>
      <c r="CI134" s="127"/>
      <c r="CJ134" s="376"/>
      <c r="CK134" s="127"/>
      <c r="CL134" s="127"/>
      <c r="CM134" s="127"/>
      <c r="CN134" s="376"/>
      <c r="CO134" s="127"/>
      <c r="CP134" s="127"/>
      <c r="CQ134" s="127"/>
      <c r="CR134" s="376"/>
      <c r="CS134" s="127"/>
      <c r="CT134" s="127"/>
      <c r="CU134" s="127"/>
      <c r="CV134" s="376"/>
      <c r="CW134" s="127"/>
      <c r="CX134" s="127"/>
      <c r="CY134" s="127"/>
      <c r="CZ134" s="376"/>
    </row>
    <row r="135" spans="2:104" ht="13.15">
      <c r="B135" s="131" t="s">
        <v>213</v>
      </c>
      <c r="H135" s="309"/>
      <c r="I135" s="309"/>
      <c r="J135" s="309"/>
      <c r="K135" s="309"/>
      <c r="L135" s="309"/>
      <c r="M135" s="309"/>
      <c r="N135" s="309"/>
      <c r="O135" s="309"/>
      <c r="P135" s="309"/>
      <c r="Q135" s="309"/>
      <c r="R135" s="309"/>
      <c r="S135" s="309"/>
      <c r="T135" s="309"/>
      <c r="U135" s="53"/>
      <c r="V135" s="53"/>
      <c r="W135" s="53"/>
      <c r="X135" s="53"/>
      <c r="Y135" s="64"/>
      <c r="AY135" s="374" t="s">
        <v>213</v>
      </c>
      <c r="BD135" s="120"/>
      <c r="BE135" s="308"/>
      <c r="BF135" s="309"/>
      <c r="BG135" s="309"/>
      <c r="BH135" s="383"/>
      <c r="BI135" s="308"/>
      <c r="BJ135" s="309"/>
      <c r="BK135" s="309"/>
      <c r="BL135" s="383"/>
      <c r="BM135" s="308"/>
      <c r="BN135" s="309"/>
      <c r="BO135" s="309"/>
      <c r="BP135" s="383"/>
      <c r="BQ135" s="308"/>
      <c r="BR135" s="309"/>
      <c r="BS135" s="309"/>
      <c r="BT135" s="383"/>
      <c r="BU135" s="308"/>
      <c r="BV135" s="309"/>
      <c r="BW135" s="309"/>
      <c r="BX135" s="383"/>
      <c r="BY135" s="308"/>
      <c r="BZ135" s="309"/>
      <c r="CA135" s="309"/>
      <c r="CB135" s="383"/>
      <c r="CC135" s="309"/>
      <c r="CD135" s="309"/>
      <c r="CE135" s="309"/>
      <c r="CF135" s="383"/>
      <c r="CG135" s="309"/>
      <c r="CH135" s="309"/>
      <c r="CI135" s="309"/>
      <c r="CJ135" s="383"/>
      <c r="CK135" s="309"/>
      <c r="CL135" s="309"/>
      <c r="CM135" s="309"/>
      <c r="CN135" s="383"/>
      <c r="CO135" s="309"/>
      <c r="CP135" s="309"/>
      <c r="CQ135" s="309"/>
      <c r="CR135" s="383"/>
      <c r="CS135" s="309"/>
      <c r="CT135" s="309"/>
      <c r="CU135" s="309"/>
      <c r="CV135" s="383"/>
      <c r="CW135" s="309"/>
      <c r="CX135" s="309"/>
      <c r="CY135" s="309"/>
      <c r="CZ135" s="383"/>
    </row>
    <row r="136" spans="2:104">
      <c r="B136" s="48" t="s">
        <v>214</v>
      </c>
      <c r="H136" s="53">
        <v>10</v>
      </c>
      <c r="I136" s="53">
        <v>316.74799999999999</v>
      </c>
      <c r="J136" s="53"/>
      <c r="K136" s="53">
        <v>74.728999999999999</v>
      </c>
      <c r="L136" s="53"/>
      <c r="M136" s="53"/>
      <c r="N136" s="53"/>
      <c r="O136" s="53">
        <v>135.19999999999999</v>
      </c>
      <c r="P136" s="53">
        <v>20.5</v>
      </c>
      <c r="Q136" s="53">
        <v>-155.69999999999999</v>
      </c>
      <c r="R136" s="53">
        <v>89</v>
      </c>
      <c r="S136" s="53">
        <v>-32.6</v>
      </c>
      <c r="T136" s="53">
        <f>-56.4+15.4</f>
        <v>-41</v>
      </c>
      <c r="U136" s="53">
        <v>-15.4</v>
      </c>
      <c r="V136" s="53">
        <v>16.18</v>
      </c>
      <c r="W136" s="53"/>
      <c r="X136" s="53"/>
      <c r="Y136" s="64"/>
      <c r="AR136" s="7"/>
      <c r="AY136" s="59" t="s">
        <v>214</v>
      </c>
      <c r="BD136" s="120"/>
      <c r="BE136" s="52">
        <v>38.497</v>
      </c>
      <c r="BF136" s="53">
        <v>131.14599999999999</v>
      </c>
      <c r="BG136" s="53">
        <v>3.327</v>
      </c>
      <c r="BH136" s="64">
        <f t="shared" ref="BH136:BH149" si="185">+L136</f>
        <v>0</v>
      </c>
      <c r="BI136" s="52"/>
      <c r="BJ136" s="53">
        <v>22.024999999999999</v>
      </c>
      <c r="BK136" s="53">
        <v>-25.9</v>
      </c>
      <c r="BL136" s="64">
        <f t="shared" ref="BL136:BL149" si="186">+M136</f>
        <v>0</v>
      </c>
      <c r="BM136" s="52">
        <v>45.006</v>
      </c>
      <c r="BN136" s="53">
        <v>144.006</v>
      </c>
      <c r="BO136" s="53">
        <v>49.405999999999999</v>
      </c>
      <c r="BP136" s="64">
        <f t="shared" ref="BP136:BP149" si="187">+N136</f>
        <v>0</v>
      </c>
      <c r="BQ136" s="52">
        <v>69.2</v>
      </c>
      <c r="BR136" s="53">
        <v>119.8</v>
      </c>
      <c r="BS136" s="53">
        <v>94.6</v>
      </c>
      <c r="BT136" s="64">
        <f t="shared" ref="BT136:BT149" si="188">+O136</f>
        <v>135.19999999999999</v>
      </c>
      <c r="BU136" s="52">
        <v>2.2999999999999998</v>
      </c>
      <c r="BV136" s="53">
        <v>84.4</v>
      </c>
      <c r="BW136" s="53">
        <v>34.1</v>
      </c>
      <c r="BX136" s="64">
        <f t="shared" ref="BX136:BX149" si="189">+P136</f>
        <v>20.5</v>
      </c>
      <c r="BY136" s="52">
        <v>0.443</v>
      </c>
      <c r="BZ136" s="53">
        <v>-122.343</v>
      </c>
      <c r="CA136" s="53">
        <v>-155.03200000000001</v>
      </c>
      <c r="CB136" s="64">
        <f t="shared" ref="CB136:CB149" si="190">+Q136</f>
        <v>-155.69999999999999</v>
      </c>
      <c r="CC136" s="53">
        <v>48.9</v>
      </c>
      <c r="CD136" s="53">
        <v>114.167</v>
      </c>
      <c r="CE136" s="53">
        <v>1.724</v>
      </c>
      <c r="CF136" s="64">
        <f t="shared" ref="CF136:CF149" si="191">$R136</f>
        <v>89</v>
      </c>
      <c r="CG136" s="53">
        <v>173.5</v>
      </c>
      <c r="CH136" s="53">
        <v>0</v>
      </c>
      <c r="CI136" s="53">
        <v>-80.2</v>
      </c>
      <c r="CJ136" s="64">
        <f t="shared" ref="CJ136:CJ149" si="192">$S136</f>
        <v>-32.6</v>
      </c>
      <c r="CK136" s="53">
        <v>197.6</v>
      </c>
      <c r="CL136" s="53">
        <v>342.9</v>
      </c>
      <c r="CM136" s="53">
        <v>105.6</v>
      </c>
      <c r="CN136" s="64">
        <f t="shared" ref="CN136:CN149" si="193">$T136</f>
        <v>-41</v>
      </c>
      <c r="CO136" s="53">
        <v>-15.4</v>
      </c>
      <c r="CP136" s="53">
        <v>-15.4</v>
      </c>
      <c r="CQ136" s="53">
        <v>-15.4</v>
      </c>
      <c r="CR136" s="64">
        <f t="shared" ref="CR136:CR149" si="194">$U136</f>
        <v>-15.4</v>
      </c>
      <c r="CS136" s="53">
        <v>0</v>
      </c>
      <c r="CT136" s="53">
        <v>0</v>
      </c>
      <c r="CU136" s="53">
        <v>0</v>
      </c>
      <c r="CV136" s="64">
        <f t="shared" ref="CV136:CV149" si="195">$V136</f>
        <v>16.18</v>
      </c>
      <c r="CW136" s="53"/>
      <c r="CX136" s="53"/>
      <c r="CY136" s="53"/>
      <c r="CZ136" s="64">
        <f t="shared" ref="CZ136:CZ149" si="196">$W136</f>
        <v>0</v>
      </c>
    </row>
    <row r="137" spans="2:104">
      <c r="B137" s="48" t="s">
        <v>215</v>
      </c>
      <c r="H137" s="53"/>
      <c r="I137" s="53">
        <v>-20</v>
      </c>
      <c r="J137" s="53">
        <v>-83.558999999999997</v>
      </c>
      <c r="K137" s="53"/>
      <c r="L137" s="53">
        <v>-56.256</v>
      </c>
      <c r="M137" s="53">
        <v>-10.006</v>
      </c>
      <c r="N137" s="53">
        <v>-213.494</v>
      </c>
      <c r="O137" s="53">
        <v>-21.8</v>
      </c>
      <c r="P137" s="53"/>
      <c r="Q137" s="53"/>
      <c r="R137" s="53"/>
      <c r="S137" s="53"/>
      <c r="T137" s="53"/>
      <c r="U137" s="53"/>
      <c r="V137" s="53"/>
      <c r="W137" s="53"/>
      <c r="X137" s="53"/>
      <c r="Y137" s="64"/>
      <c r="AY137" s="59" t="s">
        <v>215</v>
      </c>
      <c r="BD137" s="120"/>
      <c r="BE137" s="52"/>
      <c r="BF137" s="53"/>
      <c r="BG137" s="53"/>
      <c r="BH137" s="64">
        <f t="shared" si="185"/>
        <v>-56.256</v>
      </c>
      <c r="BI137" s="52">
        <v>-7.4</v>
      </c>
      <c r="BJ137" s="53"/>
      <c r="BK137" s="53"/>
      <c r="BL137" s="64">
        <f t="shared" si="186"/>
        <v>-10.006</v>
      </c>
      <c r="BM137" s="52"/>
      <c r="BN137" s="53"/>
      <c r="BO137" s="53"/>
      <c r="BP137" s="64">
        <f t="shared" si="187"/>
        <v>-213.494</v>
      </c>
      <c r="BQ137" s="52"/>
      <c r="BR137" s="53"/>
      <c r="BS137" s="53"/>
      <c r="BT137" s="64">
        <f t="shared" si="188"/>
        <v>-21.8</v>
      </c>
      <c r="BU137" s="52"/>
      <c r="BV137" s="53"/>
      <c r="BW137" s="53"/>
      <c r="BX137" s="64">
        <f t="shared" si="189"/>
        <v>0</v>
      </c>
      <c r="BY137" s="52"/>
      <c r="BZ137" s="53"/>
      <c r="CA137" s="53"/>
      <c r="CB137" s="64">
        <f t="shared" si="190"/>
        <v>0</v>
      </c>
      <c r="CC137" s="53"/>
      <c r="CD137" s="53"/>
      <c r="CE137" s="53"/>
      <c r="CF137" s="64">
        <f t="shared" si="191"/>
        <v>0</v>
      </c>
      <c r="CG137" s="53"/>
      <c r="CH137" s="53">
        <f>0+114.6</f>
        <v>114.6</v>
      </c>
      <c r="CI137" s="53"/>
      <c r="CJ137" s="64">
        <f t="shared" si="192"/>
        <v>0</v>
      </c>
      <c r="CK137" s="53">
        <f>-56.4-0.88</f>
        <v>-57.28</v>
      </c>
      <c r="CL137" s="53">
        <f>-0.58-56.4</f>
        <v>-56.98</v>
      </c>
      <c r="CM137" s="53">
        <v>-56.4</v>
      </c>
      <c r="CN137" s="64">
        <f t="shared" si="193"/>
        <v>0</v>
      </c>
      <c r="CO137" s="53"/>
      <c r="CP137" s="53"/>
      <c r="CQ137" s="53"/>
      <c r="CR137" s="64">
        <f t="shared" si="194"/>
        <v>0</v>
      </c>
      <c r="CS137" s="53"/>
      <c r="CT137" s="53">
        <v>0</v>
      </c>
      <c r="CU137" s="53">
        <v>0</v>
      </c>
      <c r="CV137" s="64">
        <f t="shared" si="195"/>
        <v>0</v>
      </c>
      <c r="CW137" s="53"/>
      <c r="CX137" s="53"/>
      <c r="CY137" s="53"/>
      <c r="CZ137" s="64">
        <f t="shared" si="196"/>
        <v>0</v>
      </c>
    </row>
    <row r="138" spans="2:104">
      <c r="B138" s="48" t="s">
        <v>216</v>
      </c>
      <c r="H138" s="53"/>
      <c r="I138" s="53"/>
      <c r="J138" s="53"/>
      <c r="K138" s="53"/>
      <c r="L138" s="53"/>
      <c r="M138" s="53"/>
      <c r="N138" s="53"/>
      <c r="O138" s="53"/>
      <c r="P138" s="53"/>
      <c r="Q138" s="53"/>
      <c r="R138" s="53"/>
      <c r="S138" s="53"/>
      <c r="T138" s="53"/>
      <c r="U138" s="53"/>
      <c r="V138" s="53"/>
      <c r="W138" s="53"/>
      <c r="X138" s="53"/>
      <c r="Y138" s="64"/>
      <c r="AR138" s="7"/>
      <c r="AY138" s="59" t="s">
        <v>216</v>
      </c>
      <c r="BD138" s="120"/>
      <c r="BE138" s="52"/>
      <c r="BF138" s="53">
        <v>2.569</v>
      </c>
      <c r="BG138" s="53">
        <v>2.3530000000000002</v>
      </c>
      <c r="BH138" s="64">
        <f t="shared" si="185"/>
        <v>0</v>
      </c>
      <c r="BI138" s="52"/>
      <c r="BJ138" s="53">
        <v>0.79300000000000004</v>
      </c>
      <c r="BK138" s="53"/>
      <c r="BL138" s="64">
        <f t="shared" si="186"/>
        <v>0</v>
      </c>
      <c r="BM138" s="52">
        <v>1.5960000000000001</v>
      </c>
      <c r="BN138" s="53">
        <v>1.6759999999999999</v>
      </c>
      <c r="BO138" s="53"/>
      <c r="BP138" s="64">
        <f t="shared" si="187"/>
        <v>0</v>
      </c>
      <c r="BQ138" s="52">
        <v>0</v>
      </c>
      <c r="BR138" s="53">
        <v>1.51</v>
      </c>
      <c r="BS138" s="53"/>
      <c r="BT138" s="64">
        <f t="shared" si="188"/>
        <v>0</v>
      </c>
      <c r="BU138" s="52">
        <v>2.34</v>
      </c>
      <c r="BV138" s="53"/>
      <c r="BW138" s="53"/>
      <c r="BX138" s="64">
        <f t="shared" si="189"/>
        <v>0</v>
      </c>
      <c r="BY138" s="52"/>
      <c r="BZ138" s="53"/>
      <c r="CA138" s="53"/>
      <c r="CB138" s="64">
        <f t="shared" si="190"/>
        <v>0</v>
      </c>
      <c r="CC138" s="53"/>
      <c r="CD138" s="53"/>
      <c r="CE138" s="53"/>
      <c r="CF138" s="64">
        <f t="shared" si="191"/>
        <v>0</v>
      </c>
      <c r="CG138" s="53"/>
      <c r="CH138" s="53"/>
      <c r="CI138" s="53"/>
      <c r="CJ138" s="64">
        <f t="shared" si="192"/>
        <v>0</v>
      </c>
      <c r="CK138" s="53"/>
      <c r="CL138" s="53"/>
      <c r="CM138" s="53"/>
      <c r="CN138" s="64">
        <f t="shared" si="193"/>
        <v>0</v>
      </c>
      <c r="CO138" s="53"/>
      <c r="CP138" s="53"/>
      <c r="CQ138" s="53"/>
      <c r="CR138" s="64">
        <f t="shared" si="194"/>
        <v>0</v>
      </c>
      <c r="CS138" s="53">
        <v>0</v>
      </c>
      <c r="CT138" s="53">
        <v>0</v>
      </c>
      <c r="CU138" s="53">
        <v>0</v>
      </c>
      <c r="CV138" s="64">
        <f t="shared" si="195"/>
        <v>0</v>
      </c>
      <c r="CW138" s="53"/>
      <c r="CX138" s="53"/>
      <c r="CY138" s="53"/>
      <c r="CZ138" s="64">
        <f t="shared" si="196"/>
        <v>0</v>
      </c>
    </row>
    <row r="139" spans="2:104">
      <c r="B139" s="48" t="s">
        <v>217</v>
      </c>
      <c r="H139" s="53">
        <v>-73.275999999999996</v>
      </c>
      <c r="I139" s="53"/>
      <c r="J139" s="53"/>
      <c r="K139" s="53"/>
      <c r="L139" s="53"/>
      <c r="M139" s="53">
        <v>-3.9750000000000001</v>
      </c>
      <c r="N139" s="53">
        <v>-164.14699999999999</v>
      </c>
      <c r="O139" s="53">
        <v>-209.21799999999999</v>
      </c>
      <c r="P139" s="53">
        <v>-241.41200000000001</v>
      </c>
      <c r="Q139" s="53">
        <v>-265.71300000000002</v>
      </c>
      <c r="R139" s="53">
        <v>-294.52199999999999</v>
      </c>
      <c r="S139" s="53">
        <v>-332.447</v>
      </c>
      <c r="T139" s="53">
        <v>-382.64600000000002</v>
      </c>
      <c r="U139" s="53">
        <v>-423.52100000000002</v>
      </c>
      <c r="V139" s="53">
        <v>-473.76499999999999</v>
      </c>
      <c r="W139" s="53">
        <f>-(W49*W31)</f>
        <v>-505.56</v>
      </c>
      <c r="X139" s="53">
        <f>-(X49*X31)</f>
        <v>-561.92400000000021</v>
      </c>
      <c r="Y139" s="64">
        <f>-(Y49*Y31)</f>
        <v>-624.50520000000017</v>
      </c>
      <c r="AY139" s="59" t="s">
        <v>217</v>
      </c>
      <c r="BD139" s="120"/>
      <c r="BE139" s="52">
        <v>-24.524000000000001</v>
      </c>
      <c r="BF139" s="53">
        <v>-49.164999999999999</v>
      </c>
      <c r="BG139" s="53">
        <v>-73.84</v>
      </c>
      <c r="BH139" s="64">
        <f t="shared" si="185"/>
        <v>0</v>
      </c>
      <c r="BI139" s="52">
        <v>-30.033000000000001</v>
      </c>
      <c r="BJ139" s="53">
        <v>-60.164000000000001</v>
      </c>
      <c r="BK139" s="53">
        <v>-90.298000000000002</v>
      </c>
      <c r="BL139" s="64">
        <f t="shared" si="186"/>
        <v>-3.9750000000000001</v>
      </c>
      <c r="BM139" s="52">
        <v>-37.383000000000003</v>
      </c>
      <c r="BN139" s="53">
        <v>-74.834999999999994</v>
      </c>
      <c r="BO139" s="53">
        <v>-119.468</v>
      </c>
      <c r="BP139" s="64">
        <f t="shared" si="187"/>
        <v>-164.14699999999999</v>
      </c>
      <c r="BQ139" s="52">
        <v>-46.581000000000003</v>
      </c>
      <c r="BR139" s="53">
        <v>-100.765</v>
      </c>
      <c r="BS139" s="53">
        <f>+-154.951</f>
        <v>-154.95099999999999</v>
      </c>
      <c r="BT139" s="64">
        <f t="shared" si="188"/>
        <v>-209.21799999999999</v>
      </c>
      <c r="BU139" s="52">
        <v>-59.965000000000003</v>
      </c>
      <c r="BV139" s="53">
        <v>-120.178</v>
      </c>
      <c r="BW139" s="53">
        <v>-180.45400000000001</v>
      </c>
      <c r="BX139" s="64">
        <f t="shared" si="189"/>
        <v>-241.41200000000001</v>
      </c>
      <c r="BY139" s="52">
        <v>-61.238</v>
      </c>
      <c r="BZ139" s="53">
        <v>-129.315</v>
      </c>
      <c r="CA139" s="53">
        <v>-197.45400000000001</v>
      </c>
      <c r="CB139" s="64">
        <f t="shared" si="190"/>
        <v>-265.71300000000002</v>
      </c>
      <c r="CC139" s="53">
        <v>-68.521000000000001</v>
      </c>
      <c r="CD139" s="53">
        <v>-143.90899999999999</v>
      </c>
      <c r="CE139" s="53">
        <v>-219.44</v>
      </c>
      <c r="CF139" s="64">
        <f t="shared" si="191"/>
        <v>-294.52199999999999</v>
      </c>
      <c r="CG139" s="53">
        <v>-75.795000000000002</v>
      </c>
      <c r="CH139" s="53">
        <v>-161.48400000000001</v>
      </c>
      <c r="CI139" s="53">
        <v>-247.24199999999999</v>
      </c>
      <c r="CJ139" s="64">
        <f t="shared" si="192"/>
        <v>-332.447</v>
      </c>
      <c r="CK139" s="53">
        <v>-94.97</v>
      </c>
      <c r="CL139" s="53">
        <v>-190.40899999999999</v>
      </c>
      <c r="CM139" s="53">
        <v>-286.12200000000001</v>
      </c>
      <c r="CN139" s="64">
        <f t="shared" si="193"/>
        <v>-382.64600000000002</v>
      </c>
      <c r="CO139" s="53">
        <v>-96.765000000000001</v>
      </c>
      <c r="CP139" s="53">
        <v>-205.56800000000001</v>
      </c>
      <c r="CQ139" s="53">
        <v>-314.48599999999999</v>
      </c>
      <c r="CR139" s="64">
        <f t="shared" si="194"/>
        <v>-423.52100000000002</v>
      </c>
      <c r="CS139" s="53">
        <v>-109.03700000000001</v>
      </c>
      <c r="CT139" s="53">
        <f>-230.497-69.829</f>
        <v>-300.32600000000002</v>
      </c>
      <c r="CU139" s="53">
        <v>-352.08499999999998</v>
      </c>
      <c r="CV139" s="64">
        <f t="shared" si="195"/>
        <v>-473.76499999999999</v>
      </c>
      <c r="CW139" s="53"/>
      <c r="CX139" s="53"/>
      <c r="CY139" s="53"/>
      <c r="CZ139" s="64">
        <f t="shared" si="196"/>
        <v>-505.56</v>
      </c>
    </row>
    <row r="140" spans="2:104" ht="25.5">
      <c r="B140" s="48" t="s">
        <v>218</v>
      </c>
      <c r="H140" s="53"/>
      <c r="I140" s="53">
        <v>-51.881</v>
      </c>
      <c r="J140" s="53"/>
      <c r="K140" s="53">
        <v>-87.734999999999999</v>
      </c>
      <c r="L140" s="53"/>
      <c r="M140" s="53">
        <v>-42.908999999999999</v>
      </c>
      <c r="N140" s="53">
        <v>-42.688000000000002</v>
      </c>
      <c r="O140" s="53"/>
      <c r="P140" s="53">
        <v>-32.4</v>
      </c>
      <c r="Q140" s="53">
        <v>0</v>
      </c>
      <c r="R140" s="53">
        <v>0</v>
      </c>
      <c r="S140" s="53">
        <v>0</v>
      </c>
      <c r="T140" s="53">
        <v>0</v>
      </c>
      <c r="U140" s="9">
        <v>0</v>
      </c>
      <c r="Y140" s="120"/>
      <c r="AY140" s="59" t="s">
        <v>218</v>
      </c>
      <c r="BD140" s="120"/>
      <c r="BE140" s="52"/>
      <c r="BF140" s="53"/>
      <c r="BG140" s="53"/>
      <c r="BH140" s="64">
        <f t="shared" si="185"/>
        <v>0</v>
      </c>
      <c r="BI140" s="52"/>
      <c r="BJ140" s="53"/>
      <c r="BK140" s="53">
        <v>0</v>
      </c>
      <c r="BL140" s="64">
        <f t="shared" si="186"/>
        <v>-42.908999999999999</v>
      </c>
      <c r="BM140" s="52">
        <v>-42.688000000000002</v>
      </c>
      <c r="BN140" s="53">
        <v>-42.688000000000002</v>
      </c>
      <c r="BO140" s="53">
        <v>-42.688000000000002</v>
      </c>
      <c r="BP140" s="64">
        <f t="shared" si="187"/>
        <v>-42.688000000000002</v>
      </c>
      <c r="BQ140" s="52">
        <v>0</v>
      </c>
      <c r="BR140" s="53">
        <v>0</v>
      </c>
      <c r="BS140" s="53"/>
      <c r="BT140" s="64">
        <f t="shared" si="188"/>
        <v>0</v>
      </c>
      <c r="BU140" s="52"/>
      <c r="BV140" s="53">
        <v>-32.4</v>
      </c>
      <c r="BW140" s="53">
        <v>-32.4</v>
      </c>
      <c r="BX140" s="64">
        <f t="shared" si="189"/>
        <v>-32.4</v>
      </c>
      <c r="BY140" s="52"/>
      <c r="BZ140" s="53"/>
      <c r="CA140" s="53"/>
      <c r="CB140" s="64">
        <f t="shared" si="190"/>
        <v>0</v>
      </c>
      <c r="CC140" s="53"/>
      <c r="CD140" s="53"/>
      <c r="CE140" s="53"/>
      <c r="CF140" s="64">
        <f t="shared" si="191"/>
        <v>0</v>
      </c>
      <c r="CG140" s="53"/>
      <c r="CH140" s="53"/>
      <c r="CI140" s="53"/>
      <c r="CJ140" s="64">
        <f t="shared" si="192"/>
        <v>0</v>
      </c>
      <c r="CK140" s="53"/>
      <c r="CL140" s="53"/>
      <c r="CM140" s="53"/>
      <c r="CN140" s="64">
        <f t="shared" si="193"/>
        <v>0</v>
      </c>
      <c r="CO140" s="53"/>
      <c r="CP140" s="53"/>
      <c r="CQ140" s="53"/>
      <c r="CR140" s="64">
        <f t="shared" si="194"/>
        <v>0</v>
      </c>
      <c r="CS140" s="53"/>
      <c r="CT140" s="53"/>
      <c r="CU140" s="53"/>
      <c r="CV140" s="64">
        <f t="shared" si="195"/>
        <v>0</v>
      </c>
      <c r="CW140" s="53"/>
      <c r="CX140" s="53"/>
      <c r="CY140" s="53"/>
      <c r="CZ140" s="64">
        <f t="shared" si="196"/>
        <v>0</v>
      </c>
    </row>
    <row r="141" spans="2:104">
      <c r="B141" s="48" t="s">
        <v>219</v>
      </c>
      <c r="H141" s="53">
        <v>-3.7999999999999999E-2</v>
      </c>
      <c r="I141" s="53">
        <v>-2.1160000000000001</v>
      </c>
      <c r="J141" s="53">
        <v>-0.45800000000000002</v>
      </c>
      <c r="K141" s="53">
        <v>-0.38100000000000001</v>
      </c>
      <c r="L141" s="53"/>
      <c r="M141" s="53"/>
      <c r="N141" s="53"/>
      <c r="O141" s="53">
        <v>-0.79</v>
      </c>
      <c r="P141" s="53"/>
      <c r="Q141" s="53">
        <v>-0.19600000000000001</v>
      </c>
      <c r="R141" s="53">
        <v>-2.1999999999999999E-2</v>
      </c>
      <c r="S141" s="53"/>
      <c r="T141" s="53">
        <v>-0.84399999999999997</v>
      </c>
      <c r="U141" s="9">
        <v>0</v>
      </c>
      <c r="Y141" s="120"/>
      <c r="AR141" s="7"/>
      <c r="AY141" s="59" t="s">
        <v>219</v>
      </c>
      <c r="BD141" s="120"/>
      <c r="BE141" s="52"/>
      <c r="BF141" s="53"/>
      <c r="BG141" s="53"/>
      <c r="BH141" s="64">
        <f t="shared" si="185"/>
        <v>0</v>
      </c>
      <c r="BI141" s="52"/>
      <c r="BJ141" s="53"/>
      <c r="BK141" s="53"/>
      <c r="BL141" s="64">
        <f t="shared" si="186"/>
        <v>0</v>
      </c>
      <c r="BM141" s="52"/>
      <c r="BN141" s="53"/>
      <c r="BO141" s="53"/>
      <c r="BP141" s="64">
        <f t="shared" si="187"/>
        <v>0</v>
      </c>
      <c r="BQ141" s="52"/>
      <c r="BR141" s="53"/>
      <c r="BS141" s="53"/>
      <c r="BT141" s="64">
        <f t="shared" si="188"/>
        <v>-0.79</v>
      </c>
      <c r="BU141" s="52"/>
      <c r="BV141" s="53"/>
      <c r="BW141" s="53"/>
      <c r="BX141" s="64">
        <f t="shared" si="189"/>
        <v>0</v>
      </c>
      <c r="BY141" s="52"/>
      <c r="BZ141" s="53">
        <v>-0.189</v>
      </c>
      <c r="CA141" s="53">
        <v>-0.189</v>
      </c>
      <c r="CB141" s="64">
        <f t="shared" si="190"/>
        <v>-0.19600000000000001</v>
      </c>
      <c r="CC141" s="53"/>
      <c r="CD141" s="53">
        <v>0</v>
      </c>
      <c r="CE141" s="53">
        <v>-2.1999999999999999E-2</v>
      </c>
      <c r="CF141" s="64">
        <f t="shared" si="191"/>
        <v>-2.1999999999999999E-2</v>
      </c>
      <c r="CG141" s="53"/>
      <c r="CH141" s="53"/>
      <c r="CI141" s="53"/>
      <c r="CJ141" s="64">
        <f t="shared" si="192"/>
        <v>0</v>
      </c>
      <c r="CK141" s="53">
        <v>-0.57999999999999996</v>
      </c>
      <c r="CL141" s="53"/>
      <c r="CM141" s="53">
        <v>-0.83699999999999997</v>
      </c>
      <c r="CN141" s="64">
        <f t="shared" si="193"/>
        <v>-0.84399999999999997</v>
      </c>
      <c r="CO141" s="53"/>
      <c r="CP141" s="53"/>
      <c r="CQ141" s="53"/>
      <c r="CR141" s="64">
        <f t="shared" si="194"/>
        <v>0</v>
      </c>
      <c r="CS141" s="53"/>
      <c r="CT141" s="53"/>
      <c r="CU141" s="53"/>
      <c r="CV141" s="64">
        <f t="shared" si="195"/>
        <v>0</v>
      </c>
      <c r="CW141" s="53"/>
      <c r="CX141" s="53"/>
      <c r="CY141" s="53"/>
      <c r="CZ141" s="64">
        <f t="shared" si="196"/>
        <v>0</v>
      </c>
    </row>
    <row r="142" spans="2:104">
      <c r="B142" s="48" t="s">
        <v>220</v>
      </c>
      <c r="H142" s="53">
        <v>-26.469000000000001</v>
      </c>
      <c r="I142" s="53">
        <v>-16.003</v>
      </c>
      <c r="J142" s="53">
        <v>-69.494</v>
      </c>
      <c r="K142" s="53">
        <v>-43.258000000000003</v>
      </c>
      <c r="L142" s="53">
        <v>-39.753999999999998</v>
      </c>
      <c r="M142" s="53">
        <v>-38.9</v>
      </c>
      <c r="N142" s="53">
        <v>-42.831000000000003</v>
      </c>
      <c r="O142" s="53">
        <v>-46.825000000000003</v>
      </c>
      <c r="P142" s="53">
        <v>-39.271999999999998</v>
      </c>
      <c r="Q142" s="53">
        <v>-42.401000000000003</v>
      </c>
      <c r="R142" s="53">
        <v>-61.98</v>
      </c>
      <c r="S142" s="53">
        <v>-69.183999999999997</v>
      </c>
      <c r="T142" s="53">
        <v>-73.588999999999999</v>
      </c>
      <c r="U142" s="53">
        <v>0</v>
      </c>
      <c r="V142" s="53">
        <v>-132.196</v>
      </c>
      <c r="W142" s="53">
        <f>-W20-W22</f>
        <v>-139</v>
      </c>
      <c r="X142" s="53">
        <f t="shared" ref="X142:Y142" si="197">-X20-X22</f>
        <v>-140</v>
      </c>
      <c r="Y142" s="64">
        <f t="shared" si="197"/>
        <v>-140</v>
      </c>
      <c r="AY142" s="59" t="s">
        <v>220</v>
      </c>
      <c r="BD142" s="120"/>
      <c r="BE142" s="52">
        <v>-3.6539999999999999</v>
      </c>
      <c r="BF142" s="53">
        <v>-3.6539999999999999</v>
      </c>
      <c r="BG142" s="53">
        <v>-13.266</v>
      </c>
      <c r="BH142" s="64">
        <f t="shared" si="185"/>
        <v>-39.753999999999998</v>
      </c>
      <c r="BI142" s="52">
        <v>-7.1150000000000002</v>
      </c>
      <c r="BJ142" s="53">
        <v>-7.1139999999999999</v>
      </c>
      <c r="BK142" s="53">
        <v>-26.027000000000001</v>
      </c>
      <c r="BL142" s="64">
        <f t="shared" si="186"/>
        <v>-38.9</v>
      </c>
      <c r="BM142" s="52">
        <v>-6.798</v>
      </c>
      <c r="BN142" s="53">
        <v>-6.7990000000000004</v>
      </c>
      <c r="BO142" s="53">
        <v>-6.7990000000000004</v>
      </c>
      <c r="BP142" s="64">
        <f t="shared" si="187"/>
        <v>-42.831000000000003</v>
      </c>
      <c r="BQ142" s="52">
        <v>-2.1779999999999999</v>
      </c>
      <c r="BR142" s="53">
        <v>-2.1779999999999999</v>
      </c>
      <c r="BS142" s="53">
        <f>+-2.178</f>
        <v>-2.1779999999999999</v>
      </c>
      <c r="BT142" s="64">
        <f t="shared" si="188"/>
        <v>-46.825000000000003</v>
      </c>
      <c r="BU142" s="52"/>
      <c r="BV142" s="53"/>
      <c r="BW142" s="53"/>
      <c r="BX142" s="64">
        <f t="shared" si="189"/>
        <v>-39.271999999999998</v>
      </c>
      <c r="BY142" s="52"/>
      <c r="BZ142" s="53"/>
      <c r="CA142" s="53"/>
      <c r="CB142" s="64">
        <f t="shared" si="190"/>
        <v>-42.401000000000003</v>
      </c>
      <c r="CC142" s="53"/>
      <c r="CD142" s="53"/>
      <c r="CE142" s="53"/>
      <c r="CF142" s="64">
        <f t="shared" si="191"/>
        <v>-61.98</v>
      </c>
      <c r="CG142" s="53"/>
      <c r="CH142" s="53"/>
      <c r="CI142" s="53"/>
      <c r="CJ142" s="64">
        <f t="shared" si="192"/>
        <v>-69.183999999999997</v>
      </c>
      <c r="CK142" s="53"/>
      <c r="CL142" s="53"/>
      <c r="CM142" s="53"/>
      <c r="CN142" s="64">
        <f t="shared" si="193"/>
        <v>-73.588999999999999</v>
      </c>
      <c r="CO142" s="53"/>
      <c r="CP142" s="53"/>
      <c r="CQ142" s="53"/>
      <c r="CR142" s="64">
        <f t="shared" si="194"/>
        <v>0</v>
      </c>
      <c r="CS142" s="53"/>
      <c r="CT142" s="53"/>
      <c r="CU142" s="53"/>
      <c r="CV142" s="64">
        <f t="shared" si="195"/>
        <v>-132.196</v>
      </c>
      <c r="CW142" s="53"/>
      <c r="CX142" s="53"/>
      <c r="CY142" s="53"/>
      <c r="CZ142" s="64">
        <f t="shared" si="196"/>
        <v>-139</v>
      </c>
    </row>
    <row r="143" spans="2:104" ht="25.5">
      <c r="B143" s="48" t="s">
        <v>221</v>
      </c>
      <c r="H143" s="53"/>
      <c r="I143" s="53"/>
      <c r="J143" s="53"/>
      <c r="K143" s="53"/>
      <c r="L143" s="53"/>
      <c r="M143" s="53">
        <v>-3.9750000000000001</v>
      </c>
      <c r="N143" s="53">
        <v>-4.6740000000000004</v>
      </c>
      <c r="O143" s="53">
        <v>-3.782</v>
      </c>
      <c r="P143" s="53">
        <v>-1.528</v>
      </c>
      <c r="Q143" s="53">
        <v>-2.2989999999999999</v>
      </c>
      <c r="R143" s="53">
        <v>-1.0920000000000001</v>
      </c>
      <c r="S143" s="53">
        <v>-87.106999999999999</v>
      </c>
      <c r="T143" s="53">
        <v>-2.8279999999999998</v>
      </c>
      <c r="U143" s="53">
        <v>-39.673000000000002</v>
      </c>
      <c r="V143" s="53"/>
      <c r="W143" s="53"/>
      <c r="X143" s="53"/>
      <c r="Y143" s="64"/>
      <c r="AY143" s="59" t="s">
        <v>221</v>
      </c>
      <c r="BD143" s="120"/>
      <c r="BE143" s="52"/>
      <c r="BF143" s="53"/>
      <c r="BG143" s="53"/>
      <c r="BH143" s="64">
        <f t="shared" si="185"/>
        <v>0</v>
      </c>
      <c r="BI143" s="52"/>
      <c r="BJ143" s="53"/>
      <c r="BK143" s="53"/>
      <c r="BL143" s="64">
        <f t="shared" si="186"/>
        <v>-3.9750000000000001</v>
      </c>
      <c r="BM143" s="52"/>
      <c r="BN143" s="53">
        <v>-2.7709999999999999</v>
      </c>
      <c r="BO143" s="53"/>
      <c r="BP143" s="64">
        <f t="shared" si="187"/>
        <v>-4.6740000000000004</v>
      </c>
      <c r="BQ143" s="52"/>
      <c r="BR143" s="53">
        <v>-2.2130000000000001</v>
      </c>
      <c r="BS143" s="53">
        <f>+-3.782</f>
        <v>-3.782</v>
      </c>
      <c r="BT143" s="64">
        <f t="shared" si="188"/>
        <v>-3.782</v>
      </c>
      <c r="BU143" s="52">
        <v>-0.42799999999999999</v>
      </c>
      <c r="BV143" s="53">
        <v>-0.98299999999999998</v>
      </c>
      <c r="BW143" s="53">
        <v>-1.528</v>
      </c>
      <c r="BX143" s="64">
        <f t="shared" si="189"/>
        <v>-1.528</v>
      </c>
      <c r="BY143" s="52">
        <v>-0.79100000000000004</v>
      </c>
      <c r="BZ143" s="53">
        <v>-1.034</v>
      </c>
      <c r="CA143" s="53">
        <v>-2.2989999999999999</v>
      </c>
      <c r="CB143" s="64">
        <f t="shared" si="190"/>
        <v>-2.2989999999999999</v>
      </c>
      <c r="CC143" s="53"/>
      <c r="CD143" s="53">
        <v>0</v>
      </c>
      <c r="CE143" s="53">
        <v>-0.89400000000000002</v>
      </c>
      <c r="CF143" s="64">
        <f t="shared" si="191"/>
        <v>-1.0920000000000001</v>
      </c>
      <c r="CG143" s="53"/>
      <c r="CH143" s="53">
        <v>-2.1789999999999998</v>
      </c>
      <c r="CI143" s="53">
        <v>-2.4710000000000001</v>
      </c>
      <c r="CJ143" s="64">
        <f t="shared" si="192"/>
        <v>-87.106999999999999</v>
      </c>
      <c r="CK143" s="53">
        <v>-2.2160000000000002</v>
      </c>
      <c r="CL143" s="53">
        <v>-2.254</v>
      </c>
      <c r="CM143" s="53">
        <v>-2.6389999999999998</v>
      </c>
      <c r="CN143" s="64">
        <f t="shared" si="193"/>
        <v>-2.8279999999999998</v>
      </c>
      <c r="CO143" s="53"/>
      <c r="CP143" s="53">
        <v>-1.2090000000000001</v>
      </c>
      <c r="CQ143" s="53"/>
      <c r="CR143" s="64">
        <f t="shared" si="194"/>
        <v>-39.673000000000002</v>
      </c>
      <c r="CS143" s="53"/>
      <c r="CT143" s="53"/>
      <c r="CU143" s="53"/>
      <c r="CV143" s="64">
        <f t="shared" si="195"/>
        <v>0</v>
      </c>
      <c r="CW143" s="53"/>
      <c r="CX143" s="53"/>
      <c r="CY143" s="53"/>
      <c r="CZ143" s="64">
        <f t="shared" si="196"/>
        <v>0</v>
      </c>
    </row>
    <row r="144" spans="2:104">
      <c r="B144" s="48" t="s">
        <v>222</v>
      </c>
      <c r="H144" s="53">
        <v>-6.9000000000000006E-2</v>
      </c>
      <c r="I144" s="53">
        <v>-1E-3</v>
      </c>
      <c r="J144" s="53">
        <v>0.60199999999999998</v>
      </c>
      <c r="K144" s="53">
        <v>0.23499999999999999</v>
      </c>
      <c r="L144" s="53">
        <v>-0.157</v>
      </c>
      <c r="M144" s="53">
        <v>-0.15</v>
      </c>
      <c r="N144" s="53">
        <v>-1.9E-2</v>
      </c>
      <c r="O144" s="53">
        <v>0.26900000000000002</v>
      </c>
      <c r="P144" s="53">
        <v>-1.24</v>
      </c>
      <c r="Q144" s="53">
        <v>-1.4410000000000001</v>
      </c>
      <c r="R144" s="53">
        <v>-2.04</v>
      </c>
      <c r="S144" s="53">
        <v>-3.0419999999999998</v>
      </c>
      <c r="T144" s="53">
        <v>-4.0449999999999999</v>
      </c>
      <c r="U144" s="53">
        <v>-6.0270000000000001</v>
      </c>
      <c r="V144" s="53"/>
      <c r="W144" s="53"/>
      <c r="X144" s="53"/>
      <c r="Y144" s="64"/>
      <c r="AY144" s="59" t="s">
        <v>222</v>
      </c>
      <c r="BD144" s="120"/>
      <c r="BE144" s="52">
        <v>-4.1000000000000002E-2</v>
      </c>
      <c r="BF144" s="53">
        <v>-8.3000000000000004E-2</v>
      </c>
      <c r="BG144" s="53">
        <v>-0.112</v>
      </c>
      <c r="BH144" s="64">
        <f t="shared" si="185"/>
        <v>-0.157</v>
      </c>
      <c r="BI144" s="52">
        <v>-4.4999999999999998E-2</v>
      </c>
      <c r="BJ144" s="53">
        <v>-0.06</v>
      </c>
      <c r="BK144" s="53">
        <v>-0.11</v>
      </c>
      <c r="BL144" s="64">
        <f t="shared" si="186"/>
        <v>-0.15</v>
      </c>
      <c r="BM144" s="52">
        <v>-4.9000000000000002E-2</v>
      </c>
      <c r="BN144" s="53">
        <v>-0.1</v>
      </c>
      <c r="BO144" s="53">
        <v>4.1000000000000002E-2</v>
      </c>
      <c r="BP144" s="64">
        <f t="shared" si="187"/>
        <v>-1.9E-2</v>
      </c>
      <c r="BQ144" s="52">
        <v>-0.06</v>
      </c>
      <c r="BR144" s="53">
        <v>-0.121</v>
      </c>
      <c r="BS144" s="53"/>
      <c r="BT144" s="64">
        <f t="shared" si="188"/>
        <v>0.26900000000000002</v>
      </c>
      <c r="BU144" s="52">
        <v>-0.23</v>
      </c>
      <c r="BV144" s="53">
        <v>-0.23</v>
      </c>
      <c r="BW144" s="53">
        <v>-0.92</v>
      </c>
      <c r="BX144" s="64">
        <f t="shared" si="189"/>
        <v>-1.24</v>
      </c>
      <c r="BY144" s="52"/>
      <c r="BZ144" s="53">
        <v>-0.65100000000000002</v>
      </c>
      <c r="CA144" s="53">
        <v>-1.0029999999999999</v>
      </c>
      <c r="CB144" s="64">
        <f t="shared" si="190"/>
        <v>-1.4410000000000001</v>
      </c>
      <c r="CC144" s="53"/>
      <c r="CD144" s="53">
        <v>-0.96599999999999997</v>
      </c>
      <c r="CE144" s="53">
        <v>-1.482</v>
      </c>
      <c r="CF144" s="64">
        <f t="shared" si="191"/>
        <v>-2.04</v>
      </c>
      <c r="CG144" s="53"/>
      <c r="CH144" s="53">
        <v>-1.4370000000000001</v>
      </c>
      <c r="CI144" s="53">
        <v>-2.206</v>
      </c>
      <c r="CJ144" s="64">
        <f t="shared" si="192"/>
        <v>-3.0419999999999998</v>
      </c>
      <c r="CK144" s="53"/>
      <c r="CL144" s="53">
        <v>-1.7949999999999999</v>
      </c>
      <c r="CM144" s="53">
        <v>-2.794</v>
      </c>
      <c r="CN144" s="64">
        <f t="shared" si="193"/>
        <v>-4.0449999999999999</v>
      </c>
      <c r="CO144" s="53"/>
      <c r="CP144" s="53">
        <v>-2.9009999999999998</v>
      </c>
      <c r="CQ144" s="53"/>
      <c r="CR144" s="64">
        <f t="shared" si="194"/>
        <v>-6.0270000000000001</v>
      </c>
      <c r="CS144" s="53"/>
      <c r="CT144" s="53"/>
      <c r="CU144" s="53"/>
      <c r="CV144" s="64">
        <f t="shared" si="195"/>
        <v>0</v>
      </c>
      <c r="CW144" s="53"/>
      <c r="CX144" s="53"/>
      <c r="CY144" s="53"/>
      <c r="CZ144" s="64">
        <f t="shared" si="196"/>
        <v>0</v>
      </c>
    </row>
    <row r="145" spans="2:104">
      <c r="B145" s="48" t="s">
        <v>223</v>
      </c>
      <c r="H145" s="53">
        <v>-32</v>
      </c>
      <c r="I145" s="53">
        <v>0</v>
      </c>
      <c r="J145" s="53"/>
      <c r="K145" s="53"/>
      <c r="L145" s="53"/>
      <c r="M145" s="53"/>
      <c r="N145" s="53"/>
      <c r="O145" s="53"/>
      <c r="P145" s="53"/>
      <c r="Q145" s="53"/>
      <c r="R145" s="53"/>
      <c r="S145" s="53"/>
      <c r="T145" s="53"/>
      <c r="U145" s="53"/>
      <c r="V145" s="53"/>
      <c r="W145" s="53"/>
      <c r="X145" s="53"/>
      <c r="Y145" s="64"/>
      <c r="AR145" s="7"/>
      <c r="AY145" s="59" t="s">
        <v>223</v>
      </c>
      <c r="BD145" s="120"/>
      <c r="BE145" s="52"/>
      <c r="BF145" s="53"/>
      <c r="BG145" s="53"/>
      <c r="BH145" s="64">
        <f t="shared" si="185"/>
        <v>0</v>
      </c>
      <c r="BI145" s="52"/>
      <c r="BJ145" s="53"/>
      <c r="BK145" s="53"/>
      <c r="BL145" s="64">
        <f t="shared" si="186"/>
        <v>0</v>
      </c>
      <c r="BM145" s="52"/>
      <c r="BN145" s="53"/>
      <c r="BO145" s="53"/>
      <c r="BP145" s="64">
        <f t="shared" si="187"/>
        <v>0</v>
      </c>
      <c r="BQ145" s="52"/>
      <c r="BR145" s="53"/>
      <c r="BS145" s="53"/>
      <c r="BT145" s="64">
        <f t="shared" si="188"/>
        <v>0</v>
      </c>
      <c r="BU145" s="52"/>
      <c r="BV145" s="53"/>
      <c r="BW145" s="53"/>
      <c r="BX145" s="64">
        <f t="shared" si="189"/>
        <v>0</v>
      </c>
      <c r="BY145" s="52">
        <v>-0.34300000000000003</v>
      </c>
      <c r="BZ145" s="53"/>
      <c r="CA145" s="53"/>
      <c r="CB145" s="64">
        <f t="shared" si="190"/>
        <v>0</v>
      </c>
      <c r="CC145" s="53">
        <v>-0.503</v>
      </c>
      <c r="CD145" s="53">
        <v>21.04</v>
      </c>
      <c r="CE145" s="53">
        <v>21.04</v>
      </c>
      <c r="CF145" s="64">
        <f t="shared" si="191"/>
        <v>0</v>
      </c>
      <c r="CG145" s="53">
        <v>-0.71299999999999997</v>
      </c>
      <c r="CH145" s="53"/>
      <c r="CI145" s="53"/>
      <c r="CJ145" s="64">
        <f t="shared" si="192"/>
        <v>0</v>
      </c>
      <c r="CK145" s="53"/>
      <c r="CL145" s="53"/>
      <c r="CM145" s="53"/>
      <c r="CN145" s="64">
        <f t="shared" si="193"/>
        <v>0</v>
      </c>
      <c r="CO145" s="53"/>
      <c r="CP145" s="53"/>
      <c r="CQ145" s="53"/>
      <c r="CR145" s="64">
        <f t="shared" si="194"/>
        <v>0</v>
      </c>
      <c r="CS145" s="53"/>
      <c r="CT145" s="53"/>
      <c r="CU145" s="53"/>
      <c r="CV145" s="64">
        <f t="shared" si="195"/>
        <v>0</v>
      </c>
      <c r="CW145" s="53"/>
      <c r="CX145" s="53"/>
      <c r="CY145" s="53"/>
      <c r="CZ145" s="64">
        <f t="shared" si="196"/>
        <v>0</v>
      </c>
    </row>
    <row r="146" spans="2:104">
      <c r="B146" s="48" t="s">
        <v>224</v>
      </c>
      <c r="H146" s="53">
        <v>0.85899999999999999</v>
      </c>
      <c r="I146" s="53">
        <v>1.079</v>
      </c>
      <c r="J146" s="53">
        <v>1.5109999999999999</v>
      </c>
      <c r="K146" s="53">
        <v>1.8280000000000001</v>
      </c>
      <c r="L146" s="53">
        <v>2.4220000000000002</v>
      </c>
      <c r="M146" s="53">
        <v>0</v>
      </c>
      <c r="N146" s="53">
        <v>0</v>
      </c>
      <c r="O146" s="53"/>
      <c r="P146" s="53"/>
      <c r="Q146" s="53"/>
      <c r="R146" s="53"/>
      <c r="S146" s="53"/>
      <c r="T146" s="53"/>
      <c r="U146" s="53"/>
      <c r="V146" s="53"/>
      <c r="W146" s="53"/>
      <c r="X146" s="53"/>
      <c r="Y146" s="64"/>
      <c r="AY146" s="59" t="s">
        <v>224</v>
      </c>
      <c r="BD146" s="120"/>
      <c r="BE146" s="52">
        <v>0.35799999999999998</v>
      </c>
      <c r="BF146" s="53">
        <v>1.774</v>
      </c>
      <c r="BG146" s="53">
        <v>1.9830000000000001</v>
      </c>
      <c r="BH146" s="64">
        <f t="shared" si="185"/>
        <v>2.4220000000000002</v>
      </c>
      <c r="BI146" s="52">
        <v>0.85399999999999998</v>
      </c>
      <c r="BJ146" s="53"/>
      <c r="BK146" s="53"/>
      <c r="BL146" s="64">
        <f t="shared" si="186"/>
        <v>0</v>
      </c>
      <c r="BM146" s="52"/>
      <c r="BN146" s="53"/>
      <c r="BO146" s="53"/>
      <c r="BP146" s="64">
        <f t="shared" si="187"/>
        <v>0</v>
      </c>
      <c r="BQ146" s="52"/>
      <c r="BR146" s="53"/>
      <c r="BS146" s="53"/>
      <c r="BT146" s="64">
        <f t="shared" si="188"/>
        <v>0</v>
      </c>
      <c r="BU146" s="52"/>
      <c r="BV146" s="53"/>
      <c r="BW146" s="53"/>
      <c r="BX146" s="64">
        <f t="shared" si="189"/>
        <v>0</v>
      </c>
      <c r="BY146" s="52"/>
      <c r="BZ146" s="53"/>
      <c r="CA146" s="53"/>
      <c r="CB146" s="64">
        <f t="shared" si="190"/>
        <v>0</v>
      </c>
      <c r="CC146" s="53"/>
      <c r="CD146" s="53"/>
      <c r="CE146" s="53"/>
      <c r="CF146" s="64">
        <f t="shared" si="191"/>
        <v>0</v>
      </c>
      <c r="CG146" s="53"/>
      <c r="CH146" s="53"/>
      <c r="CI146" s="53"/>
      <c r="CJ146" s="64">
        <f t="shared" si="192"/>
        <v>0</v>
      </c>
      <c r="CK146" s="53"/>
      <c r="CM146" s="53"/>
      <c r="CN146" s="64">
        <f t="shared" si="193"/>
        <v>0</v>
      </c>
      <c r="CO146" s="53"/>
      <c r="CP146" s="53"/>
      <c r="CQ146" s="53"/>
      <c r="CR146" s="64">
        <f t="shared" si="194"/>
        <v>0</v>
      </c>
      <c r="CS146" s="53"/>
      <c r="CT146" s="53"/>
      <c r="CU146" s="53"/>
      <c r="CV146" s="64">
        <f t="shared" si="195"/>
        <v>0</v>
      </c>
      <c r="CW146" s="53"/>
      <c r="CX146" s="53"/>
      <c r="CY146" s="53"/>
      <c r="CZ146" s="64">
        <f t="shared" si="196"/>
        <v>0</v>
      </c>
    </row>
    <row r="147" spans="2:104">
      <c r="B147" s="48" t="s">
        <v>225</v>
      </c>
      <c r="H147" s="53">
        <v>5.359</v>
      </c>
      <c r="I147" s="53">
        <v>5.3120000000000003</v>
      </c>
      <c r="J147" s="53">
        <v>2.1850000000000001</v>
      </c>
      <c r="K147" s="53">
        <v>4.2450000000000001</v>
      </c>
      <c r="L147" s="53">
        <v>5.9569999999999999</v>
      </c>
      <c r="M147" s="53">
        <v>5.6529999999999996</v>
      </c>
      <c r="N147" s="53">
        <v>5.2439999999999998</v>
      </c>
      <c r="O147" s="53">
        <v>6.5910000000000002</v>
      </c>
      <c r="P147" s="53">
        <v>13.340999999999999</v>
      </c>
      <c r="Q147" s="53">
        <v>19.257000000000001</v>
      </c>
      <c r="R147" s="53">
        <v>21.013999999999999</v>
      </c>
      <c r="S147" s="53">
        <v>20.422000000000001</v>
      </c>
      <c r="T147" s="53">
        <f>29.127</f>
        <v>29.126999999999999</v>
      </c>
      <c r="U147" s="53">
        <f>31.083+13.224</f>
        <v>44.307000000000002</v>
      </c>
      <c r="V147" s="53">
        <v>21.664999999999999</v>
      </c>
      <c r="W147" s="118"/>
      <c r="X147" s="118"/>
      <c r="Y147" s="306"/>
      <c r="AY147" s="59" t="s">
        <v>225</v>
      </c>
      <c r="BD147" s="120"/>
      <c r="BE147" s="52">
        <v>1.381</v>
      </c>
      <c r="BF147" s="53">
        <v>3.2349999999999999</v>
      </c>
      <c r="BG147" s="53"/>
      <c r="BH147" s="64">
        <f t="shared" si="185"/>
        <v>5.9569999999999999</v>
      </c>
      <c r="BI147" s="52">
        <v>2.101</v>
      </c>
      <c r="BJ147" s="53">
        <v>2.8420000000000001</v>
      </c>
      <c r="BK147" s="53">
        <v>4.9619999999999997</v>
      </c>
      <c r="BL147" s="64">
        <f t="shared" si="186"/>
        <v>5.6529999999999996</v>
      </c>
      <c r="BM147" s="52">
        <v>1.387</v>
      </c>
      <c r="BN147" s="53">
        <v>1.9119999999999999</v>
      </c>
      <c r="BO147" s="53">
        <v>3.1150000000000002</v>
      </c>
      <c r="BP147" s="64">
        <f t="shared" si="187"/>
        <v>5.2439999999999998</v>
      </c>
      <c r="BQ147" s="52">
        <v>2.9580000000000002</v>
      </c>
      <c r="BR147" s="53">
        <v>4.7409999999999997</v>
      </c>
      <c r="BS147" s="53">
        <v>5.9790000000000001</v>
      </c>
      <c r="BT147" s="64">
        <f t="shared" si="188"/>
        <v>6.5910000000000002</v>
      </c>
      <c r="BU147" s="52">
        <v>1.127</v>
      </c>
      <c r="BV147" s="53">
        <v>3.0760000000000001</v>
      </c>
      <c r="BW147" s="53">
        <v>7.48</v>
      </c>
      <c r="BX147" s="64">
        <f t="shared" si="189"/>
        <v>13.340999999999999</v>
      </c>
      <c r="BY147" s="52">
        <v>2.5409999999999999</v>
      </c>
      <c r="BZ147" s="53">
        <v>6.2329999999999997</v>
      </c>
      <c r="CA147" s="53">
        <v>13.207000000000001</v>
      </c>
      <c r="CB147" s="64">
        <f t="shared" si="190"/>
        <v>19.257000000000001</v>
      </c>
      <c r="CC147" s="53"/>
      <c r="CD147" s="53">
        <v>8.6869999999999994</v>
      </c>
      <c r="CE147" s="53">
        <v>11.173999999999999</v>
      </c>
      <c r="CF147" s="64">
        <f t="shared" si="191"/>
        <v>21.013999999999999</v>
      </c>
      <c r="CG147" s="53"/>
      <c r="CH147" s="53">
        <v>0</v>
      </c>
      <c r="CI147" s="53"/>
      <c r="CJ147" s="64">
        <f t="shared" si="192"/>
        <v>20.422000000000001</v>
      </c>
      <c r="CK147" s="53">
        <v>8.7469999999999999</v>
      </c>
      <c r="CL147" s="53">
        <v>15.179</v>
      </c>
      <c r="CM147" s="53">
        <v>15.179</v>
      </c>
      <c r="CN147" s="64">
        <f t="shared" si="193"/>
        <v>29.126999999999999</v>
      </c>
      <c r="CO147" s="53">
        <f>10.623-0.422</f>
        <v>10.200999999999999</v>
      </c>
      <c r="CP147" s="53">
        <f>17.103+0.001</f>
        <v>17.104000000000003</v>
      </c>
      <c r="CQ147" s="53">
        <v>23.041</v>
      </c>
      <c r="CR147" s="64">
        <f t="shared" si="194"/>
        <v>44.307000000000002</v>
      </c>
      <c r="CS147" s="53"/>
      <c r="CT147" s="53"/>
      <c r="CU147" s="53"/>
      <c r="CV147" s="64">
        <f t="shared" si="195"/>
        <v>21.664999999999999</v>
      </c>
      <c r="CW147" s="53"/>
      <c r="CX147" s="53"/>
      <c r="CY147" s="53"/>
      <c r="CZ147" s="64">
        <f t="shared" si="196"/>
        <v>0</v>
      </c>
    </row>
    <row r="148" spans="2:104" ht="25.5">
      <c r="B148" s="48" t="s">
        <v>226</v>
      </c>
      <c r="H148" s="53">
        <v>0</v>
      </c>
      <c r="I148" s="53">
        <v>0</v>
      </c>
      <c r="J148" s="53">
        <v>0</v>
      </c>
      <c r="K148" s="53">
        <v>0</v>
      </c>
      <c r="L148" s="53">
        <v>0</v>
      </c>
      <c r="M148" s="53">
        <v>0</v>
      </c>
      <c r="N148" s="53">
        <v>12.72</v>
      </c>
      <c r="O148" s="53">
        <v>0.752</v>
      </c>
      <c r="P148" s="53">
        <f>0.988+17</f>
        <v>17.988</v>
      </c>
      <c r="Q148" s="53">
        <v>0</v>
      </c>
      <c r="R148" s="53">
        <v>21.04</v>
      </c>
      <c r="S148" s="53">
        <v>0</v>
      </c>
      <c r="T148" s="53">
        <v>0.56999999999999995</v>
      </c>
      <c r="U148" s="53">
        <v>0</v>
      </c>
      <c r="V148" s="53"/>
      <c r="W148" s="53">
        <f>+W22</f>
        <v>44</v>
      </c>
      <c r="X148" s="53">
        <f t="shared" ref="X148:Y148" si="198">+X22</f>
        <v>45</v>
      </c>
      <c r="Y148" s="64">
        <f t="shared" si="198"/>
        <v>45</v>
      </c>
      <c r="AY148" s="59" t="s">
        <v>226</v>
      </c>
      <c r="BD148" s="120"/>
      <c r="BE148" s="52"/>
      <c r="BF148" s="53"/>
      <c r="BG148" s="53"/>
      <c r="BH148" s="64">
        <f t="shared" si="185"/>
        <v>0</v>
      </c>
      <c r="BI148" s="52"/>
      <c r="BJ148" s="53"/>
      <c r="BK148" s="53"/>
      <c r="BL148" s="64">
        <f t="shared" si="186"/>
        <v>0</v>
      </c>
      <c r="BM148" s="52"/>
      <c r="BN148" s="53">
        <v>12.72</v>
      </c>
      <c r="BO148" s="53">
        <v>12.72</v>
      </c>
      <c r="BP148" s="64">
        <f t="shared" si="187"/>
        <v>12.72</v>
      </c>
      <c r="BQ148" s="52"/>
      <c r="BR148" s="53">
        <v>0</v>
      </c>
      <c r="BS148" s="53">
        <v>0.752</v>
      </c>
      <c r="BT148" s="64">
        <f t="shared" si="188"/>
        <v>0.752</v>
      </c>
      <c r="BU148" s="52"/>
      <c r="BV148" s="53">
        <v>0.98799999999999999</v>
      </c>
      <c r="BW148" s="53">
        <f>17+0.988</f>
        <v>17.988</v>
      </c>
      <c r="BX148" s="64">
        <f t="shared" si="189"/>
        <v>17.988</v>
      </c>
      <c r="BY148" s="52"/>
      <c r="BZ148" s="53"/>
      <c r="CA148" s="53"/>
      <c r="CB148" s="64">
        <f t="shared" si="190"/>
        <v>0</v>
      </c>
      <c r="CC148" s="53"/>
      <c r="CD148" s="53"/>
      <c r="CE148" s="53"/>
      <c r="CF148" s="64">
        <f t="shared" si="191"/>
        <v>21.04</v>
      </c>
      <c r="CG148" s="53"/>
      <c r="CH148" s="53"/>
      <c r="CI148" s="53"/>
      <c r="CJ148" s="64">
        <f t="shared" si="192"/>
        <v>0</v>
      </c>
      <c r="CK148" s="53"/>
      <c r="CL148" s="53"/>
      <c r="CM148" s="53"/>
      <c r="CN148" s="64">
        <f t="shared" si="193"/>
        <v>0.56999999999999995</v>
      </c>
      <c r="CO148" s="53"/>
      <c r="CP148" s="53"/>
      <c r="CQ148" s="53"/>
      <c r="CR148" s="64">
        <f t="shared" si="194"/>
        <v>0</v>
      </c>
      <c r="CS148" s="53">
        <v>-69.828999999999994</v>
      </c>
      <c r="CT148" s="53"/>
      <c r="CU148" s="53">
        <v>-69.828999999999994</v>
      </c>
      <c r="CV148" s="64">
        <f t="shared" si="195"/>
        <v>0</v>
      </c>
      <c r="CW148" s="53"/>
      <c r="CX148" s="53"/>
      <c r="CY148" s="53"/>
      <c r="CZ148" s="64">
        <f t="shared" si="196"/>
        <v>44</v>
      </c>
    </row>
    <row r="149" spans="2:104">
      <c r="B149" s="48" t="s">
        <v>227</v>
      </c>
      <c r="H149" s="53">
        <v>0</v>
      </c>
      <c r="I149" s="53">
        <v>0</v>
      </c>
      <c r="J149" s="53">
        <v>0</v>
      </c>
      <c r="K149" s="53">
        <v>0</v>
      </c>
      <c r="L149" s="53">
        <v>0</v>
      </c>
      <c r="M149" s="53">
        <v>0</v>
      </c>
      <c r="N149" s="53">
        <v>247.744</v>
      </c>
      <c r="O149" s="53"/>
      <c r="P149" s="53"/>
      <c r="Q149" s="53"/>
      <c r="R149" s="53"/>
      <c r="S149" s="53"/>
      <c r="T149" s="53">
        <f>15.179</f>
        <v>15.179</v>
      </c>
      <c r="U149" s="53">
        <f>281.784</f>
        <v>281.78399999999999</v>
      </c>
      <c r="V149" s="53"/>
      <c r="W149" s="53"/>
      <c r="X149" s="53"/>
      <c r="Y149" s="64"/>
      <c r="AY149" s="59" t="s">
        <v>227</v>
      </c>
      <c r="BA149" s="286"/>
      <c r="BB149" s="286"/>
      <c r="BC149" s="286"/>
      <c r="BD149" s="293"/>
      <c r="BE149" s="255"/>
      <c r="BF149" s="103"/>
      <c r="BG149" s="103">
        <v>4.5279999999999996</v>
      </c>
      <c r="BH149" s="104">
        <f t="shared" si="185"/>
        <v>0</v>
      </c>
      <c r="BI149" s="255"/>
      <c r="BJ149" s="103"/>
      <c r="BK149" s="103"/>
      <c r="BL149" s="104">
        <f t="shared" si="186"/>
        <v>0</v>
      </c>
      <c r="BM149" s="255"/>
      <c r="BN149" s="103"/>
      <c r="BO149" s="103">
        <v>5.391</v>
      </c>
      <c r="BP149" s="104">
        <f t="shared" si="187"/>
        <v>247.744</v>
      </c>
      <c r="BQ149" s="255"/>
      <c r="BR149" s="103"/>
      <c r="BS149" s="103"/>
      <c r="BT149" s="104">
        <f t="shared" si="188"/>
        <v>0</v>
      </c>
      <c r="BU149" s="255">
        <v>0</v>
      </c>
      <c r="BV149" s="103"/>
      <c r="BW149" s="103"/>
      <c r="BX149" s="104">
        <f t="shared" si="189"/>
        <v>0</v>
      </c>
      <c r="BY149" s="255"/>
      <c r="BZ149" s="103"/>
      <c r="CA149" s="103"/>
      <c r="CB149" s="104">
        <f t="shared" si="190"/>
        <v>0</v>
      </c>
      <c r="CC149" s="103">
        <v>3.8740000000000001</v>
      </c>
      <c r="CD149" s="103"/>
      <c r="CE149" s="103"/>
      <c r="CF149" s="104">
        <f t="shared" si="191"/>
        <v>0</v>
      </c>
      <c r="CG149" s="103">
        <v>4.42</v>
      </c>
      <c r="CH149" s="103">
        <v>8.2279999999999998</v>
      </c>
      <c r="CI149" s="103">
        <v>16.635000000000002</v>
      </c>
      <c r="CJ149" s="104">
        <f t="shared" si="192"/>
        <v>0</v>
      </c>
      <c r="CK149" s="103">
        <v>0</v>
      </c>
      <c r="CL149" s="103">
        <v>13.827</v>
      </c>
      <c r="CM149" s="103">
        <v>20.373000000000001</v>
      </c>
      <c r="CN149" s="104">
        <f t="shared" si="193"/>
        <v>15.179</v>
      </c>
      <c r="CO149" s="103">
        <f>281.784-1.399</f>
        <v>280.38499999999999</v>
      </c>
      <c r="CP149" s="103">
        <v>281.78399999999999</v>
      </c>
      <c r="CQ149" s="103">
        <v>281.78399999999999</v>
      </c>
      <c r="CR149" s="104">
        <f t="shared" si="194"/>
        <v>281.78399999999999</v>
      </c>
      <c r="CS149" s="103">
        <f>6.708+10.479</f>
        <v>17.186999999999998</v>
      </c>
      <c r="CT149" s="103">
        <f>11.982+14.111</f>
        <v>26.093</v>
      </c>
      <c r="CU149" s="103">
        <f>21.661+12.45</f>
        <v>34.111000000000004</v>
      </c>
      <c r="CV149" s="104">
        <f t="shared" si="195"/>
        <v>0</v>
      </c>
      <c r="CW149" s="53"/>
      <c r="CX149" s="53"/>
      <c r="CY149" s="53"/>
      <c r="CZ149" s="104">
        <f t="shared" si="196"/>
        <v>0</v>
      </c>
    </row>
    <row r="150" spans="2:104" s="84" customFormat="1" ht="13.15">
      <c r="B150" s="303" t="s">
        <v>228</v>
      </c>
      <c r="H150" s="380">
        <f t="shared" ref="H150:M150" si="199">SUM(H136:H149)</f>
        <v>-115.634</v>
      </c>
      <c r="I150" s="380">
        <f t="shared" si="199"/>
        <v>233.13800000000001</v>
      </c>
      <c r="J150" s="106">
        <f t="shared" si="199"/>
        <v>-149.21299999999999</v>
      </c>
      <c r="K150" s="106">
        <f t="shared" si="199"/>
        <v>-50.337000000000003</v>
      </c>
      <c r="L150" s="106">
        <f t="shared" si="199"/>
        <v>-87.787999999999997</v>
      </c>
      <c r="M150" s="106">
        <f t="shared" si="199"/>
        <v>-94.261999999999986</v>
      </c>
      <c r="N150" s="106">
        <f t="shared" ref="N150:Y150" si="200">SUM(N136:N149)</f>
        <v>-202.1449999999999</v>
      </c>
      <c r="O150" s="106">
        <f t="shared" si="200"/>
        <v>-139.60299999999998</v>
      </c>
      <c r="P150" s="106">
        <f t="shared" si="200"/>
        <v>-264.02300000000002</v>
      </c>
      <c r="Q150" s="106">
        <f t="shared" si="200"/>
        <v>-448.49299999999999</v>
      </c>
      <c r="R150" s="106">
        <f t="shared" si="200"/>
        <v>-228.602</v>
      </c>
      <c r="S150" s="106">
        <f t="shared" si="200"/>
        <v>-503.95799999999997</v>
      </c>
      <c r="T150" s="106">
        <f t="shared" si="200"/>
        <v>-460.07600000000002</v>
      </c>
      <c r="U150" s="106">
        <f t="shared" si="200"/>
        <v>-158.52999999999997</v>
      </c>
      <c r="V150" s="106">
        <f t="shared" si="200"/>
        <v>-568.11599999999999</v>
      </c>
      <c r="W150" s="106">
        <f t="shared" si="200"/>
        <v>-600.55999999999995</v>
      </c>
      <c r="X150" s="106">
        <f t="shared" si="200"/>
        <v>-656.92400000000021</v>
      </c>
      <c r="Y150" s="108">
        <f t="shared" si="200"/>
        <v>-719.50520000000017</v>
      </c>
      <c r="AC150" s="149"/>
      <c r="AD150" s="149"/>
      <c r="AE150" s="149"/>
      <c r="AF150" s="149"/>
      <c r="AG150" s="149"/>
      <c r="AH150" s="149"/>
      <c r="AI150" s="149"/>
      <c r="AJ150" s="149"/>
      <c r="AK150" s="149"/>
      <c r="AL150" s="149"/>
      <c r="AM150" s="149"/>
      <c r="AN150" s="149"/>
      <c r="AO150" s="149"/>
      <c r="AP150" s="149"/>
      <c r="AQ150" s="149"/>
      <c r="AS150" s="149"/>
      <c r="AT150" s="149"/>
      <c r="AU150" s="149"/>
      <c r="AV150" s="149"/>
      <c r="AW150" s="149"/>
      <c r="AY150" s="304" t="s">
        <v>228</v>
      </c>
      <c r="BA150" s="81">
        <v>-23.111999999999998</v>
      </c>
      <c r="BB150" s="81">
        <v>68.188999999999993</v>
      </c>
      <c r="BC150" s="81">
        <v>-35.417999999999999</v>
      </c>
      <c r="BD150" s="311">
        <f>+K150</f>
        <v>-50.337000000000003</v>
      </c>
      <c r="BE150" s="314">
        <f t="shared" ref="BE150:CJ150" si="201">SUM(BE136:BE149)</f>
        <v>12.016999999999999</v>
      </c>
      <c r="BF150" s="81">
        <f t="shared" si="201"/>
        <v>85.821999999999989</v>
      </c>
      <c r="BG150" s="81">
        <f t="shared" si="201"/>
        <v>-75.026999999999987</v>
      </c>
      <c r="BH150" s="311">
        <f t="shared" si="201"/>
        <v>-87.787999999999997</v>
      </c>
      <c r="BI150" s="314">
        <f t="shared" si="201"/>
        <v>-41.638000000000005</v>
      </c>
      <c r="BJ150" s="81">
        <f t="shared" si="201"/>
        <v>-41.678000000000004</v>
      </c>
      <c r="BK150" s="81">
        <f t="shared" si="201"/>
        <v>-137.37300000000005</v>
      </c>
      <c r="BL150" s="311">
        <f t="shared" si="201"/>
        <v>-94.261999999999986</v>
      </c>
      <c r="BM150" s="314">
        <f t="shared" si="201"/>
        <v>-38.929000000000002</v>
      </c>
      <c r="BN150" s="81">
        <f t="shared" si="201"/>
        <v>33.120999999999988</v>
      </c>
      <c r="BO150" s="81">
        <f t="shared" si="201"/>
        <v>-98.282000000000025</v>
      </c>
      <c r="BP150" s="311">
        <f t="shared" si="201"/>
        <v>-202.1449999999999</v>
      </c>
      <c r="BQ150" s="314">
        <f t="shared" si="201"/>
        <v>23.338999999999999</v>
      </c>
      <c r="BR150" s="81">
        <f t="shared" si="201"/>
        <v>20.774000000000001</v>
      </c>
      <c r="BS150" s="81">
        <f t="shared" si="201"/>
        <v>-59.579999999999991</v>
      </c>
      <c r="BT150" s="311">
        <f t="shared" si="201"/>
        <v>-139.60299999999998</v>
      </c>
      <c r="BU150" s="314">
        <f t="shared" si="201"/>
        <v>-54.855999999999995</v>
      </c>
      <c r="BV150" s="81">
        <f t="shared" si="201"/>
        <v>-65.327000000000012</v>
      </c>
      <c r="BW150" s="81">
        <f t="shared" si="201"/>
        <v>-155.73400000000001</v>
      </c>
      <c r="BX150" s="311">
        <f t="shared" si="201"/>
        <v>-264.02300000000002</v>
      </c>
      <c r="BY150" s="314">
        <f t="shared" si="201"/>
        <v>-59.388000000000005</v>
      </c>
      <c r="BZ150" s="81">
        <f t="shared" si="201"/>
        <v>-247.29900000000001</v>
      </c>
      <c r="CA150" s="81">
        <f t="shared" si="201"/>
        <v>-342.77</v>
      </c>
      <c r="CB150" s="311">
        <f t="shared" si="201"/>
        <v>-448.49299999999999</v>
      </c>
      <c r="CC150" s="314">
        <f t="shared" si="201"/>
        <v>-16.250000000000004</v>
      </c>
      <c r="CD150" s="81">
        <f t="shared" si="201"/>
        <v>-0.98099999999999277</v>
      </c>
      <c r="CE150" s="81">
        <f t="shared" si="201"/>
        <v>-187.9</v>
      </c>
      <c r="CF150" s="311">
        <f t="shared" si="201"/>
        <v>-228.602</v>
      </c>
      <c r="CG150" s="314">
        <f t="shared" si="201"/>
        <v>101.41200000000001</v>
      </c>
      <c r="CH150" s="81">
        <f t="shared" si="201"/>
        <v>-42.272000000000013</v>
      </c>
      <c r="CI150" s="81">
        <f t="shared" si="201"/>
        <v>-315.48400000000004</v>
      </c>
      <c r="CJ150" s="311">
        <f t="shared" si="201"/>
        <v>-503.95799999999997</v>
      </c>
      <c r="CK150" s="314">
        <f>SUM(CK136,CK137,CK139,CK141,CK143,CK147,CK149)</f>
        <v>51.300999999999995</v>
      </c>
      <c r="CL150" s="385">
        <f t="shared" ref="CL150:CU150" si="202">SUM(CL136:CL149)</f>
        <v>120.46799999999996</v>
      </c>
      <c r="CM150" s="81">
        <f t="shared" si="202"/>
        <v>-207.64000000000004</v>
      </c>
      <c r="CN150" s="311">
        <f t="shared" si="202"/>
        <v>-460.07600000000002</v>
      </c>
      <c r="CO150" s="81">
        <f t="shared" si="202"/>
        <v>178.42099999999999</v>
      </c>
      <c r="CP150" s="81">
        <f t="shared" si="202"/>
        <v>73.809999999999974</v>
      </c>
      <c r="CQ150" s="81">
        <f t="shared" si="202"/>
        <v>-25.060999999999979</v>
      </c>
      <c r="CR150" s="311">
        <f t="shared" si="202"/>
        <v>-158.52999999999997</v>
      </c>
      <c r="CS150" s="81">
        <f t="shared" si="202"/>
        <v>-161.67899999999997</v>
      </c>
      <c r="CT150" s="81">
        <f t="shared" si="202"/>
        <v>-274.233</v>
      </c>
      <c r="CU150" s="81">
        <f t="shared" si="202"/>
        <v>-387.803</v>
      </c>
      <c r="CV150" s="311">
        <f>SUM(CV136:CV149)</f>
        <v>-568.11599999999999</v>
      </c>
      <c r="CW150" s="81"/>
      <c r="CX150" s="81"/>
      <c r="CY150" s="81"/>
      <c r="CZ150" s="311">
        <f>SUM(CZ136:CZ149)</f>
        <v>-600.55999999999995</v>
      </c>
    </row>
    <row r="151" spans="2:104">
      <c r="B151" s="355" t="s">
        <v>206</v>
      </c>
      <c r="H151" s="309"/>
      <c r="I151" s="309"/>
      <c r="J151" s="309" t="s">
        <v>206</v>
      </c>
      <c r="K151" s="309"/>
      <c r="L151" s="309"/>
      <c r="M151" s="309"/>
      <c r="N151" s="309"/>
      <c r="O151" s="309"/>
      <c r="P151" s="309"/>
      <c r="Q151" s="309"/>
      <c r="R151" s="309"/>
      <c r="S151" s="309"/>
      <c r="T151" s="309"/>
      <c r="U151" s="53"/>
      <c r="V151" s="53"/>
      <c r="W151" s="53"/>
      <c r="X151" s="53"/>
      <c r="Y151" s="64"/>
      <c r="AY151" s="356" t="s">
        <v>206</v>
      </c>
      <c r="BD151" s="120"/>
      <c r="BE151" s="308"/>
      <c r="BF151" s="309"/>
      <c r="BG151" s="309"/>
      <c r="BH151" s="383"/>
      <c r="BI151" s="308"/>
      <c r="BJ151" s="309"/>
      <c r="BK151" s="309"/>
      <c r="BL151" s="383"/>
      <c r="BM151" s="308"/>
      <c r="BN151" s="309"/>
      <c r="BO151" s="309"/>
      <c r="BP151" s="383"/>
      <c r="BQ151" s="308"/>
      <c r="BR151" s="309"/>
      <c r="BS151" s="309"/>
      <c r="BT151" s="383"/>
      <c r="BU151" s="308"/>
      <c r="BV151" s="309"/>
      <c r="BW151" s="309"/>
      <c r="BX151" s="383"/>
      <c r="BY151" s="308"/>
      <c r="BZ151" s="309"/>
      <c r="CA151" s="309"/>
      <c r="CB151" s="383"/>
      <c r="CC151" s="309"/>
      <c r="CD151" s="309"/>
      <c r="CE151" s="309"/>
      <c r="CF151" s="383"/>
      <c r="CG151" s="309"/>
      <c r="CH151" s="309"/>
      <c r="CI151" s="309"/>
      <c r="CJ151" s="383"/>
      <c r="CK151" s="309"/>
      <c r="CL151" s="309"/>
      <c r="CM151" s="309"/>
      <c r="CN151" s="383"/>
      <c r="CO151" s="309"/>
      <c r="CP151" s="309"/>
      <c r="CQ151" s="309"/>
      <c r="CR151" s="383"/>
      <c r="CS151" s="309"/>
      <c r="CT151" s="309"/>
      <c r="CU151" s="309"/>
      <c r="CV151" s="383"/>
      <c r="CW151" s="309"/>
      <c r="CX151" s="309"/>
      <c r="CY151" s="309"/>
      <c r="CZ151" s="383"/>
    </row>
    <row r="152" spans="2:104">
      <c r="B152" s="48" t="s">
        <v>229</v>
      </c>
      <c r="H152" s="53">
        <v>0</v>
      </c>
      <c r="I152" s="53">
        <v>0.127</v>
      </c>
      <c r="J152" s="53">
        <v>-1.2549999999999999</v>
      </c>
      <c r="K152" s="53">
        <v>-0.68</v>
      </c>
      <c r="L152" s="53">
        <v>-1.343</v>
      </c>
      <c r="M152" s="53">
        <v>-0.22600000000000001</v>
      </c>
      <c r="N152" s="53">
        <v>1.419</v>
      </c>
      <c r="O152" s="53">
        <v>-2.2450000000000001</v>
      </c>
      <c r="P152" s="53">
        <v>0.84899999999999998</v>
      </c>
      <c r="Q152" s="53">
        <v>2.069</v>
      </c>
      <c r="R152" s="53">
        <v>-0.186</v>
      </c>
      <c r="S152" s="53">
        <v>-4.9329999999999998</v>
      </c>
      <c r="T152" s="53">
        <v>2.0720000000000001</v>
      </c>
      <c r="U152" s="53">
        <v>-7.7430000000000003</v>
      </c>
      <c r="V152" s="53">
        <v>3.637</v>
      </c>
      <c r="W152" s="53"/>
      <c r="X152" s="53"/>
      <c r="Y152" s="64"/>
      <c r="AR152" s="7"/>
      <c r="AY152" s="59" t="s">
        <v>229</v>
      </c>
      <c r="BD152" s="120"/>
      <c r="BE152" s="52">
        <v>-0.38700000000000001</v>
      </c>
      <c r="BF152" s="53">
        <v>-0.28100000000000003</v>
      </c>
      <c r="BG152" s="53">
        <v>-0.76600000000000001</v>
      </c>
      <c r="BH152" s="64">
        <f>+L152</f>
        <v>-1.343</v>
      </c>
      <c r="BI152" s="52">
        <v>8.6999999999999994E-2</v>
      </c>
      <c r="BJ152" s="53">
        <v>5.3999999999999999E-2</v>
      </c>
      <c r="BK152" s="53">
        <v>6.8000000000000005E-2</v>
      </c>
      <c r="BL152" s="64">
        <f>+M152</f>
        <v>-0.22600000000000001</v>
      </c>
      <c r="BM152" s="52">
        <v>0.15</v>
      </c>
      <c r="BN152" s="53">
        <v>0.73</v>
      </c>
      <c r="BO152" s="53">
        <v>1.524</v>
      </c>
      <c r="BP152" s="64">
        <f>+N152</f>
        <v>1.419</v>
      </c>
      <c r="BQ152" s="52">
        <v>-0.71599999999999997</v>
      </c>
      <c r="BR152" s="53">
        <v>-1.276</v>
      </c>
      <c r="BS152" s="53">
        <f>+-0.845</f>
        <v>-0.84499999999999997</v>
      </c>
      <c r="BT152" s="64">
        <f>+O152</f>
        <v>-2.2450000000000001</v>
      </c>
      <c r="BU152" s="52">
        <v>0.40200000000000002</v>
      </c>
      <c r="BV152" s="53">
        <v>0.70699999999999996</v>
      </c>
      <c r="BW152" s="53">
        <v>0.45400000000000001</v>
      </c>
      <c r="BX152" s="64"/>
      <c r="BY152" s="52">
        <v>-1.84</v>
      </c>
      <c r="BZ152" s="53">
        <v>-0.85499999999999998</v>
      </c>
      <c r="CA152" s="53">
        <v>-0.315</v>
      </c>
      <c r="CB152" s="64">
        <f>Q152</f>
        <v>2.069</v>
      </c>
      <c r="CC152" s="53">
        <v>0.58199999999999996</v>
      </c>
      <c r="CD152" s="53">
        <v>1.2829999999999999</v>
      </c>
      <c r="CE152" s="53">
        <v>-0.50600000000000001</v>
      </c>
      <c r="CF152" s="64">
        <f>$R152</f>
        <v>-0.186</v>
      </c>
      <c r="CG152" s="53">
        <v>0.76700000000000002</v>
      </c>
      <c r="CH152" s="53">
        <v>-1.131</v>
      </c>
      <c r="CI152" s="53">
        <v>-5.03</v>
      </c>
      <c r="CJ152" s="64">
        <f>$S152</f>
        <v>-4.9329999999999998</v>
      </c>
      <c r="CK152" s="53">
        <v>8.0000000000000002E-3</v>
      </c>
      <c r="CL152" s="53">
        <v>1.32</v>
      </c>
      <c r="CM152" s="53">
        <v>-0.13300000000000001</v>
      </c>
      <c r="CN152" s="64">
        <f>$T152</f>
        <v>2.0720000000000001</v>
      </c>
      <c r="CO152" s="53">
        <v>-2.39</v>
      </c>
      <c r="CP152" s="53">
        <v>-3.194</v>
      </c>
      <c r="CQ152" s="53">
        <v>-2.1829999999999998</v>
      </c>
      <c r="CR152" s="64">
        <f>$U152</f>
        <v>-7.7430000000000003</v>
      </c>
      <c r="CS152" s="53">
        <v>0.31900000000000001</v>
      </c>
      <c r="CT152" s="53">
        <v>3.778</v>
      </c>
      <c r="CU152" s="53">
        <v>2.5539999999999998</v>
      </c>
      <c r="CV152" s="64">
        <f>$V152</f>
        <v>3.637</v>
      </c>
      <c r="CW152" s="53"/>
      <c r="CX152" s="53"/>
      <c r="CY152" s="53"/>
      <c r="CZ152" s="64">
        <f>$W152</f>
        <v>0</v>
      </c>
    </row>
    <row r="153" spans="2:104" ht="13.15">
      <c r="B153" s="48" t="s">
        <v>230</v>
      </c>
      <c r="C153" s="84"/>
      <c r="D153" s="84"/>
      <c r="E153" s="84"/>
      <c r="F153" s="84"/>
      <c r="G153" s="84"/>
      <c r="H153" s="49">
        <f t="shared" ref="H153:Y153" si="203">+H126+H133+H150+H152</f>
        <v>-110.82500000000003</v>
      </c>
      <c r="I153" s="49">
        <f t="shared" si="203"/>
        <v>314.31599999999997</v>
      </c>
      <c r="J153" s="49">
        <f t="shared" si="203"/>
        <v>-14.455999999999992</v>
      </c>
      <c r="K153" s="49">
        <f t="shared" si="203"/>
        <v>74.838999999999956</v>
      </c>
      <c r="L153" s="49">
        <f t="shared" si="203"/>
        <v>109.31399999999996</v>
      </c>
      <c r="M153" s="49">
        <f t="shared" si="203"/>
        <v>144.41000000000008</v>
      </c>
      <c r="N153" s="49">
        <f t="shared" si="203"/>
        <v>24.486000000000093</v>
      </c>
      <c r="O153" s="49">
        <f t="shared" si="203"/>
        <v>2.3980000000000574</v>
      </c>
      <c r="P153" s="49">
        <f t="shared" si="203"/>
        <v>-8.4399999999999871</v>
      </c>
      <c r="Q153" s="49">
        <f t="shared" si="203"/>
        <v>71.613000000000156</v>
      </c>
      <c r="R153" s="49">
        <f t="shared" si="203"/>
        <v>-27.798999999999971</v>
      </c>
      <c r="S153" s="49">
        <f t="shared" si="203"/>
        <v>29.236999999999959</v>
      </c>
      <c r="T153" s="49">
        <f t="shared" si="203"/>
        <v>62.607000000000198</v>
      </c>
      <c r="U153" s="49">
        <f t="shared" si="203"/>
        <v>316.15900000000011</v>
      </c>
      <c r="V153" s="49">
        <f t="shared" si="203"/>
        <v>-92.987999999999829</v>
      </c>
      <c r="W153" s="49">
        <f t="shared" si="203"/>
        <v>19.85934863803709</v>
      </c>
      <c r="X153" s="49">
        <f t="shared" si="203"/>
        <v>-11.169230789740368</v>
      </c>
      <c r="Y153" s="63">
        <f t="shared" si="203"/>
        <v>-20.960700437543778</v>
      </c>
      <c r="AY153" s="59" t="s">
        <v>230</v>
      </c>
      <c r="BA153" s="49">
        <v>-2.1000000000000001E-2</v>
      </c>
      <c r="BB153" s="49">
        <v>-2.613</v>
      </c>
      <c r="BC153" s="49">
        <v>-2.7869999999999999</v>
      </c>
      <c r="BD153" s="63">
        <f>+K153</f>
        <v>74.838999999999956</v>
      </c>
      <c r="BE153" s="62">
        <f t="shared" ref="BE153:CU153" si="204">+BE126+BE133+BE150+BE152</f>
        <v>-8.95399999999999</v>
      </c>
      <c r="BF153" s="49">
        <f t="shared" si="204"/>
        <v>-2.5960000000000831</v>
      </c>
      <c r="BG153" s="49">
        <f t="shared" si="204"/>
        <v>4.0580000000000265</v>
      </c>
      <c r="BH153" s="63">
        <f t="shared" si="204"/>
        <v>109.31399999999996</v>
      </c>
      <c r="BI153" s="62">
        <f t="shared" si="204"/>
        <v>-2.9739999999999998</v>
      </c>
      <c r="BJ153" s="49">
        <f t="shared" si="204"/>
        <v>-8.0060000000000233</v>
      </c>
      <c r="BK153" s="49">
        <f t="shared" si="204"/>
        <v>-1.2199999999999824</v>
      </c>
      <c r="BL153" s="63">
        <f t="shared" si="204"/>
        <v>144.41000000000008</v>
      </c>
      <c r="BM153" s="62">
        <f t="shared" si="204"/>
        <v>-9.2500000000000124</v>
      </c>
      <c r="BN153" s="49">
        <f t="shared" si="204"/>
        <v>-6.7159999999999904</v>
      </c>
      <c r="BO153" s="49">
        <f t="shared" si="204"/>
        <v>10.553999999999917</v>
      </c>
      <c r="BP153" s="63">
        <f t="shared" si="204"/>
        <v>24.486000000000093</v>
      </c>
      <c r="BQ153" s="62">
        <f t="shared" si="204"/>
        <v>-22.422999999999988</v>
      </c>
      <c r="BR153" s="49">
        <f t="shared" si="204"/>
        <v>-8.4959999999999702</v>
      </c>
      <c r="BS153" s="49">
        <f t="shared" si="204"/>
        <v>-12.558999999999964</v>
      </c>
      <c r="BT153" s="63">
        <f t="shared" si="204"/>
        <v>2.3980000000000574</v>
      </c>
      <c r="BU153" s="62">
        <f t="shared" si="204"/>
        <v>-5.6209999999999889</v>
      </c>
      <c r="BV153" s="49">
        <f t="shared" si="204"/>
        <v>-26.978999999999964</v>
      </c>
      <c r="BW153" s="49">
        <f t="shared" si="204"/>
        <v>-22.744000000000064</v>
      </c>
      <c r="BX153" s="63">
        <f t="shared" si="204"/>
        <v>-9.2889999999999873</v>
      </c>
      <c r="BY153" s="62">
        <f t="shared" si="204"/>
        <v>-23.217999999999986</v>
      </c>
      <c r="BZ153" s="49">
        <f t="shared" si="204"/>
        <v>5.1189999999999891</v>
      </c>
      <c r="CA153" s="49">
        <f t="shared" si="204"/>
        <v>18.146000000000011</v>
      </c>
      <c r="CB153" s="63">
        <f t="shared" si="204"/>
        <v>71.613000000000156</v>
      </c>
      <c r="CC153" s="49">
        <f t="shared" si="204"/>
        <v>-52.191999999999986</v>
      </c>
      <c r="CD153" s="49">
        <f t="shared" si="204"/>
        <v>-48.815000000000012</v>
      </c>
      <c r="CE153" s="49">
        <f t="shared" si="204"/>
        <v>-8.7569999999999766</v>
      </c>
      <c r="CF153" s="63">
        <f t="shared" si="204"/>
        <v>-27.798999999999971</v>
      </c>
      <c r="CG153" s="49">
        <f t="shared" si="204"/>
        <v>-7.7940000000000209</v>
      </c>
      <c r="CH153" s="49">
        <f t="shared" si="204"/>
        <v>10.780999999999985</v>
      </c>
      <c r="CI153" s="49">
        <f t="shared" si="204"/>
        <v>11.960000000000065</v>
      </c>
      <c r="CJ153" s="63">
        <f t="shared" si="204"/>
        <v>29.236999999999959</v>
      </c>
      <c r="CK153" s="49">
        <f t="shared" si="204"/>
        <v>-6.5500000000000282</v>
      </c>
      <c r="CL153" s="49">
        <f t="shared" si="204"/>
        <v>15.020999999999937</v>
      </c>
      <c r="CM153" s="49">
        <f t="shared" si="204"/>
        <v>27.517000000000035</v>
      </c>
      <c r="CN153" s="63">
        <f t="shared" si="204"/>
        <v>62.607000000000198</v>
      </c>
      <c r="CO153" s="49">
        <f t="shared" si="204"/>
        <v>68.771999999999977</v>
      </c>
      <c r="CP153" s="49">
        <f t="shared" si="204"/>
        <v>14.742000000000008</v>
      </c>
      <c r="CQ153" s="49">
        <f t="shared" si="204"/>
        <v>84.241999999999905</v>
      </c>
      <c r="CR153" s="63">
        <f t="shared" si="204"/>
        <v>316.15900000000011</v>
      </c>
      <c r="CS153" s="49">
        <f t="shared" si="204"/>
        <v>-94.447999999999908</v>
      </c>
      <c r="CT153" s="49">
        <f t="shared" si="204"/>
        <v>-233.29299999999998</v>
      </c>
      <c r="CU153" s="49">
        <f t="shared" si="204"/>
        <v>-201.92300000000003</v>
      </c>
      <c r="CV153" s="63">
        <f>+CV126+CV133+CV150+CV152</f>
        <v>-92.987999999999829</v>
      </c>
      <c r="CW153" s="49"/>
      <c r="CX153" s="49"/>
      <c r="CY153" s="49"/>
      <c r="CZ153" s="63">
        <f>+CZ126+CZ133+CZ150+CZ152</f>
        <v>19.85934863803709</v>
      </c>
    </row>
    <row r="154" spans="2:104">
      <c r="B154" s="48" t="s">
        <v>231</v>
      </c>
      <c r="H154" s="49">
        <v>126.498</v>
      </c>
      <c r="I154" s="49">
        <f t="shared" ref="I154:Y154" si="205">H155</f>
        <v>15.672999999999973</v>
      </c>
      <c r="J154" s="49">
        <f t="shared" si="205"/>
        <v>73.77</v>
      </c>
      <c r="K154" s="49">
        <f t="shared" si="205"/>
        <v>19.478000000000002</v>
      </c>
      <c r="L154" s="49">
        <f t="shared" si="205"/>
        <v>24.446999999999999</v>
      </c>
      <c r="M154" s="49">
        <f t="shared" si="205"/>
        <v>35.228999999999999</v>
      </c>
      <c r="N154" s="49">
        <f t="shared" si="205"/>
        <v>56.01</v>
      </c>
      <c r="O154" s="49">
        <f t="shared" si="205"/>
        <v>80.496000000000095</v>
      </c>
      <c r="P154" s="49">
        <f t="shared" si="205"/>
        <v>82.894000000000148</v>
      </c>
      <c r="Q154" s="49">
        <f t="shared" si="205"/>
        <v>74.454000000000164</v>
      </c>
      <c r="R154" s="49">
        <f t="shared" si="205"/>
        <v>146.06700000000032</v>
      </c>
      <c r="S154" s="49">
        <f t="shared" si="205"/>
        <v>118.26800000000034</v>
      </c>
      <c r="T154" s="49">
        <f t="shared" si="205"/>
        <v>147.50500000000031</v>
      </c>
      <c r="U154" s="49">
        <f t="shared" si="205"/>
        <v>210.11200000000051</v>
      </c>
      <c r="V154" s="49">
        <f t="shared" si="205"/>
        <v>526.27100000000064</v>
      </c>
      <c r="W154" s="49">
        <f t="shared" si="205"/>
        <v>433.28300000000081</v>
      </c>
      <c r="X154" s="49">
        <f t="shared" si="205"/>
        <v>453.1423486380379</v>
      </c>
      <c r="Y154" s="63">
        <f t="shared" si="205"/>
        <v>441.97311784829753</v>
      </c>
      <c r="AY154" s="59" t="s">
        <v>231</v>
      </c>
      <c r="BA154" s="49">
        <v>19.478000000000002</v>
      </c>
      <c r="BB154" s="49">
        <v>19.478000000000002</v>
      </c>
      <c r="BC154" s="49">
        <v>19.478000000000002</v>
      </c>
      <c r="BD154" s="63">
        <f>+K154</f>
        <v>19.478000000000002</v>
      </c>
      <c r="BE154" s="62">
        <v>24.446999999999999</v>
      </c>
      <c r="BF154" s="49">
        <v>24.446999999999999</v>
      </c>
      <c r="BG154" s="49">
        <v>24.446999999999999</v>
      </c>
      <c r="BH154" s="63">
        <f>+L154</f>
        <v>24.446999999999999</v>
      </c>
      <c r="BI154" s="62">
        <v>35.228999999999999</v>
      </c>
      <c r="BJ154" s="49">
        <v>35.228999999999999</v>
      </c>
      <c r="BK154" s="49">
        <v>35.228999999999999</v>
      </c>
      <c r="BL154" s="63">
        <f>+M154</f>
        <v>35.228999999999999</v>
      </c>
      <c r="BM154" s="62">
        <v>56.01</v>
      </c>
      <c r="BN154" s="49">
        <v>56.01</v>
      </c>
      <c r="BO154" s="49">
        <v>56.01</v>
      </c>
      <c r="BP154" s="63">
        <f>+N154</f>
        <v>56.01</v>
      </c>
      <c r="BQ154" s="62">
        <v>80.495999999999995</v>
      </c>
      <c r="BR154" s="49">
        <v>80.495999999999995</v>
      </c>
      <c r="BS154" s="49">
        <f>$O$154</f>
        <v>80.496000000000095</v>
      </c>
      <c r="BT154" s="49">
        <f>$O$154</f>
        <v>80.496000000000095</v>
      </c>
      <c r="BU154" s="62">
        <f>BT155</f>
        <v>82.894000000000148</v>
      </c>
      <c r="BV154" s="49">
        <f>BT155</f>
        <v>82.894000000000148</v>
      </c>
      <c r="BW154" s="49">
        <f>BT155</f>
        <v>82.894000000000148</v>
      </c>
      <c r="BX154" s="63">
        <f>BT155</f>
        <v>82.894000000000148</v>
      </c>
      <c r="BY154" s="62">
        <f>BX155</f>
        <v>73.60500000000016</v>
      </c>
      <c r="BZ154" s="49">
        <f>BX155</f>
        <v>73.60500000000016</v>
      </c>
      <c r="CA154" s="49">
        <f>BX155</f>
        <v>73.60500000000016</v>
      </c>
      <c r="CB154" s="63">
        <f>P155</f>
        <v>74.454000000000164</v>
      </c>
      <c r="CC154" s="49">
        <f>CB155</f>
        <v>146.06700000000032</v>
      </c>
      <c r="CD154" s="49">
        <f>CB155</f>
        <v>146.06700000000032</v>
      </c>
      <c r="CE154" s="49">
        <f>CB155</f>
        <v>146.06700000000032</v>
      </c>
      <c r="CF154" s="63">
        <f>CB155</f>
        <v>146.06700000000032</v>
      </c>
      <c r="CG154" s="49">
        <f>CF155</f>
        <v>118.26800000000034</v>
      </c>
      <c r="CH154" s="49">
        <f>CF155</f>
        <v>118.26800000000034</v>
      </c>
      <c r="CI154" s="49">
        <f>CF155</f>
        <v>118.26800000000034</v>
      </c>
      <c r="CJ154" s="63">
        <f>CF155</f>
        <v>118.26800000000034</v>
      </c>
      <c r="CK154" s="49">
        <f>CJ155</f>
        <v>147.50500000000031</v>
      </c>
      <c r="CL154" s="49">
        <f>CJ155</f>
        <v>147.50500000000031</v>
      </c>
      <c r="CM154" s="49">
        <f>CJ155</f>
        <v>147.50500000000031</v>
      </c>
      <c r="CN154" s="63">
        <f>CJ155</f>
        <v>147.50500000000031</v>
      </c>
      <c r="CO154" s="49">
        <f>CN155</f>
        <v>210.11200000000051</v>
      </c>
      <c r="CP154" s="49">
        <f>CM155</f>
        <v>175.02200000000033</v>
      </c>
      <c r="CQ154" s="49">
        <f>CN155</f>
        <v>210.11200000000051</v>
      </c>
      <c r="CR154" s="63">
        <f>CN155</f>
        <v>210.11200000000051</v>
      </c>
      <c r="CS154" s="49">
        <f>+CR155</f>
        <v>526.27100000000064</v>
      </c>
      <c r="CT154" s="49">
        <f>+CR155</f>
        <v>526.27100000000064</v>
      </c>
      <c r="CU154" s="49">
        <f>+CS154</f>
        <v>526.27100000000064</v>
      </c>
      <c r="CV154" s="63">
        <f>CR155</f>
        <v>526.27100000000064</v>
      </c>
      <c r="CW154" s="49"/>
      <c r="CX154" s="49"/>
      <c r="CY154" s="49"/>
      <c r="CZ154" s="63">
        <f>CV155</f>
        <v>433.28300000000081</v>
      </c>
    </row>
    <row r="155" spans="2:104" s="84" customFormat="1" ht="13.15">
      <c r="B155" s="386" t="s">
        <v>232</v>
      </c>
      <c r="C155" s="387"/>
      <c r="D155" s="387"/>
      <c r="E155" s="387"/>
      <c r="F155" s="387"/>
      <c r="G155" s="387"/>
      <c r="H155" s="388">
        <f>+H154+H153</f>
        <v>15.672999999999973</v>
      </c>
      <c r="I155" s="388">
        <f>I164</f>
        <v>73.77</v>
      </c>
      <c r="J155" s="388">
        <f>J164</f>
        <v>19.478000000000002</v>
      </c>
      <c r="K155" s="388">
        <f>K164</f>
        <v>24.446999999999999</v>
      </c>
      <c r="L155" s="388">
        <f>L164</f>
        <v>35.228999999999999</v>
      </c>
      <c r="M155" s="388">
        <f>M164</f>
        <v>56.01</v>
      </c>
      <c r="N155" s="389">
        <f t="shared" ref="N155:Y155" si="206">N153+N154</f>
        <v>80.496000000000095</v>
      </c>
      <c r="O155" s="389">
        <f t="shared" si="206"/>
        <v>82.894000000000148</v>
      </c>
      <c r="P155" s="389">
        <f t="shared" si="206"/>
        <v>74.454000000000164</v>
      </c>
      <c r="Q155" s="389">
        <f t="shared" si="206"/>
        <v>146.06700000000032</v>
      </c>
      <c r="R155" s="389">
        <f t="shared" si="206"/>
        <v>118.26800000000034</v>
      </c>
      <c r="S155" s="389">
        <f t="shared" si="206"/>
        <v>147.50500000000031</v>
      </c>
      <c r="T155" s="389">
        <f t="shared" si="206"/>
        <v>210.11200000000051</v>
      </c>
      <c r="U155" s="389">
        <f t="shared" si="206"/>
        <v>526.27100000000064</v>
      </c>
      <c r="V155" s="389">
        <f t="shared" si="206"/>
        <v>433.28300000000081</v>
      </c>
      <c r="W155" s="389">
        <f t="shared" si="206"/>
        <v>453.1423486380379</v>
      </c>
      <c r="X155" s="389">
        <f t="shared" si="206"/>
        <v>441.97311784829753</v>
      </c>
      <c r="Y155" s="390">
        <f t="shared" si="206"/>
        <v>421.01241741075376</v>
      </c>
      <c r="AC155" s="149"/>
      <c r="AD155" s="149"/>
      <c r="AE155" s="149"/>
      <c r="AF155" s="149"/>
      <c r="AG155" s="149"/>
      <c r="AH155" s="149"/>
      <c r="AI155" s="149"/>
      <c r="AJ155" s="149"/>
      <c r="AK155" s="149"/>
      <c r="AL155" s="149"/>
      <c r="AM155" s="149"/>
      <c r="AN155" s="149"/>
      <c r="AO155" s="149"/>
      <c r="AP155" s="149"/>
      <c r="AQ155" s="149"/>
      <c r="AS155" s="149"/>
      <c r="AT155" s="149"/>
      <c r="AU155" s="149"/>
      <c r="AV155" s="149"/>
      <c r="AW155" s="149"/>
      <c r="AY155" s="391" t="s">
        <v>232</v>
      </c>
      <c r="AZ155" s="387"/>
      <c r="BA155" s="388">
        <f t="shared" ref="BA155:CU155" si="207">+BA154+BA153</f>
        <v>19.457000000000001</v>
      </c>
      <c r="BB155" s="388">
        <f t="shared" si="207"/>
        <v>16.865000000000002</v>
      </c>
      <c r="BC155" s="388">
        <f t="shared" si="207"/>
        <v>16.691000000000003</v>
      </c>
      <c r="BD155" s="392">
        <f t="shared" si="207"/>
        <v>94.31699999999995</v>
      </c>
      <c r="BE155" s="393">
        <f t="shared" si="207"/>
        <v>15.493000000000009</v>
      </c>
      <c r="BF155" s="388">
        <f t="shared" si="207"/>
        <v>21.850999999999917</v>
      </c>
      <c r="BG155" s="388">
        <f t="shared" si="207"/>
        <v>28.505000000000024</v>
      </c>
      <c r="BH155" s="392">
        <f t="shared" si="207"/>
        <v>133.76099999999997</v>
      </c>
      <c r="BI155" s="393">
        <f t="shared" si="207"/>
        <v>32.255000000000003</v>
      </c>
      <c r="BJ155" s="388">
        <f t="shared" si="207"/>
        <v>27.222999999999978</v>
      </c>
      <c r="BK155" s="388">
        <f t="shared" si="207"/>
        <v>34.009000000000015</v>
      </c>
      <c r="BL155" s="392">
        <f t="shared" si="207"/>
        <v>179.63900000000007</v>
      </c>
      <c r="BM155" s="393">
        <f t="shared" si="207"/>
        <v>46.759999999999984</v>
      </c>
      <c r="BN155" s="388">
        <f t="shared" si="207"/>
        <v>49.294000000000011</v>
      </c>
      <c r="BO155" s="388">
        <f t="shared" si="207"/>
        <v>66.563999999999908</v>
      </c>
      <c r="BP155" s="392">
        <f t="shared" si="207"/>
        <v>80.496000000000095</v>
      </c>
      <c r="BQ155" s="393">
        <f t="shared" si="207"/>
        <v>58.073000000000008</v>
      </c>
      <c r="BR155" s="388">
        <f t="shared" si="207"/>
        <v>72.000000000000028</v>
      </c>
      <c r="BS155" s="388">
        <f t="shared" si="207"/>
        <v>67.937000000000126</v>
      </c>
      <c r="BT155" s="392">
        <f t="shared" si="207"/>
        <v>82.894000000000148</v>
      </c>
      <c r="BU155" s="393">
        <f t="shared" si="207"/>
        <v>77.273000000000152</v>
      </c>
      <c r="BV155" s="388">
        <f t="shared" si="207"/>
        <v>55.915000000000184</v>
      </c>
      <c r="BW155" s="388">
        <f t="shared" si="207"/>
        <v>60.150000000000084</v>
      </c>
      <c r="BX155" s="392">
        <f t="shared" si="207"/>
        <v>73.60500000000016</v>
      </c>
      <c r="BY155" s="393">
        <f t="shared" si="207"/>
        <v>50.387000000000171</v>
      </c>
      <c r="BZ155" s="388">
        <f t="shared" si="207"/>
        <v>78.724000000000146</v>
      </c>
      <c r="CA155" s="388">
        <f t="shared" si="207"/>
        <v>91.751000000000175</v>
      </c>
      <c r="CB155" s="392">
        <f t="shared" si="207"/>
        <v>146.06700000000032</v>
      </c>
      <c r="CC155" s="388">
        <f t="shared" si="207"/>
        <v>93.875000000000341</v>
      </c>
      <c r="CD155" s="388">
        <f t="shared" si="207"/>
        <v>97.252000000000308</v>
      </c>
      <c r="CE155" s="388">
        <f t="shared" si="207"/>
        <v>137.31000000000034</v>
      </c>
      <c r="CF155" s="392">
        <f t="shared" si="207"/>
        <v>118.26800000000034</v>
      </c>
      <c r="CG155" s="388">
        <f t="shared" si="207"/>
        <v>110.47400000000032</v>
      </c>
      <c r="CH155" s="388">
        <f t="shared" si="207"/>
        <v>129.04900000000032</v>
      </c>
      <c r="CI155" s="388">
        <f t="shared" si="207"/>
        <v>130.22800000000041</v>
      </c>
      <c r="CJ155" s="392">
        <f t="shared" si="207"/>
        <v>147.50500000000031</v>
      </c>
      <c r="CK155" s="388">
        <f t="shared" si="207"/>
        <v>140.95500000000027</v>
      </c>
      <c r="CL155" s="388">
        <f t="shared" si="207"/>
        <v>162.52600000000024</v>
      </c>
      <c r="CM155" s="388">
        <f t="shared" si="207"/>
        <v>175.02200000000033</v>
      </c>
      <c r="CN155" s="392">
        <f t="shared" si="207"/>
        <v>210.11200000000051</v>
      </c>
      <c r="CO155" s="388">
        <f t="shared" si="207"/>
        <v>278.88400000000047</v>
      </c>
      <c r="CP155" s="388">
        <f t="shared" si="207"/>
        <v>189.76400000000035</v>
      </c>
      <c r="CQ155" s="388">
        <f t="shared" si="207"/>
        <v>294.35400000000038</v>
      </c>
      <c r="CR155" s="392">
        <f t="shared" si="207"/>
        <v>526.27100000000064</v>
      </c>
      <c r="CS155" s="388">
        <f t="shared" si="207"/>
        <v>431.82300000000072</v>
      </c>
      <c r="CT155" s="388">
        <f t="shared" si="207"/>
        <v>292.97800000000063</v>
      </c>
      <c r="CU155" s="388">
        <f t="shared" si="207"/>
        <v>324.34800000000064</v>
      </c>
      <c r="CV155" s="392">
        <f>+CV154+CV153</f>
        <v>433.28300000000081</v>
      </c>
      <c r="CW155" s="81"/>
      <c r="CX155" s="81"/>
      <c r="CY155" s="81"/>
      <c r="CZ155" s="392">
        <f>+CZ154+CZ153</f>
        <v>453.1423486380379</v>
      </c>
    </row>
    <row r="156" spans="2:104">
      <c r="AR156" s="7"/>
      <c r="CL156" s="394"/>
    </row>
    <row r="157" spans="2:104">
      <c r="B157" s="6" t="s">
        <v>233</v>
      </c>
      <c r="H157" s="53">
        <f t="shared" ref="H157:Y157" si="208">H126+H129</f>
        <v>47.526999999999973</v>
      </c>
      <c r="I157" s="53">
        <f t="shared" si="208"/>
        <v>161.02599999999995</v>
      </c>
      <c r="J157" s="53">
        <f t="shared" si="208"/>
        <v>135.68899999999999</v>
      </c>
      <c r="K157" s="53">
        <f t="shared" si="208"/>
        <v>123.46799999999996</v>
      </c>
      <c r="L157" s="53">
        <f t="shared" si="208"/>
        <v>197.68499999999995</v>
      </c>
      <c r="M157" s="53">
        <f t="shared" si="208"/>
        <v>238.15400000000005</v>
      </c>
      <c r="N157" s="53">
        <f t="shared" si="208"/>
        <v>288.64400000000001</v>
      </c>
      <c r="O157" s="53">
        <f t="shared" si="208"/>
        <v>153.40400000000005</v>
      </c>
      <c r="P157" s="53">
        <f t="shared" si="208"/>
        <v>317.96600000000001</v>
      </c>
      <c r="Q157" s="53">
        <f t="shared" si="208"/>
        <v>517.9430000000001</v>
      </c>
      <c r="R157" s="53">
        <f t="shared" si="208"/>
        <v>324.10200000000003</v>
      </c>
      <c r="S157" s="53">
        <f t="shared" si="208"/>
        <v>536.3119999999999</v>
      </c>
      <c r="T157" s="53">
        <f t="shared" si="208"/>
        <v>526.47600000000023</v>
      </c>
      <c r="U157" s="53">
        <f t="shared" si="208"/>
        <v>743.01200000000006</v>
      </c>
      <c r="V157" s="53">
        <f t="shared" si="208"/>
        <v>535.52000000000021</v>
      </c>
      <c r="W157" s="53">
        <f t="shared" si="208"/>
        <v>620.41934863803704</v>
      </c>
      <c r="X157" s="53">
        <f t="shared" si="208"/>
        <v>645.75476921025984</v>
      </c>
      <c r="Y157" s="53">
        <f t="shared" si="208"/>
        <v>698.54449956245639</v>
      </c>
      <c r="AR157" s="7"/>
      <c r="AY157" s="6" t="s">
        <v>233</v>
      </c>
      <c r="BE157" s="53">
        <f t="shared" ref="BE157:CN157" si="209">BE126+BE129</f>
        <v>-20.65499999999999</v>
      </c>
      <c r="BF157" s="53">
        <f t="shared" si="209"/>
        <v>-88.760000000000062</v>
      </c>
      <c r="BG157" s="53">
        <f t="shared" si="209"/>
        <v>79.165000000000006</v>
      </c>
      <c r="BH157" s="53">
        <f t="shared" si="209"/>
        <v>197.68499999999995</v>
      </c>
      <c r="BI157" s="53">
        <f t="shared" si="209"/>
        <v>38.508000000000003</v>
      </c>
      <c r="BJ157" s="53">
        <f t="shared" si="209"/>
        <v>32.993999999999978</v>
      </c>
      <c r="BK157" s="53">
        <f t="shared" si="209"/>
        <v>135.41000000000005</v>
      </c>
      <c r="BL157" s="53">
        <f t="shared" si="209"/>
        <v>238.15400000000005</v>
      </c>
      <c r="BM157" s="53">
        <f t="shared" si="209"/>
        <v>29.508999999999993</v>
      </c>
      <c r="BN157" s="53">
        <f t="shared" si="209"/>
        <v>22.958000000000027</v>
      </c>
      <c r="BO157" s="53">
        <f t="shared" si="209"/>
        <v>170.77299999999994</v>
      </c>
      <c r="BP157" s="53">
        <f t="shared" si="209"/>
        <v>288.64400000000001</v>
      </c>
      <c r="BQ157" s="53">
        <f t="shared" si="209"/>
        <v>-45.107999999999983</v>
      </c>
      <c r="BR157" s="53">
        <f t="shared" si="209"/>
        <v>-28.07999999999997</v>
      </c>
      <c r="BS157" s="53">
        <f t="shared" si="209"/>
        <v>57.311000000000028</v>
      </c>
      <c r="BT157" s="53">
        <f t="shared" si="209"/>
        <v>153.40400000000005</v>
      </c>
      <c r="BU157" s="53">
        <f t="shared" si="209"/>
        <v>48.804000000000009</v>
      </c>
      <c r="BV157" s="53">
        <f t="shared" si="209"/>
        <v>59.250000000000043</v>
      </c>
      <c r="BW157" s="53">
        <f t="shared" si="209"/>
        <v>183.52399999999994</v>
      </c>
      <c r="BX157" s="53">
        <f t="shared" si="209"/>
        <v>317.96600000000001</v>
      </c>
      <c r="BY157" s="53">
        <f t="shared" si="209"/>
        <v>38.000000000000014</v>
      </c>
      <c r="BZ157" s="53">
        <f t="shared" si="209"/>
        <v>253.23599999999999</v>
      </c>
      <c r="CA157" s="53">
        <f t="shared" si="209"/>
        <v>361.17</v>
      </c>
      <c r="CB157" s="53">
        <f t="shared" si="209"/>
        <v>517.9430000000001</v>
      </c>
      <c r="CC157" s="53">
        <f t="shared" si="209"/>
        <v>-42.566999999999993</v>
      </c>
      <c r="CD157" s="53">
        <f t="shared" si="209"/>
        <v>71.338999999999984</v>
      </c>
      <c r="CE157" s="53">
        <f t="shared" si="209"/>
        <v>303.01000000000005</v>
      </c>
      <c r="CF157" s="53">
        <f t="shared" si="209"/>
        <v>324.10200000000003</v>
      </c>
      <c r="CG157" s="53">
        <f t="shared" si="209"/>
        <v>-109.92600000000002</v>
      </c>
      <c r="CH157" s="53">
        <f t="shared" si="209"/>
        <v>54.120000000000005</v>
      </c>
      <c r="CI157" s="53">
        <f t="shared" si="209"/>
        <v>332.52100000000013</v>
      </c>
      <c r="CJ157" s="53">
        <f t="shared" si="209"/>
        <v>536.3119999999999</v>
      </c>
      <c r="CK157" s="53">
        <f t="shared" si="209"/>
        <v>-54.926000000000023</v>
      </c>
      <c r="CL157" s="53">
        <f t="shared" si="209"/>
        <v>-105.01000000000003</v>
      </c>
      <c r="CM157" s="53">
        <f t="shared" si="209"/>
        <v>237.84000000000009</v>
      </c>
      <c r="CN157" s="53">
        <f t="shared" si="209"/>
        <v>526.47600000000023</v>
      </c>
      <c r="CO157" s="53">
        <f>CO126+CO130</f>
        <v>103.764</v>
      </c>
      <c r="CP157" s="53">
        <f t="shared" ref="CP157:CU157" si="210">CP126+CP129</f>
        <v>149.29900000000004</v>
      </c>
      <c r="CQ157" s="53">
        <f t="shared" si="210"/>
        <v>372.32799999999986</v>
      </c>
      <c r="CR157" s="53">
        <f t="shared" si="210"/>
        <v>743.01200000000006</v>
      </c>
      <c r="CS157" s="53">
        <f t="shared" si="210"/>
        <v>-185.08699999999996</v>
      </c>
      <c r="CT157" s="53">
        <f t="shared" si="210"/>
        <v>-199.12399999999997</v>
      </c>
      <c r="CU157" s="53">
        <f t="shared" si="210"/>
        <v>146.95999999999998</v>
      </c>
      <c r="CV157" s="53"/>
      <c r="CW157" s="53"/>
      <c r="CX157" s="53"/>
      <c r="CY157" s="53"/>
      <c r="CZ157" s="53"/>
    </row>
    <row r="158" spans="2:104">
      <c r="B158" s="6" t="s">
        <v>234</v>
      </c>
      <c r="H158" s="395">
        <f>+H157/H31</f>
        <v>1.5454280974351646</v>
      </c>
      <c r="I158" s="395">
        <f>+I157/I31</f>
        <v>5.0725798903926309</v>
      </c>
      <c r="J158" s="395">
        <f>+J157/J31</f>
        <v>4.2063585457132771</v>
      </c>
      <c r="K158" s="395">
        <f>+K157/K31</f>
        <v>3.8155862998114816</v>
      </c>
      <c r="L158" s="396">
        <f t="shared" ref="L158:Y158" si="211">+L157/L31</f>
        <v>6.0862941280569691</v>
      </c>
      <c r="M158" s="396">
        <f t="shared" si="211"/>
        <v>7.3016409116072056</v>
      </c>
      <c r="N158" s="396">
        <f t="shared" si="211"/>
        <v>8.7833497699347465</v>
      </c>
      <c r="O158" s="396">
        <f t="shared" si="211"/>
        <v>4.4627567207320125</v>
      </c>
      <c r="P158" s="396">
        <f t="shared" si="211"/>
        <v>9.1697223419748752</v>
      </c>
      <c r="Q158" s="396">
        <f>+Q157/Q31</f>
        <v>14.734981118798899</v>
      </c>
      <c r="R158" s="396">
        <f t="shared" si="211"/>
        <v>9.1492627083491058</v>
      </c>
      <c r="S158" s="396">
        <f t="shared" si="211"/>
        <v>15.029635154311915</v>
      </c>
      <c r="T158" s="396">
        <f t="shared" si="211"/>
        <v>14.411490431470135</v>
      </c>
      <c r="U158" s="397">
        <f t="shared" si="211"/>
        <v>19.808195779232243</v>
      </c>
      <c r="V158" s="397">
        <f t="shared" si="211"/>
        <v>14.129867871012403</v>
      </c>
      <c r="W158" s="397">
        <f t="shared" si="211"/>
        <v>16.198938606737261</v>
      </c>
      <c r="X158" s="397">
        <f t="shared" si="211"/>
        <v>16.686169747035137</v>
      </c>
      <c r="Y158" s="397">
        <f t="shared" si="211"/>
        <v>17.865588224103742</v>
      </c>
      <c r="CN158" s="396"/>
      <c r="CO158" s="396"/>
      <c r="CP158" s="396"/>
    </row>
    <row r="159" spans="2:104">
      <c r="B159" s="6" t="s">
        <v>235</v>
      </c>
      <c r="H159" s="15">
        <f t="shared" ref="H159:P159" si="212">+H157/H23</f>
        <v>0.56304940172965368</v>
      </c>
      <c r="I159" s="15">
        <f t="shared" si="212"/>
        <v>1.8794322930040372</v>
      </c>
      <c r="J159" s="15">
        <f t="shared" si="212"/>
        <v>1.14341451082835</v>
      </c>
      <c r="K159" s="15">
        <f t="shared" si="212"/>
        <v>0.88221676003201033</v>
      </c>
      <c r="L159" s="398">
        <f t="shared" si="212"/>
        <v>1.2409370821641819</v>
      </c>
      <c r="M159" s="398">
        <f t="shared" si="212"/>
        <v>1.4175073954371473</v>
      </c>
      <c r="N159" s="398">
        <f t="shared" si="212"/>
        <v>1.512856798431816</v>
      </c>
      <c r="O159" s="398">
        <f t="shared" si="212"/>
        <v>0.6874663894166998</v>
      </c>
      <c r="P159" s="398">
        <f t="shared" si="212"/>
        <v>1.40980495612732</v>
      </c>
      <c r="Q159" s="398">
        <f>+Q157/Q23</f>
        <v>2.1017087392823375</v>
      </c>
      <c r="R159" s="398">
        <f t="shared" ref="R159:Y159" si="213">+R157/R23</f>
        <v>0.84905022752100401</v>
      </c>
      <c r="S159" s="398">
        <f t="shared" si="213"/>
        <v>1.0594975900287038</v>
      </c>
      <c r="T159" s="398">
        <f t="shared" si="213"/>
        <v>1.0542065057418335</v>
      </c>
      <c r="U159" s="398">
        <f t="shared" si="213"/>
        <v>1.4892497148824346</v>
      </c>
      <c r="V159" s="398">
        <f t="shared" si="213"/>
        <v>1.1668068380388783</v>
      </c>
      <c r="W159" s="398">
        <f t="shared" si="213"/>
        <v>1.2958918142980396</v>
      </c>
      <c r="X159" s="399">
        <f t="shared" si="213"/>
        <v>1.2314100619958439</v>
      </c>
      <c r="Y159" s="399">
        <f t="shared" si="213"/>
        <v>1.2110757469680808</v>
      </c>
      <c r="BE159" s="11"/>
      <c r="BI159" s="11"/>
      <c r="BM159" s="11"/>
      <c r="BQ159" s="11"/>
      <c r="BU159" s="11"/>
      <c r="BY159" s="11"/>
      <c r="CC159" s="11"/>
      <c r="CG159" s="11"/>
      <c r="CK159" s="11"/>
      <c r="CN159" s="396"/>
      <c r="CO159" s="11"/>
      <c r="CP159" s="396"/>
    </row>
    <row r="160" spans="2:104" ht="13.15">
      <c r="B160" s="21" t="s">
        <v>3</v>
      </c>
      <c r="C160" s="22"/>
      <c r="D160" s="22"/>
      <c r="E160" s="22"/>
      <c r="F160" s="22"/>
      <c r="G160" s="22"/>
      <c r="H160" s="22"/>
      <c r="I160" s="22"/>
      <c r="J160" s="22"/>
      <c r="K160" s="22"/>
      <c r="L160" s="22"/>
      <c r="M160" s="22"/>
      <c r="N160" s="22"/>
      <c r="O160" s="22"/>
      <c r="P160" s="22"/>
      <c r="Q160" s="22"/>
      <c r="R160" s="22"/>
      <c r="S160" s="22"/>
      <c r="T160" s="22"/>
      <c r="U160" s="22"/>
      <c r="V160" s="22"/>
      <c r="W160" s="22"/>
      <c r="X160" s="22"/>
      <c r="Y160" s="23"/>
      <c r="AY160" s="26" t="s">
        <v>3</v>
      </c>
      <c r="AZ160" s="22"/>
      <c r="BA160" s="22"/>
      <c r="BB160" s="22"/>
      <c r="BC160" s="22"/>
      <c r="BD160" s="22"/>
      <c r="BE160" s="24"/>
      <c r="BF160" s="22"/>
      <c r="BG160" s="22"/>
      <c r="BH160" s="23"/>
      <c r="BI160" s="24"/>
      <c r="BJ160" s="22"/>
      <c r="BK160" s="22"/>
      <c r="BL160" s="23"/>
      <c r="BM160" s="24"/>
      <c r="BN160" s="22"/>
      <c r="BO160" s="22"/>
      <c r="BP160" s="23"/>
      <c r="BQ160" s="24"/>
      <c r="BR160" s="400"/>
      <c r="BS160" s="22"/>
      <c r="BT160" s="23"/>
      <c r="BU160" s="24"/>
      <c r="BV160" s="400"/>
      <c r="BW160" s="22"/>
      <c r="BX160" s="23"/>
      <c r="BY160" s="24"/>
      <c r="BZ160" s="400"/>
      <c r="CA160" s="22"/>
      <c r="CB160" s="23"/>
      <c r="CC160" s="22"/>
      <c r="CD160" s="400"/>
      <c r="CE160" s="22"/>
      <c r="CF160" s="23"/>
      <c r="CG160" s="22"/>
      <c r="CH160" s="400"/>
      <c r="CI160" s="22"/>
      <c r="CJ160" s="23"/>
      <c r="CK160" s="22"/>
      <c r="CL160" s="400"/>
      <c r="CM160" s="22"/>
      <c r="CN160" s="23"/>
      <c r="CO160" s="22"/>
      <c r="CP160" s="22"/>
      <c r="CQ160" s="22"/>
      <c r="CR160" s="23"/>
      <c r="CS160" s="22"/>
      <c r="CT160" s="22"/>
      <c r="CU160" s="22"/>
      <c r="CV160" s="23"/>
      <c r="CW160" s="24"/>
      <c r="CX160" s="22"/>
      <c r="CY160" s="22"/>
      <c r="CZ160" s="23"/>
    </row>
    <row r="161" spans="2:149" ht="13.15">
      <c r="B161" s="27" t="s">
        <v>236</v>
      </c>
      <c r="C161" s="28"/>
      <c r="D161" s="28"/>
      <c r="E161" s="28"/>
      <c r="F161" s="28"/>
      <c r="G161" s="28"/>
      <c r="H161" s="28"/>
      <c r="I161" s="28"/>
      <c r="J161" s="28"/>
      <c r="K161" s="28"/>
      <c r="L161" s="28"/>
      <c r="M161" s="28"/>
      <c r="N161" s="28"/>
      <c r="O161" s="28"/>
      <c r="P161" s="28"/>
      <c r="Q161" s="28"/>
      <c r="R161" s="28"/>
      <c r="S161" s="28"/>
      <c r="T161" s="28"/>
      <c r="U161" s="28"/>
      <c r="V161" s="28"/>
      <c r="W161" s="28"/>
      <c r="X161" s="28"/>
      <c r="Y161" s="29"/>
      <c r="AY161" s="32" t="s">
        <v>237</v>
      </c>
      <c r="AZ161" s="28"/>
      <c r="BA161" s="28"/>
      <c r="BB161" s="28"/>
      <c r="BC161" s="28"/>
      <c r="BD161" s="28"/>
      <c r="BE161" s="30"/>
      <c r="BF161" s="28"/>
      <c r="BG161" s="28"/>
      <c r="BH161" s="29"/>
      <c r="BI161" s="30"/>
      <c r="BJ161" s="28"/>
      <c r="BK161" s="28"/>
      <c r="BL161" s="29"/>
      <c r="BM161" s="30"/>
      <c r="BN161" s="28"/>
      <c r="BO161" s="28"/>
      <c r="BP161" s="29"/>
      <c r="BQ161" s="30"/>
      <c r="BR161" s="28"/>
      <c r="BS161" s="28"/>
      <c r="BT161" s="29"/>
      <c r="BU161" s="30"/>
      <c r="BV161" s="28"/>
      <c r="BW161" s="28"/>
      <c r="BX161" s="29"/>
      <c r="BY161" s="30"/>
      <c r="BZ161" s="28"/>
      <c r="CA161" s="28"/>
      <c r="CB161" s="29"/>
      <c r="CC161" s="28"/>
      <c r="CD161" s="28"/>
      <c r="CE161" s="28"/>
      <c r="CF161" s="29"/>
      <c r="CG161" s="28"/>
      <c r="CH161" s="28"/>
      <c r="CI161" s="28"/>
      <c r="CJ161" s="29"/>
      <c r="CK161" s="28"/>
      <c r="CL161" s="28"/>
      <c r="CM161" s="28"/>
      <c r="CN161" s="29"/>
      <c r="CO161" s="28"/>
      <c r="CP161" s="28"/>
      <c r="CQ161" s="28"/>
      <c r="CR161" s="29"/>
      <c r="CS161" s="28"/>
      <c r="CT161" s="28"/>
      <c r="CU161" s="28"/>
      <c r="CV161" s="29"/>
      <c r="CW161" s="30"/>
      <c r="CX161" s="28"/>
      <c r="CY161" s="28"/>
      <c r="CZ161" s="29"/>
    </row>
    <row r="162" spans="2:149" ht="13.15">
      <c r="B162" s="373" t="s">
        <v>17</v>
      </c>
      <c r="C162" s="42"/>
      <c r="D162" s="42"/>
      <c r="E162" s="42"/>
      <c r="F162" s="42"/>
      <c r="G162" s="42"/>
      <c r="H162" s="42" t="str">
        <f t="shared" ref="H162:Y162" si="214">H5</f>
        <v>2011</v>
      </c>
      <c r="I162" s="42" t="str">
        <f t="shared" si="214"/>
        <v>2012</v>
      </c>
      <c r="J162" s="42" t="str">
        <f t="shared" si="214"/>
        <v>2013</v>
      </c>
      <c r="K162" s="42" t="str">
        <f t="shared" si="214"/>
        <v>2014</v>
      </c>
      <c r="L162" s="42" t="str">
        <f t="shared" si="214"/>
        <v>2015</v>
      </c>
      <c r="M162" s="42" t="str">
        <f t="shared" si="214"/>
        <v>2016</v>
      </c>
      <c r="N162" s="42" t="str">
        <f t="shared" si="214"/>
        <v>2017</v>
      </c>
      <c r="O162" s="42" t="str">
        <f t="shared" si="214"/>
        <v>2018</v>
      </c>
      <c r="P162" s="42" t="str">
        <f t="shared" si="214"/>
        <v>2019</v>
      </c>
      <c r="Q162" s="42" t="str">
        <f t="shared" si="214"/>
        <v>2020</v>
      </c>
      <c r="R162" s="42" t="str">
        <f t="shared" si="214"/>
        <v>2021</v>
      </c>
      <c r="S162" s="42" t="str">
        <f t="shared" si="214"/>
        <v>2022</v>
      </c>
      <c r="T162" s="42" t="str">
        <f t="shared" si="214"/>
        <v>2023</v>
      </c>
      <c r="U162" s="42" t="str">
        <f t="shared" si="214"/>
        <v>2024</v>
      </c>
      <c r="V162" s="42" t="str">
        <f t="shared" si="214"/>
        <v>2025</v>
      </c>
      <c r="W162" s="42" t="str">
        <f t="shared" si="214"/>
        <v>2026E</v>
      </c>
      <c r="X162" s="42" t="str">
        <f t="shared" si="214"/>
        <v>2027E</v>
      </c>
      <c r="Y162" s="43" t="str">
        <f t="shared" si="214"/>
        <v>2028E</v>
      </c>
      <c r="AY162" s="41" t="s">
        <v>17</v>
      </c>
      <c r="AZ162" s="42"/>
      <c r="BA162" s="42" t="str">
        <f t="shared" ref="BA162:BI162" si="215">BA5</f>
        <v>1Q14</v>
      </c>
      <c r="BB162" s="42" t="str">
        <f t="shared" si="215"/>
        <v>2Q14</v>
      </c>
      <c r="BC162" s="42" t="str">
        <f t="shared" si="215"/>
        <v>3Q14</v>
      </c>
      <c r="BD162" s="42" t="str">
        <f t="shared" si="215"/>
        <v>4Q14</v>
      </c>
      <c r="BE162" s="44" t="str">
        <f t="shared" si="215"/>
        <v>1Q15</v>
      </c>
      <c r="BF162" s="42" t="str">
        <f t="shared" si="215"/>
        <v>2Q15</v>
      </c>
      <c r="BG162" s="42" t="str">
        <f t="shared" si="215"/>
        <v>3Q15</v>
      </c>
      <c r="BH162" s="43" t="str">
        <f t="shared" si="215"/>
        <v>4Q15</v>
      </c>
      <c r="BI162" s="44" t="str">
        <f t="shared" si="215"/>
        <v>1Q16</v>
      </c>
      <c r="BJ162" s="42" t="s">
        <v>62</v>
      </c>
      <c r="BK162" s="42" t="s">
        <v>63</v>
      </c>
      <c r="BL162" s="43" t="s">
        <v>64</v>
      </c>
      <c r="BM162" s="44" t="str">
        <f>BM5</f>
        <v>1Q17</v>
      </c>
      <c r="BN162" s="42" t="s">
        <v>66</v>
      </c>
      <c r="BO162" s="42" t="s">
        <v>67</v>
      </c>
      <c r="BP162" s="43" t="s">
        <v>68</v>
      </c>
      <c r="BQ162" s="44" t="str">
        <f>BQ5</f>
        <v>1Q18</v>
      </c>
      <c r="BR162" s="42" t="s">
        <v>70</v>
      </c>
      <c r="BS162" s="42" t="s">
        <v>71</v>
      </c>
      <c r="BT162" s="43" t="str">
        <f t="shared" ref="BT162:CZ162" si="216">BT5</f>
        <v>4Q18</v>
      </c>
      <c r="BU162" s="44" t="str">
        <f t="shared" si="216"/>
        <v>1Q19</v>
      </c>
      <c r="BV162" s="42" t="str">
        <f t="shared" si="216"/>
        <v>2Q19</v>
      </c>
      <c r="BW162" s="42" t="str">
        <f t="shared" si="216"/>
        <v>3Q19</v>
      </c>
      <c r="BX162" s="43" t="str">
        <f t="shared" si="216"/>
        <v>4Q19</v>
      </c>
      <c r="BY162" s="44" t="str">
        <f t="shared" si="216"/>
        <v>1Q20</v>
      </c>
      <c r="BZ162" s="42" t="str">
        <f t="shared" si="216"/>
        <v>2Q20</v>
      </c>
      <c r="CA162" s="42" t="str">
        <f t="shared" si="216"/>
        <v>3Q20</v>
      </c>
      <c r="CB162" s="43" t="str">
        <f t="shared" si="216"/>
        <v>4Q20</v>
      </c>
      <c r="CC162" s="42" t="str">
        <f t="shared" si="216"/>
        <v>1Q21</v>
      </c>
      <c r="CD162" s="42" t="str">
        <f t="shared" si="216"/>
        <v>2Q21</v>
      </c>
      <c r="CE162" s="42" t="str">
        <f t="shared" si="216"/>
        <v>3Q21</v>
      </c>
      <c r="CF162" s="43" t="str">
        <f t="shared" si="216"/>
        <v>4Q21</v>
      </c>
      <c r="CG162" s="42" t="str">
        <f t="shared" si="216"/>
        <v>1Q22</v>
      </c>
      <c r="CH162" s="42" t="str">
        <f t="shared" si="216"/>
        <v>2Q22</v>
      </c>
      <c r="CI162" s="42" t="str">
        <f t="shared" si="216"/>
        <v>3Q22</v>
      </c>
      <c r="CJ162" s="43" t="str">
        <f t="shared" si="216"/>
        <v>4Q22</v>
      </c>
      <c r="CK162" s="42" t="str">
        <f t="shared" si="216"/>
        <v>1Q23</v>
      </c>
      <c r="CL162" s="42" t="str">
        <f t="shared" si="216"/>
        <v>2Q23</v>
      </c>
      <c r="CM162" s="42" t="str">
        <f t="shared" si="216"/>
        <v>3Q23</v>
      </c>
      <c r="CN162" s="43" t="str">
        <f t="shared" si="216"/>
        <v>4Q23</v>
      </c>
      <c r="CO162" s="42" t="str">
        <f t="shared" si="216"/>
        <v>1Q24</v>
      </c>
      <c r="CP162" s="42" t="str">
        <f t="shared" si="216"/>
        <v>2Q24</v>
      </c>
      <c r="CQ162" s="42" t="str">
        <f t="shared" si="216"/>
        <v>3Q24</v>
      </c>
      <c r="CR162" s="43" t="str">
        <f t="shared" si="216"/>
        <v>4Q24</v>
      </c>
      <c r="CS162" s="42" t="str">
        <f t="shared" si="216"/>
        <v>1Q25</v>
      </c>
      <c r="CT162" s="42" t="str">
        <f t="shared" si="216"/>
        <v>2Q25</v>
      </c>
      <c r="CU162" s="42" t="str">
        <f t="shared" si="216"/>
        <v>3Q25</v>
      </c>
      <c r="CV162" s="43" t="str">
        <f t="shared" si="216"/>
        <v>4Q25</v>
      </c>
      <c r="CW162" s="42" t="str">
        <f t="shared" si="216"/>
        <v>1Q26E</v>
      </c>
      <c r="CX162" s="42" t="str">
        <f t="shared" si="216"/>
        <v>2Q26E</v>
      </c>
      <c r="CY162" s="42" t="str">
        <f t="shared" si="216"/>
        <v>3Q26E</v>
      </c>
      <c r="CZ162" s="43" t="str">
        <f t="shared" si="216"/>
        <v>4Q26E</v>
      </c>
    </row>
    <row r="163" spans="2:149" ht="13.15">
      <c r="B163" s="131" t="s">
        <v>238</v>
      </c>
      <c r="H163" s="309"/>
      <c r="I163" s="309"/>
      <c r="J163" s="309"/>
      <c r="K163" s="309"/>
      <c r="L163" s="309"/>
      <c r="M163" s="309"/>
      <c r="N163" s="309"/>
      <c r="O163" s="53"/>
      <c r="P163" s="53"/>
      <c r="Q163" s="53"/>
      <c r="R163" s="53"/>
      <c r="S163" s="53"/>
      <c r="T163" s="53"/>
      <c r="U163" s="53"/>
      <c r="V163" s="53"/>
      <c r="W163" s="53"/>
      <c r="X163" s="53"/>
      <c r="Y163" s="64"/>
      <c r="AY163" s="374" t="s">
        <v>238</v>
      </c>
      <c r="BA163" s="53"/>
      <c r="BB163" s="53"/>
      <c r="BC163" s="53"/>
      <c r="BD163" s="53"/>
      <c r="BE163" s="308"/>
      <c r="BF163" s="309"/>
      <c r="BG163" s="309"/>
      <c r="BH163" s="383"/>
      <c r="BI163" s="308"/>
      <c r="BJ163" s="309"/>
      <c r="BK163" s="309"/>
      <c r="BL163" s="383"/>
      <c r="BM163" s="308"/>
      <c r="BN163" s="309"/>
      <c r="BO163" s="309"/>
      <c r="BP163" s="383"/>
      <c r="BQ163" s="308"/>
      <c r="BR163" s="309"/>
      <c r="BS163" s="309"/>
      <c r="BT163" s="383"/>
      <c r="BU163" s="308"/>
      <c r="BV163" s="309"/>
      <c r="BW163" s="309"/>
      <c r="BX163" s="383"/>
      <c r="BY163" s="308"/>
      <c r="BZ163" s="309"/>
      <c r="CA163" s="309"/>
      <c r="CB163" s="383"/>
      <c r="CC163" s="309"/>
      <c r="CD163" s="309"/>
      <c r="CE163" s="309"/>
      <c r="CF163" s="383"/>
      <c r="CG163" s="309"/>
      <c r="CH163" s="309"/>
      <c r="CI163" s="309"/>
      <c r="CJ163" s="383"/>
      <c r="CK163" s="309"/>
      <c r="CL163" s="309"/>
      <c r="CM163" s="309"/>
      <c r="CN163" s="383"/>
      <c r="CO163" s="309"/>
      <c r="CP163" s="309"/>
      <c r="CQ163" s="309"/>
      <c r="CR163" s="383"/>
      <c r="CS163" s="309"/>
      <c r="CT163" s="309"/>
      <c r="CU163" s="309"/>
      <c r="CV163" s="383"/>
      <c r="CW163" s="309"/>
      <c r="CX163" s="309"/>
      <c r="CY163" s="309"/>
      <c r="CZ163" s="383"/>
    </row>
    <row r="164" spans="2:149">
      <c r="B164" s="114" t="s">
        <v>239</v>
      </c>
      <c r="H164" s="49">
        <v>15.673</v>
      </c>
      <c r="I164" s="49">
        <v>73.77</v>
      </c>
      <c r="J164" s="49">
        <v>19.478000000000002</v>
      </c>
      <c r="K164" s="49">
        <v>24.446999999999999</v>
      </c>
      <c r="L164" s="49">
        <v>35.228999999999999</v>
      </c>
      <c r="M164" s="49">
        <v>56.01</v>
      </c>
      <c r="N164" s="49">
        <v>80.495999999999995</v>
      </c>
      <c r="O164" s="49">
        <v>82.894000000000005</v>
      </c>
      <c r="P164" s="49">
        <v>74.453999999999994</v>
      </c>
      <c r="Q164" s="49">
        <v>146.06700000000001</v>
      </c>
      <c r="R164" s="49">
        <v>118.268</v>
      </c>
      <c r="S164" s="49">
        <v>147.505</v>
      </c>
      <c r="T164" s="49">
        <v>210.11199999999999</v>
      </c>
      <c r="U164" s="49">
        <f>526.271+255.669</f>
        <v>781.93999999999994</v>
      </c>
      <c r="V164" s="49">
        <f>433.283+300</f>
        <v>733.28300000000002</v>
      </c>
      <c r="W164" s="49">
        <f>W155+300</f>
        <v>753.1423486380379</v>
      </c>
      <c r="X164" s="49">
        <f>X155+300</f>
        <v>741.97311784829753</v>
      </c>
      <c r="Y164" s="63">
        <f>Y155+300</f>
        <v>721.01241741075376</v>
      </c>
      <c r="AY164" s="114" t="s">
        <v>239</v>
      </c>
      <c r="BA164" s="53"/>
      <c r="BB164" s="53"/>
      <c r="BC164" s="53"/>
      <c r="BD164" s="53"/>
      <c r="BE164" s="52">
        <v>16.251000000000001</v>
      </c>
      <c r="BF164" s="53">
        <v>21.850999999999999</v>
      </c>
      <c r="BG164" s="53">
        <v>28.504999999999999</v>
      </c>
      <c r="BH164" s="64">
        <f>+L164</f>
        <v>35.228999999999999</v>
      </c>
      <c r="BI164" s="52">
        <v>32.856000000000002</v>
      </c>
      <c r="BJ164" s="53">
        <v>30.544</v>
      </c>
      <c r="BK164" s="53">
        <v>35.909999999999997</v>
      </c>
      <c r="BL164" s="64">
        <f>+M164</f>
        <v>56.01</v>
      </c>
      <c r="BM164" s="52">
        <v>47.420999999999999</v>
      </c>
      <c r="BN164" s="53">
        <v>51.033999999999999</v>
      </c>
      <c r="BO164" s="53">
        <v>66.667000000000002</v>
      </c>
      <c r="BP164" s="64">
        <f>+N164</f>
        <v>80.495999999999995</v>
      </c>
      <c r="BQ164" s="52">
        <v>58.073</v>
      </c>
      <c r="BR164" s="53">
        <v>72</v>
      </c>
      <c r="BS164" s="53">
        <v>67.611999999999995</v>
      </c>
      <c r="BT164" s="64">
        <f>O164</f>
        <v>82.894000000000005</v>
      </c>
      <c r="BU164" s="52">
        <v>77.272999999999996</v>
      </c>
      <c r="BV164" s="53">
        <v>55.914999999999999</v>
      </c>
      <c r="BW164" s="53">
        <v>60.15</v>
      </c>
      <c r="BX164" s="64">
        <f>P164</f>
        <v>74.453999999999994</v>
      </c>
      <c r="BY164" s="52">
        <v>51.235999999999997</v>
      </c>
      <c r="BZ164" s="9">
        <v>79.572999999999993</v>
      </c>
      <c r="CA164" s="9">
        <v>92.6</v>
      </c>
      <c r="CB164" s="64">
        <f t="shared" ref="CB164:CB201" si="217">Q164</f>
        <v>146.06700000000001</v>
      </c>
      <c r="CC164" s="52">
        <v>93.875</v>
      </c>
      <c r="CD164" s="9">
        <v>96.787000000000006</v>
      </c>
      <c r="CE164" s="9">
        <v>137.20099999999999</v>
      </c>
      <c r="CF164" s="64">
        <f t="shared" ref="CF164:CF174" si="218">R164</f>
        <v>118.268</v>
      </c>
      <c r="CG164" s="52">
        <v>110.607</v>
      </c>
      <c r="CH164" s="9">
        <v>129.04900000000001</v>
      </c>
      <c r="CI164" s="9">
        <v>130.22800000000001</v>
      </c>
      <c r="CJ164" s="64">
        <f>$S164</f>
        <v>147.505</v>
      </c>
      <c r="CK164" s="52">
        <v>140.95500000000001</v>
      </c>
      <c r="CL164" s="53">
        <v>162.52600000000001</v>
      </c>
      <c r="CM164" s="53">
        <v>175.02199999999999</v>
      </c>
      <c r="CN164" s="64">
        <f>$T164</f>
        <v>210.11199999999999</v>
      </c>
      <c r="CO164" s="52">
        <v>278.86399999999998</v>
      </c>
      <c r="CP164" s="53">
        <f>224.854+200</f>
        <v>424.85400000000004</v>
      </c>
      <c r="CQ164" s="53">
        <f>294.354+255.669</f>
        <v>550.02300000000002</v>
      </c>
      <c r="CR164" s="64">
        <f>$U164</f>
        <v>781.93999999999994</v>
      </c>
      <c r="CS164" s="52">
        <v>431.82299999999998</v>
      </c>
      <c r="CT164" s="53">
        <v>292.97800000000001</v>
      </c>
      <c r="CU164" s="53">
        <f>324.348+200</f>
        <v>524.34799999999996</v>
      </c>
      <c r="CV164" s="64">
        <f>$V164</f>
        <v>733.28300000000002</v>
      </c>
      <c r="CW164" s="53"/>
      <c r="CX164" s="53"/>
      <c r="CY164" s="53"/>
      <c r="CZ164" s="64">
        <f>$W164</f>
        <v>753.1423486380379</v>
      </c>
    </row>
    <row r="165" spans="2:149">
      <c r="B165" s="114" t="s">
        <v>240</v>
      </c>
      <c r="H165" s="53">
        <v>327.66399999999999</v>
      </c>
      <c r="I165" s="53">
        <v>377.65499999999997</v>
      </c>
      <c r="J165" s="53">
        <v>399.565</v>
      </c>
      <c r="K165" s="53">
        <v>434.23399999999998</v>
      </c>
      <c r="L165" s="53">
        <v>451.07900000000001</v>
      </c>
      <c r="M165" s="53">
        <v>475.97399999999999</v>
      </c>
      <c r="N165" s="53">
        <v>478.13299999999998</v>
      </c>
      <c r="O165" s="53">
        <v>501.90800000000002</v>
      </c>
      <c r="P165" s="53">
        <v>533.80999999999995</v>
      </c>
      <c r="Q165" s="53">
        <v>535.28800000000001</v>
      </c>
      <c r="R165" s="53">
        <v>698.45600000000002</v>
      </c>
      <c r="S165" s="53">
        <v>747.11</v>
      </c>
      <c r="T165" s="53">
        <v>797.83199999999999</v>
      </c>
      <c r="U165" s="53">
        <v>877.93499999999995</v>
      </c>
      <c r="V165" s="53">
        <v>796.18100000000004</v>
      </c>
      <c r="W165" s="53">
        <f>W218*W6/360</f>
        <v>812.40921111111129</v>
      </c>
      <c r="X165" s="53">
        <f>X218*X6/360</f>
        <v>844.90557955555562</v>
      </c>
      <c r="Y165" s="64">
        <f>Y218*Y6/360</f>
        <v>878.70180273777794</v>
      </c>
      <c r="AY165" s="114" t="s">
        <v>240</v>
      </c>
      <c r="BA165" s="53"/>
      <c r="BB165" s="53"/>
      <c r="BC165" s="53"/>
      <c r="BD165" s="53"/>
      <c r="BE165" s="52">
        <v>436.45600000000002</v>
      </c>
      <c r="BF165" s="53">
        <v>599.07100000000003</v>
      </c>
      <c r="BG165" s="53">
        <v>510.00400000000002</v>
      </c>
      <c r="BH165" s="64">
        <f>+L165</f>
        <v>451.07900000000001</v>
      </c>
      <c r="BI165" s="52">
        <v>464.154</v>
      </c>
      <c r="BJ165" s="53">
        <v>606.51</v>
      </c>
      <c r="BK165" s="53">
        <v>548</v>
      </c>
      <c r="BL165" s="64">
        <f>+M165</f>
        <v>475.97399999999999</v>
      </c>
      <c r="BM165" s="52">
        <v>481.6</v>
      </c>
      <c r="BN165" s="53">
        <v>613.19299999999998</v>
      </c>
      <c r="BO165" s="53">
        <v>568.45699999999999</v>
      </c>
      <c r="BP165" s="64">
        <f>+N165</f>
        <v>478.13299999999998</v>
      </c>
      <c r="BQ165" s="52">
        <v>486.65100000000001</v>
      </c>
      <c r="BR165" s="53">
        <v>659.88699999999994</v>
      </c>
      <c r="BS165" s="53">
        <v>602.75300000000004</v>
      </c>
      <c r="BT165" s="64">
        <f>O165</f>
        <v>501.90800000000002</v>
      </c>
      <c r="BU165" s="52">
        <v>504.71899999999999</v>
      </c>
      <c r="BV165" s="53">
        <v>655.41800000000001</v>
      </c>
      <c r="BW165" s="53">
        <v>640.80200000000002</v>
      </c>
      <c r="BX165" s="64">
        <f>P165</f>
        <v>533.80999999999995</v>
      </c>
      <c r="BY165" s="52">
        <v>574.827</v>
      </c>
      <c r="BZ165" s="9">
        <v>676.56899999999996</v>
      </c>
      <c r="CA165" s="9">
        <v>644.12400000000002</v>
      </c>
      <c r="CB165" s="64">
        <f t="shared" si="217"/>
        <v>535.28800000000001</v>
      </c>
      <c r="CC165" s="52">
        <v>596.51300000000003</v>
      </c>
      <c r="CD165" s="9">
        <v>857.86400000000003</v>
      </c>
      <c r="CE165" s="9">
        <v>771.04200000000003</v>
      </c>
      <c r="CF165" s="64">
        <f t="shared" si="218"/>
        <v>698.45600000000002</v>
      </c>
      <c r="CG165" s="52">
        <v>790.01300000000003</v>
      </c>
      <c r="CH165" s="9">
        <v>983.03300000000002</v>
      </c>
      <c r="CI165" s="9">
        <v>859.58100000000002</v>
      </c>
      <c r="CJ165" s="64">
        <f>$S165</f>
        <v>747.11</v>
      </c>
      <c r="CK165" s="52">
        <v>811.26400000000001</v>
      </c>
      <c r="CL165" s="53">
        <v>990.66300000000001</v>
      </c>
      <c r="CM165" s="53">
        <v>949.31700000000001</v>
      </c>
      <c r="CN165" s="64">
        <f>$T165</f>
        <v>797.83199999999999</v>
      </c>
      <c r="CO165" s="52">
        <v>832.11900000000003</v>
      </c>
      <c r="CP165" s="53">
        <v>1001.329</v>
      </c>
      <c r="CQ165" s="53">
        <v>944.50099999999998</v>
      </c>
      <c r="CR165" s="64">
        <f>$U165</f>
        <v>877.93499999999995</v>
      </c>
      <c r="CS165" s="52">
        <v>794.31200000000001</v>
      </c>
      <c r="CT165" s="53">
        <v>1015.7380000000001</v>
      </c>
      <c r="CU165" s="53">
        <v>941.88300000000004</v>
      </c>
      <c r="CV165" s="64">
        <f>$V165</f>
        <v>796.18100000000004</v>
      </c>
      <c r="CW165" s="53"/>
      <c r="CX165" s="53"/>
      <c r="CY165" s="53"/>
      <c r="CZ165" s="64">
        <f>$W165</f>
        <v>812.40921111111129</v>
      </c>
      <c r="EH165" s="12">
        <f>CK166/CG166-1</f>
        <v>0.16111366052457821</v>
      </c>
    </row>
    <row r="166" spans="2:149">
      <c r="B166" s="114" t="s">
        <v>202</v>
      </c>
      <c r="H166" s="53">
        <v>465.34899999999999</v>
      </c>
      <c r="I166" s="53">
        <v>546.08299999999997</v>
      </c>
      <c r="J166" s="53">
        <v>583.154</v>
      </c>
      <c r="K166" s="53">
        <v>677.99</v>
      </c>
      <c r="L166" s="53">
        <v>673.96699999999998</v>
      </c>
      <c r="M166" s="53">
        <v>685.01099999999997</v>
      </c>
      <c r="N166" s="53">
        <v>761.31399999999996</v>
      </c>
      <c r="O166" s="53">
        <v>837.12900000000002</v>
      </c>
      <c r="P166" s="53">
        <v>920.78599999999994</v>
      </c>
      <c r="Q166" s="53">
        <v>781.29899999999998</v>
      </c>
      <c r="R166" s="53">
        <v>1115.4690000000001</v>
      </c>
      <c r="S166" s="53">
        <v>1370.173</v>
      </c>
      <c r="T166" s="53">
        <v>1347.289</v>
      </c>
      <c r="U166" s="53">
        <v>1385.4359999999999</v>
      </c>
      <c r="V166" s="53">
        <v>1386.317</v>
      </c>
      <c r="W166" s="53">
        <f>W12/W219</f>
        <v>1380.2843303473687</v>
      </c>
      <c r="X166" s="53">
        <f>X12/X219</f>
        <v>1395.4945520882052</v>
      </c>
      <c r="Y166" s="64">
        <f>Y12/Y219</f>
        <v>1411.6505170635442</v>
      </c>
      <c r="AY166" s="114" t="s">
        <v>202</v>
      </c>
      <c r="BA166" s="53"/>
      <c r="BB166" s="53"/>
      <c r="BC166" s="53"/>
      <c r="BD166" s="53"/>
      <c r="BE166" s="52">
        <v>800.85599999999999</v>
      </c>
      <c r="BF166" s="53">
        <v>799.04399999999998</v>
      </c>
      <c r="BG166" s="53">
        <v>751.94399999999996</v>
      </c>
      <c r="BH166" s="64">
        <f>+L166</f>
        <v>673.96699999999998</v>
      </c>
      <c r="BI166" s="52">
        <v>746.12199999999996</v>
      </c>
      <c r="BJ166" s="53">
        <v>749.33299999999997</v>
      </c>
      <c r="BK166" s="53">
        <v>739.71799999999996</v>
      </c>
      <c r="BL166" s="64">
        <f>+M166</f>
        <v>685.01099999999997</v>
      </c>
      <c r="BM166" s="52">
        <v>751.505</v>
      </c>
      <c r="BN166" s="53">
        <v>770.01199999999994</v>
      </c>
      <c r="BO166" s="53">
        <v>786.05600000000004</v>
      </c>
      <c r="BP166" s="64">
        <f>+N166</f>
        <v>761.31399999999996</v>
      </c>
      <c r="BQ166" s="52">
        <v>810.02099999999996</v>
      </c>
      <c r="BR166" s="53">
        <v>872.90200000000004</v>
      </c>
      <c r="BS166" s="53">
        <v>810.86900000000003</v>
      </c>
      <c r="BT166" s="64">
        <f>O166</f>
        <v>837.12900000000002</v>
      </c>
      <c r="BU166" s="52">
        <v>893.64</v>
      </c>
      <c r="BV166" s="53">
        <v>967.39400000000001</v>
      </c>
      <c r="BW166" s="53">
        <v>970.47500000000002</v>
      </c>
      <c r="BX166" s="64">
        <f>P166</f>
        <v>920.78599999999994</v>
      </c>
      <c r="BY166" s="52">
        <v>942.81500000000005</v>
      </c>
      <c r="BZ166" s="9">
        <v>854.36800000000005</v>
      </c>
      <c r="CA166" s="9">
        <v>884.65300000000002</v>
      </c>
      <c r="CB166" s="64">
        <f>Q166</f>
        <v>781.29899999999998</v>
      </c>
      <c r="CC166" s="52">
        <v>986.64800000000002</v>
      </c>
      <c r="CD166" s="9">
        <v>1044.6079999999999</v>
      </c>
      <c r="CE166" s="9">
        <v>1042.144</v>
      </c>
      <c r="CF166" s="64">
        <f t="shared" si="218"/>
        <v>1115.4690000000001</v>
      </c>
      <c r="CG166" s="52">
        <v>1390.298</v>
      </c>
      <c r="CH166" s="9">
        <v>1480.519</v>
      </c>
      <c r="CI166" s="9">
        <v>1385.191</v>
      </c>
      <c r="CJ166" s="64">
        <f>$S166</f>
        <v>1370.173</v>
      </c>
      <c r="CK166" s="52">
        <v>1614.2940000000001</v>
      </c>
      <c r="CL166" s="53">
        <v>1689.309</v>
      </c>
      <c r="CM166" s="53">
        <v>1549.74</v>
      </c>
      <c r="CN166" s="64">
        <f>$T166</f>
        <v>1347.289</v>
      </c>
      <c r="CO166" s="52">
        <v>1655.635</v>
      </c>
      <c r="CP166" s="53">
        <v>1573.4960000000001</v>
      </c>
      <c r="CQ166" s="53">
        <v>1596.7940000000001</v>
      </c>
      <c r="CR166" s="64">
        <f>$U166</f>
        <v>1385.4359999999999</v>
      </c>
      <c r="CS166" s="52">
        <v>1776.09</v>
      </c>
      <c r="CT166" s="53">
        <v>1952.8420000000001</v>
      </c>
      <c r="CU166" s="53">
        <v>1601.7860000000001</v>
      </c>
      <c r="CV166" s="64">
        <f>$V166</f>
        <v>1386.317</v>
      </c>
      <c r="CW166" s="53"/>
      <c r="CX166" s="53"/>
      <c r="CY166" s="53"/>
      <c r="CZ166" s="64">
        <f>$W166</f>
        <v>1380.2843303473687</v>
      </c>
      <c r="DB166" s="320" t="e">
        <f t="shared" ref="DB166:ES166" si="219">BE166/BD166-1</f>
        <v>#DIV/0!</v>
      </c>
      <c r="DC166" s="320">
        <f t="shared" si="219"/>
        <v>-2.2625790404267043E-3</v>
      </c>
      <c r="DD166" s="320">
        <f t="shared" si="219"/>
        <v>-5.8945439800561661E-2</v>
      </c>
      <c r="DE166" s="321">
        <f t="shared" si="219"/>
        <v>-0.10370054152968833</v>
      </c>
      <c r="DF166" s="320">
        <f t="shared" si="219"/>
        <v>0.10706013795927682</v>
      </c>
      <c r="DG166" s="320">
        <f t="shared" si="219"/>
        <v>4.3035857406696909E-3</v>
      </c>
      <c r="DH166" s="320">
        <f t="shared" si="219"/>
        <v>-1.2831411401873383E-2</v>
      </c>
      <c r="DI166" s="321">
        <f t="shared" si="219"/>
        <v>-7.3956561824911615E-2</v>
      </c>
      <c r="DJ166" s="320">
        <f t="shared" si="219"/>
        <v>9.7069974058810793E-2</v>
      </c>
      <c r="DK166" s="320">
        <f t="shared" si="219"/>
        <v>2.46265826574672E-2</v>
      </c>
      <c r="DL166" s="320">
        <f t="shared" si="219"/>
        <v>2.08360389188742E-2</v>
      </c>
      <c r="DM166" s="321">
        <f t="shared" si="219"/>
        <v>-3.1476128927201197E-2</v>
      </c>
      <c r="DN166" s="320">
        <f t="shared" si="219"/>
        <v>6.3977544088247518E-2</v>
      </c>
      <c r="DO166" s="320">
        <f t="shared" si="219"/>
        <v>7.7628851597674631E-2</v>
      </c>
      <c r="DP166" s="320">
        <f t="shared" si="219"/>
        <v>-7.1065251311143718E-2</v>
      </c>
      <c r="DQ166" s="321">
        <f t="shared" si="219"/>
        <v>3.2385009169175305E-2</v>
      </c>
      <c r="DR166" s="320">
        <f t="shared" si="219"/>
        <v>6.7505724924115551E-2</v>
      </c>
      <c r="DS166" s="320">
        <f t="shared" si="219"/>
        <v>8.2532115840830755E-2</v>
      </c>
      <c r="DT166" s="320">
        <f t="shared" si="219"/>
        <v>3.1848450579599064E-3</v>
      </c>
      <c r="DU166" s="321">
        <f t="shared" si="219"/>
        <v>-5.1200700687807577E-2</v>
      </c>
      <c r="DV166" s="320">
        <f t="shared" si="219"/>
        <v>2.3924125692614817E-2</v>
      </c>
      <c r="DW166" s="320">
        <f t="shared" si="219"/>
        <v>-9.3811617337441588E-2</v>
      </c>
      <c r="DX166" s="320">
        <f t="shared" si="219"/>
        <v>3.544725457882314E-2</v>
      </c>
      <c r="DY166" s="321">
        <f t="shared" si="219"/>
        <v>-0.11682998870743677</v>
      </c>
      <c r="DZ166" s="320">
        <f t="shared" si="219"/>
        <v>0.26283023528764282</v>
      </c>
      <c r="EA166" s="320">
        <f t="shared" si="219"/>
        <v>5.8744354622925155E-2</v>
      </c>
      <c r="EB166" s="320">
        <f t="shared" si="219"/>
        <v>-2.3587795613282392E-3</v>
      </c>
      <c r="EC166" s="321">
        <f t="shared" si="219"/>
        <v>7.0359758344336276E-2</v>
      </c>
      <c r="ED166" s="320">
        <f t="shared" si="219"/>
        <v>0.24637977388883048</v>
      </c>
      <c r="EE166" s="320">
        <f t="shared" si="219"/>
        <v>6.4893281871944097E-2</v>
      </c>
      <c r="EF166" s="320">
        <f t="shared" si="219"/>
        <v>-6.4388231424250542E-2</v>
      </c>
      <c r="EG166" s="321">
        <f t="shared" si="219"/>
        <v>-1.0841826145275291E-2</v>
      </c>
      <c r="EH166" s="320">
        <f t="shared" si="219"/>
        <v>0.17816801236048296</v>
      </c>
      <c r="EI166" s="320">
        <f t="shared" si="219"/>
        <v>4.6469230511914095E-2</v>
      </c>
      <c r="EJ166" s="320">
        <f t="shared" si="219"/>
        <v>-8.2618988000419114E-2</v>
      </c>
      <c r="EK166" s="321">
        <f t="shared" si="219"/>
        <v>-0.13063546143224025</v>
      </c>
      <c r="EL166" s="320">
        <f t="shared" si="219"/>
        <v>0.22886403733720084</v>
      </c>
      <c r="EM166" s="320">
        <f t="shared" si="219"/>
        <v>-4.9611780374297365E-2</v>
      </c>
      <c r="EN166" s="320">
        <f t="shared" si="219"/>
        <v>1.4806520003864065E-2</v>
      </c>
      <c r="EO166" s="321">
        <f t="shared" si="219"/>
        <v>-0.13236397431353086</v>
      </c>
      <c r="EP166" s="320">
        <f t="shared" si="219"/>
        <v>0.28197188466302303</v>
      </c>
      <c r="EQ166" s="320">
        <f t="shared" si="219"/>
        <v>9.9517479407012166E-2</v>
      </c>
      <c r="ER166" s="320">
        <f t="shared" si="219"/>
        <v>-0.17976671947858558</v>
      </c>
      <c r="ES166" s="321">
        <f t="shared" si="219"/>
        <v>-0.1345179693167502</v>
      </c>
    </row>
    <row r="167" spans="2:149" ht="13.15">
      <c r="B167" s="114" t="s">
        <v>241</v>
      </c>
      <c r="C167" s="84"/>
      <c r="D167" s="84"/>
      <c r="E167" s="84"/>
      <c r="F167" s="84"/>
      <c r="G167" s="84"/>
      <c r="H167" s="53">
        <v>19.491</v>
      </c>
      <c r="I167" s="53">
        <v>17.943000000000001</v>
      </c>
      <c r="J167" s="53">
        <v>18.905000000000001</v>
      </c>
      <c r="K167" s="53">
        <v>20.664000000000001</v>
      </c>
      <c r="L167" s="53">
        <v>20.99</v>
      </c>
      <c r="M167" s="53">
        <v>23.161000000000001</v>
      </c>
      <c r="N167" s="53">
        <v>17.454000000000001</v>
      </c>
      <c r="O167" s="53">
        <v>19.875</v>
      </c>
      <c r="P167" s="53">
        <v>17.68</v>
      </c>
      <c r="Q167" s="53">
        <v>21.791</v>
      </c>
      <c r="R167" s="53">
        <v>29.207000000000001</v>
      </c>
      <c r="S167" s="53">
        <v>33.951000000000001</v>
      </c>
      <c r="T167" s="53">
        <v>36.698</v>
      </c>
      <c r="U167" s="53">
        <v>34.67</v>
      </c>
      <c r="V167" s="53">
        <v>38.725000000000001</v>
      </c>
      <c r="W167" s="53">
        <f>V167</f>
        <v>38.725000000000001</v>
      </c>
      <c r="X167" s="53">
        <f>W167</f>
        <v>38.725000000000001</v>
      </c>
      <c r="Y167" s="64">
        <f>X167</f>
        <v>38.725000000000001</v>
      </c>
      <c r="AY167" s="114" t="s">
        <v>241</v>
      </c>
      <c r="AZ167" s="84"/>
      <c r="BA167" s="81"/>
      <c r="BB167" s="81"/>
      <c r="BC167" s="81"/>
      <c r="BD167" s="81"/>
      <c r="BE167" s="52">
        <v>19.773</v>
      </c>
      <c r="BF167" s="53">
        <v>21.443999999999999</v>
      </c>
      <c r="BG167" s="53">
        <v>24.041</v>
      </c>
      <c r="BH167" s="64">
        <f>+L167</f>
        <v>20.99</v>
      </c>
      <c r="BI167" s="52">
        <v>18.792999999999999</v>
      </c>
      <c r="BJ167" s="53">
        <v>20.437999999999999</v>
      </c>
      <c r="BK167" s="53">
        <v>25.381</v>
      </c>
      <c r="BL167" s="64">
        <f>+M167</f>
        <v>23.161000000000001</v>
      </c>
      <c r="BM167" s="52">
        <v>19.975000000000001</v>
      </c>
      <c r="BN167" s="53">
        <v>17.501999999999999</v>
      </c>
      <c r="BO167" s="53">
        <v>17.760999999999999</v>
      </c>
      <c r="BP167" s="64">
        <f>+N167</f>
        <v>17.454000000000001</v>
      </c>
      <c r="BQ167" s="52">
        <v>16.978999999999999</v>
      </c>
      <c r="BR167" s="53">
        <v>16.664000000000001</v>
      </c>
      <c r="BS167" s="53">
        <v>20.611000000000001</v>
      </c>
      <c r="BT167" s="64">
        <f>O167</f>
        <v>19.875</v>
      </c>
      <c r="BU167" s="52">
        <v>14.752000000000001</v>
      </c>
      <c r="BV167" s="53">
        <v>16.367000000000001</v>
      </c>
      <c r="BW167" s="53">
        <v>19.399999999999999</v>
      </c>
      <c r="BX167" s="64">
        <f>P167</f>
        <v>17.68</v>
      </c>
      <c r="BY167" s="52">
        <v>21.501000000000001</v>
      </c>
      <c r="BZ167" s="9">
        <v>20.959</v>
      </c>
      <c r="CA167" s="9">
        <v>22.742000000000001</v>
      </c>
      <c r="CB167" s="64">
        <f t="shared" si="217"/>
        <v>21.791</v>
      </c>
      <c r="CC167" s="52">
        <v>18.318999999999999</v>
      </c>
      <c r="CD167" s="9">
        <v>22.803000000000001</v>
      </c>
      <c r="CE167" s="9">
        <v>30.474</v>
      </c>
      <c r="CF167" s="64">
        <f t="shared" si="218"/>
        <v>29.207000000000001</v>
      </c>
      <c r="CG167" s="52">
        <v>29.21</v>
      </c>
      <c r="CH167" s="9">
        <v>31.33</v>
      </c>
      <c r="CI167" s="286">
        <v>34.875999999999998</v>
      </c>
      <c r="CJ167" s="64">
        <f>$S167</f>
        <v>33.951000000000001</v>
      </c>
      <c r="CK167" s="52">
        <v>31.302</v>
      </c>
      <c r="CL167" s="9">
        <v>40.07</v>
      </c>
      <c r="CM167" s="286">
        <v>56.493000000000002</v>
      </c>
      <c r="CN167" s="64">
        <f>$T167</f>
        <v>36.698</v>
      </c>
      <c r="CO167" s="52">
        <f>31.754+200</f>
        <v>231.75399999999999</v>
      </c>
      <c r="CP167" s="9">
        <v>34.718000000000004</v>
      </c>
      <c r="CQ167" s="286">
        <v>41.673000000000002</v>
      </c>
      <c r="CR167" s="64">
        <f>$U167</f>
        <v>34.67</v>
      </c>
      <c r="CS167" s="52">
        <v>33.124000000000002</v>
      </c>
      <c r="CT167" s="9">
        <v>38.159999999999997</v>
      </c>
      <c r="CU167" s="286">
        <v>47.95</v>
      </c>
      <c r="CV167" s="64">
        <f>$V167</f>
        <v>38.725000000000001</v>
      </c>
      <c r="CW167" s="53"/>
      <c r="CX167" s="53"/>
      <c r="CY167" s="53"/>
      <c r="CZ167" s="64">
        <f>$W167</f>
        <v>38.725000000000001</v>
      </c>
      <c r="DB167" s="103"/>
      <c r="DC167" s="103"/>
      <c r="DD167" s="103"/>
      <c r="DE167" s="104"/>
      <c r="DF167" s="103"/>
      <c r="DG167" s="103"/>
      <c r="DH167" s="103"/>
      <c r="DI167" s="104"/>
      <c r="DJ167" s="103"/>
      <c r="DK167" s="103"/>
      <c r="DL167" s="103"/>
      <c r="DM167" s="104"/>
      <c r="DN167" s="103"/>
      <c r="DO167" s="103"/>
      <c r="DP167" s="103"/>
      <c r="DQ167" s="104"/>
      <c r="DR167" s="103"/>
      <c r="DS167" s="103"/>
      <c r="DT167" s="103"/>
      <c r="DU167" s="104"/>
      <c r="DV167" s="103"/>
      <c r="DW167" s="103"/>
      <c r="DX167" s="103"/>
      <c r="DY167" s="104"/>
      <c r="DZ167" s="103"/>
      <c r="EA167" s="103"/>
      <c r="EB167" s="103"/>
      <c r="EC167" s="104"/>
      <c r="ED167" s="103"/>
      <c r="EE167" s="103"/>
      <c r="EF167" s="103"/>
      <c r="EG167" s="104"/>
      <c r="EH167" s="103"/>
      <c r="EI167" s="103"/>
      <c r="EJ167" s="103"/>
      <c r="EK167" s="104"/>
      <c r="EL167" s="103"/>
      <c r="EM167" s="103"/>
      <c r="EN167" s="103"/>
      <c r="EO167" s="104"/>
      <c r="EP167" s="103"/>
      <c r="EQ167" s="103"/>
      <c r="ER167" s="103"/>
      <c r="ES167" s="104"/>
    </row>
    <row r="168" spans="2:149" s="402" customFormat="1" ht="13.15">
      <c r="B168" s="401" t="s">
        <v>242</v>
      </c>
      <c r="H168" s="403">
        <f t="shared" ref="H168:X168" si="220">SUM(H164:H167)</f>
        <v>828.17699999999991</v>
      </c>
      <c r="I168" s="403">
        <f t="shared" si="220"/>
        <v>1015.4509999999999</v>
      </c>
      <c r="J168" s="403">
        <f t="shared" si="220"/>
        <v>1021.102</v>
      </c>
      <c r="K168" s="403">
        <f t="shared" si="220"/>
        <v>1157.335</v>
      </c>
      <c r="L168" s="403">
        <f t="shared" si="220"/>
        <v>1181.2650000000001</v>
      </c>
      <c r="M168" s="403">
        <f t="shared" si="220"/>
        <v>1240.1559999999999</v>
      </c>
      <c r="N168" s="403">
        <f t="shared" si="220"/>
        <v>1337.3969999999999</v>
      </c>
      <c r="O168" s="403">
        <f t="shared" si="220"/>
        <v>1441.806</v>
      </c>
      <c r="P168" s="403">
        <f t="shared" si="220"/>
        <v>1546.7299999999998</v>
      </c>
      <c r="Q168" s="403">
        <f t="shared" si="220"/>
        <v>1484.4449999999999</v>
      </c>
      <c r="R168" s="403">
        <f t="shared" si="220"/>
        <v>1961.4000000000003</v>
      </c>
      <c r="S168" s="403">
        <f t="shared" si="220"/>
        <v>2298.739</v>
      </c>
      <c r="T168" s="403">
        <f t="shared" si="220"/>
        <v>2391.931</v>
      </c>
      <c r="U168" s="403">
        <f t="shared" si="220"/>
        <v>3079.9809999999998</v>
      </c>
      <c r="V168" s="403">
        <f t="shared" ref="V168" si="221">SUM(V164:V167)</f>
        <v>2954.5059999999999</v>
      </c>
      <c r="W168" s="403">
        <f t="shared" si="220"/>
        <v>2984.5608900965176</v>
      </c>
      <c r="X168" s="403">
        <f t="shared" si="220"/>
        <v>3021.0982494920581</v>
      </c>
      <c r="Y168" s="404">
        <f t="shared" ref="Y168" si="222">SUM(Y164:Y167)</f>
        <v>3050.0897372120758</v>
      </c>
      <c r="AC168" s="81"/>
      <c r="AD168" s="81"/>
      <c r="AE168" s="81"/>
      <c r="AF168" s="81"/>
      <c r="AG168" s="81"/>
      <c r="AH168" s="81"/>
      <c r="AI168" s="81"/>
      <c r="AJ168" s="81"/>
      <c r="AK168" s="81"/>
      <c r="AL168" s="81"/>
      <c r="AM168" s="81"/>
      <c r="AN168" s="81"/>
      <c r="AO168" s="81"/>
      <c r="AP168" s="81"/>
      <c r="AQ168" s="81"/>
      <c r="AS168" s="81"/>
      <c r="AT168" s="81"/>
      <c r="AU168" s="81"/>
      <c r="AV168" s="81"/>
      <c r="AW168" s="81"/>
      <c r="AY168" s="401" t="s">
        <v>242</v>
      </c>
      <c r="BA168" s="405">
        <v>1139.1659999999999</v>
      </c>
      <c r="BB168" s="405">
        <v>1346.2180000000001</v>
      </c>
      <c r="BC168" s="405">
        <v>1271.336</v>
      </c>
      <c r="BD168" s="405">
        <f>+K168</f>
        <v>1157.335</v>
      </c>
      <c r="BE168" s="406">
        <f t="shared" ref="BE168:BW168" si="223">SUM(BE164:BE167)</f>
        <v>1273.336</v>
      </c>
      <c r="BF168" s="405">
        <f t="shared" si="223"/>
        <v>1441.4099999999999</v>
      </c>
      <c r="BG168" s="405">
        <f t="shared" si="223"/>
        <v>1314.4939999999999</v>
      </c>
      <c r="BH168" s="407">
        <f t="shared" si="223"/>
        <v>1181.2650000000001</v>
      </c>
      <c r="BI168" s="406">
        <f t="shared" si="223"/>
        <v>1261.925</v>
      </c>
      <c r="BJ168" s="405">
        <f t="shared" si="223"/>
        <v>1406.825</v>
      </c>
      <c r="BK168" s="405">
        <f t="shared" si="223"/>
        <v>1349.009</v>
      </c>
      <c r="BL168" s="407">
        <f t="shared" si="223"/>
        <v>1240.1559999999999</v>
      </c>
      <c r="BM168" s="406">
        <f t="shared" si="223"/>
        <v>1300.501</v>
      </c>
      <c r="BN168" s="405">
        <f t="shared" si="223"/>
        <v>1451.741</v>
      </c>
      <c r="BO168" s="405">
        <f t="shared" si="223"/>
        <v>1438.941</v>
      </c>
      <c r="BP168" s="407">
        <f t="shared" si="223"/>
        <v>1337.3969999999999</v>
      </c>
      <c r="BQ168" s="406">
        <f t="shared" si="223"/>
        <v>1371.7239999999999</v>
      </c>
      <c r="BR168" s="405">
        <f t="shared" si="223"/>
        <v>1621.453</v>
      </c>
      <c r="BS168" s="405">
        <f t="shared" si="223"/>
        <v>1501.845</v>
      </c>
      <c r="BT168" s="407">
        <f t="shared" si="223"/>
        <v>1441.806</v>
      </c>
      <c r="BU168" s="406">
        <f t="shared" si="223"/>
        <v>1490.384</v>
      </c>
      <c r="BV168" s="405">
        <f t="shared" si="223"/>
        <v>1695.0939999999998</v>
      </c>
      <c r="BW168" s="405">
        <f t="shared" si="223"/>
        <v>1690.8270000000002</v>
      </c>
      <c r="BX168" s="407">
        <f>SUM(BX164:BX167)</f>
        <v>1546.7299999999998</v>
      </c>
      <c r="BY168" s="406">
        <f>SUM(BY164:BY167)</f>
        <v>1590.3790000000001</v>
      </c>
      <c r="BZ168" s="405">
        <f>SUM(BZ164:BZ167)</f>
        <v>1631.4690000000001</v>
      </c>
      <c r="CA168" s="405">
        <f>SUM(CA164:CA167)</f>
        <v>1644.1189999999999</v>
      </c>
      <c r="CB168" s="407">
        <f t="shared" si="217"/>
        <v>1484.4449999999999</v>
      </c>
      <c r="CC168" s="406">
        <f>SUM(CC164:CC167)</f>
        <v>1695.355</v>
      </c>
      <c r="CD168" s="405">
        <f>SUM(CD164:CD167)</f>
        <v>2022.0620000000001</v>
      </c>
      <c r="CE168" s="405">
        <f>SUM(CE164:CE167)</f>
        <v>1980.8610000000001</v>
      </c>
      <c r="CF168" s="407">
        <f t="shared" si="218"/>
        <v>1961.4000000000003</v>
      </c>
      <c r="CG168" s="406">
        <f>SUM(CG164:CG167)</f>
        <v>2320.1280000000002</v>
      </c>
      <c r="CH168" s="405">
        <f>SUM(CH164:CH167)</f>
        <v>2623.931</v>
      </c>
      <c r="CI168" s="405">
        <f>SUM(CI164:CI167)</f>
        <v>2409.8760000000002</v>
      </c>
      <c r="CJ168" s="407">
        <f>$S168</f>
        <v>2298.739</v>
      </c>
      <c r="CK168" s="406">
        <f>SUM(CK164:CK167)</f>
        <v>2597.8150000000001</v>
      </c>
      <c r="CL168" s="405">
        <f>SUM(CL164:CL167)</f>
        <v>2882.5680000000002</v>
      </c>
      <c r="CM168" s="405">
        <f>SUM(CM164:CM167)</f>
        <v>2730.5719999999997</v>
      </c>
      <c r="CN168" s="407">
        <f>$T168</f>
        <v>2391.931</v>
      </c>
      <c r="CO168" s="406">
        <f>SUM(CO164:CO167)</f>
        <v>2998.3719999999998</v>
      </c>
      <c r="CP168" s="405">
        <f>SUM(CP164:CP167)</f>
        <v>3034.3969999999999</v>
      </c>
      <c r="CQ168" s="405">
        <f>SUM(CQ164:CQ167)</f>
        <v>3132.991</v>
      </c>
      <c r="CR168" s="407">
        <f>$U168</f>
        <v>3079.9809999999998</v>
      </c>
      <c r="CS168" s="405">
        <f>SUM(CS164:CS167)</f>
        <v>3035.3489999999997</v>
      </c>
      <c r="CT168" s="405">
        <f>SUM(CT164:CT167)</f>
        <v>3299.7179999999998</v>
      </c>
      <c r="CU168" s="405">
        <f>SUM(CU164:CU167)</f>
        <v>3115.9669999999996</v>
      </c>
      <c r="CV168" s="407">
        <f>$V168</f>
        <v>2954.5059999999999</v>
      </c>
      <c r="CW168" s="81"/>
      <c r="CX168" s="81"/>
      <c r="CY168" s="81"/>
      <c r="CZ168" s="407">
        <f>$W168</f>
        <v>2984.5608900965176</v>
      </c>
      <c r="DB168" s="408" t="e">
        <f t="shared" ref="DB168:EF168" si="224">BE166/BB166-1</f>
        <v>#DIV/0!</v>
      </c>
      <c r="DC168" s="409" t="e">
        <f t="shared" si="224"/>
        <v>#DIV/0!</v>
      </c>
      <c r="DD168" s="409" t="e">
        <f t="shared" si="224"/>
        <v>#DIV/0!</v>
      </c>
      <c r="DE168" s="410">
        <f t="shared" si="224"/>
        <v>-0.15844171736242219</v>
      </c>
      <c r="DF168" s="408">
        <f t="shared" si="224"/>
        <v>-6.6231646817947465E-2</v>
      </c>
      <c r="DG168" s="409">
        <f t="shared" si="224"/>
        <v>-3.4723330460778579E-3</v>
      </c>
      <c r="DH168" s="409">
        <f t="shared" si="224"/>
        <v>9.7558189050799271E-2</v>
      </c>
      <c r="DI168" s="410">
        <f t="shared" si="224"/>
        <v>-8.1904835938358622E-2</v>
      </c>
      <c r="DJ168" s="408">
        <f t="shared" si="224"/>
        <v>2.8985778018584263E-3</v>
      </c>
      <c r="DK168" s="409">
        <f t="shared" si="224"/>
        <v>4.0953444420711582E-2</v>
      </c>
      <c r="DL168" s="409">
        <f t="shared" si="224"/>
        <v>0.14750858015418733</v>
      </c>
      <c r="DM168" s="410">
        <f t="shared" si="224"/>
        <v>1.3052474700766981E-2</v>
      </c>
      <c r="DN168" s="408">
        <f t="shared" si="224"/>
        <v>5.1958930510173973E-2</v>
      </c>
      <c r="DO168" s="409">
        <f t="shared" si="224"/>
        <v>0.11048322256938437</v>
      </c>
      <c r="DP168" s="409">
        <f t="shared" si="224"/>
        <v>6.5091407750284436E-2</v>
      </c>
      <c r="DQ168" s="410">
        <f t="shared" si="224"/>
        <v>3.3465799034839927E-2</v>
      </c>
      <c r="DR168" s="408">
        <f t="shared" si="224"/>
        <v>2.3757535210138014E-2</v>
      </c>
      <c r="DS168" s="409">
        <f t="shared" si="224"/>
        <v>0.19303364661862754</v>
      </c>
      <c r="DT168" s="409">
        <f t="shared" si="224"/>
        <v>0.15928966742282258</v>
      </c>
      <c r="DU168" s="410">
        <f t="shared" si="224"/>
        <v>3.0376885546752552E-2</v>
      </c>
      <c r="DV168" s="408">
        <f t="shared" si="224"/>
        <v>-2.5407434819732178E-2</v>
      </c>
      <c r="DW168" s="409">
        <f t="shared" si="224"/>
        <v>-0.11963935186377805</v>
      </c>
      <c r="DX168" s="409">
        <f t="shared" si="224"/>
        <v>-3.9241474131882947E-2</v>
      </c>
      <c r="DY168" s="410">
        <f t="shared" si="224"/>
        <v>-0.17131250563472167</v>
      </c>
      <c r="DZ168" s="408">
        <f t="shared" si="224"/>
        <v>0.15482789617588666</v>
      </c>
      <c r="EA168" s="409">
        <f t="shared" si="224"/>
        <v>0.18081100725369148</v>
      </c>
      <c r="EB168" s="409">
        <f t="shared" si="224"/>
        <v>0.33386066025938854</v>
      </c>
      <c r="EC168" s="410">
        <f t="shared" si="224"/>
        <v>0.13056429445962503</v>
      </c>
      <c r="ED168" s="409">
        <f t="shared" si="224"/>
        <v>0.33092796532287716</v>
      </c>
      <c r="EE168" s="409">
        <f t="shared" si="224"/>
        <v>0.4206472426075476</v>
      </c>
      <c r="EF168" s="409">
        <f t="shared" si="224"/>
        <v>0.24180143060900838</v>
      </c>
      <c r="EG168" s="410">
        <f>CJ166/CF166-1</f>
        <v>0.2283380353913913</v>
      </c>
      <c r="EH168" s="409">
        <f t="shared" ref="EH168:ES168" si="225">CK166/CH166-1</f>
        <v>9.0356827571952847E-2</v>
      </c>
      <c r="EI168" s="409">
        <f t="shared" si="225"/>
        <v>0.21954950616918523</v>
      </c>
      <c r="EJ168" s="409">
        <f t="shared" si="225"/>
        <v>0.13105425373292268</v>
      </c>
      <c r="EK168" s="410">
        <f t="shared" si="225"/>
        <v>-0.16540047847542028</v>
      </c>
      <c r="EL168" s="409">
        <f t="shared" si="225"/>
        <v>-1.9933594150034151E-2</v>
      </c>
      <c r="EM168" s="409">
        <f t="shared" si="225"/>
        <v>1.5329022932879077E-2</v>
      </c>
      <c r="EN168" s="409">
        <f t="shared" si="225"/>
        <v>0.18519040829398903</v>
      </c>
      <c r="EO168" s="410">
        <f t="shared" si="225"/>
        <v>-0.16319961827335139</v>
      </c>
      <c r="EP168" s="409">
        <f t="shared" si="225"/>
        <v>0.12875406102080955</v>
      </c>
      <c r="EQ168" s="409">
        <f t="shared" si="225"/>
        <v>0.22297678974244639</v>
      </c>
      <c r="ER168" s="409">
        <f t="shared" si="225"/>
        <v>0.15616022681668462</v>
      </c>
      <c r="ES168" s="410">
        <f t="shared" si="225"/>
        <v>-0.21945565821551827</v>
      </c>
    </row>
    <row r="169" spans="2:149">
      <c r="B169" s="114" t="s">
        <v>206</v>
      </c>
      <c r="H169" s="411"/>
      <c r="I169" s="411"/>
      <c r="J169" s="411"/>
      <c r="K169" s="411"/>
      <c r="L169" s="411"/>
      <c r="M169" s="411" t="s">
        <v>206</v>
      </c>
      <c r="N169" s="411"/>
      <c r="O169" s="411"/>
      <c r="P169" s="411"/>
      <c r="Q169" s="411"/>
      <c r="R169" s="411"/>
      <c r="S169" s="411"/>
      <c r="T169" s="411"/>
      <c r="U169" s="411"/>
      <c r="V169" s="411"/>
      <c r="W169" s="411"/>
      <c r="X169" s="411"/>
      <c r="Y169" s="412"/>
      <c r="AY169" s="114" t="s">
        <v>206</v>
      </c>
      <c r="BA169" s="309"/>
      <c r="BB169" s="309"/>
      <c r="BC169" s="309"/>
      <c r="BD169" s="49"/>
      <c r="BE169" s="413"/>
      <c r="BF169" s="411"/>
      <c r="BG169" s="411"/>
      <c r="BH169" s="412"/>
      <c r="BI169" s="413"/>
      <c r="BJ169" s="411"/>
      <c r="BK169" s="411"/>
      <c r="BL169" s="412"/>
      <c r="BM169" s="413"/>
      <c r="BN169" s="411"/>
      <c r="BO169" s="411"/>
      <c r="BP169" s="412"/>
      <c r="BQ169" s="413"/>
      <c r="BR169" s="411"/>
      <c r="BS169" s="411"/>
      <c r="BT169" s="412"/>
      <c r="BU169" s="413"/>
      <c r="BV169" s="411"/>
      <c r="BW169" s="411"/>
      <c r="BX169" s="412"/>
      <c r="BY169" s="413"/>
      <c r="BZ169" s="309"/>
      <c r="CA169" s="309"/>
      <c r="CB169" s="412"/>
      <c r="CC169" s="413"/>
      <c r="CD169" s="309"/>
      <c r="CE169" s="309"/>
      <c r="CF169" s="412"/>
      <c r="CG169" s="413"/>
      <c r="CH169" s="309"/>
      <c r="CJ169" s="412"/>
      <c r="CK169" s="413"/>
      <c r="CL169" s="309"/>
      <c r="CN169" s="412"/>
      <c r="CO169" s="119"/>
      <c r="CR169" s="412"/>
      <c r="CV169" s="412"/>
      <c r="CW169" s="411"/>
      <c r="CX169" s="411"/>
      <c r="CY169" s="411"/>
      <c r="CZ169" s="412"/>
      <c r="DB169" s="414">
        <f t="shared" ref="DB169:ES169" si="226">BE166/SUM(BB6:BE6)</f>
        <v>0.2006683130607696</v>
      </c>
      <c r="DC169" s="414">
        <f t="shared" si="226"/>
        <v>0.19757791225303811</v>
      </c>
      <c r="DD169" s="414">
        <f t="shared" si="226"/>
        <v>0.18401991087095376</v>
      </c>
      <c r="DE169" s="415">
        <f t="shared" si="226"/>
        <v>0.16385310943516776</v>
      </c>
      <c r="DF169" s="414">
        <f t="shared" si="226"/>
        <v>0.17954222294198485</v>
      </c>
      <c r="DG169" s="414">
        <f t="shared" si="226"/>
        <v>0.18070642901188347</v>
      </c>
      <c r="DH169" s="414">
        <f t="shared" si="226"/>
        <v>0.17566714249447923</v>
      </c>
      <c r="DI169" s="415">
        <f t="shared" si="226"/>
        <v>0.16229788314834828</v>
      </c>
      <c r="DJ169" s="414">
        <f t="shared" si="226"/>
        <v>0.17718436930682585</v>
      </c>
      <c r="DK169" s="414">
        <f t="shared" si="226"/>
        <v>0.1789534500525464</v>
      </c>
      <c r="DL169" s="414">
        <f t="shared" si="226"/>
        <v>0.18317770163783226</v>
      </c>
      <c r="DM169" s="415">
        <f t="shared" si="226"/>
        <v>0.17533898900380127</v>
      </c>
      <c r="DN169" s="414">
        <f t="shared" si="226"/>
        <v>0.18424487829576541</v>
      </c>
      <c r="DO169" s="414">
        <f t="shared" si="226"/>
        <v>0.19601433198540577</v>
      </c>
      <c r="DP169" s="414">
        <f t="shared" si="226"/>
        <v>0.17940881550696597</v>
      </c>
      <c r="DQ169" s="415">
        <f t="shared" si="226"/>
        <v>0.18411983496431331</v>
      </c>
      <c r="DR169" s="414">
        <f t="shared" si="226"/>
        <v>0.19634596649700287</v>
      </c>
      <c r="DS169" s="414">
        <f t="shared" si="226"/>
        <v>0.21073987057956001</v>
      </c>
      <c r="DT169" s="414">
        <f t="shared" si="226"/>
        <v>0.20695197417650507</v>
      </c>
      <c r="DU169" s="415">
        <f t="shared" si="226"/>
        <v>0.19302224862599524</v>
      </c>
      <c r="DV169" s="414">
        <f t="shared" si="226"/>
        <v>0.19450553304560947</v>
      </c>
      <c r="DW169" s="414">
        <f t="shared" si="226"/>
        <v>0.17685955306099174</v>
      </c>
      <c r="DX169" s="414">
        <f t="shared" si="226"/>
        <v>0.17790813403325914</v>
      </c>
      <c r="DY169" s="415">
        <f t="shared" si="226"/>
        <v>0.15456184539126966</v>
      </c>
      <c r="DZ169" s="414">
        <f t="shared" si="226"/>
        <v>0.19036637860344327</v>
      </c>
      <c r="EA169" s="414">
        <f t="shared" si="226"/>
        <v>0.18400234624974349</v>
      </c>
      <c r="EB169" s="414">
        <f t="shared" si="226"/>
        <v>0.17594739730911965</v>
      </c>
      <c r="EC169" s="415">
        <f t="shared" si="226"/>
        <v>0.17761702189996742</v>
      </c>
      <c r="ED169" s="414">
        <f t="shared" si="226"/>
        <v>0.208514131828274</v>
      </c>
      <c r="EE169" s="414">
        <f t="shared" si="226"/>
        <v>0.21297041511364245</v>
      </c>
      <c r="EF169" s="414">
        <f t="shared" si="226"/>
        <v>0.19225450264580665</v>
      </c>
      <c r="EG169" s="415">
        <f t="shared" si="226"/>
        <v>0.18835691575762709</v>
      </c>
      <c r="EH169" s="414">
        <f t="shared" si="226"/>
        <v>0.22109330862579377</v>
      </c>
      <c r="EI169" s="414">
        <f t="shared" si="226"/>
        <v>0.23558350430582936</v>
      </c>
      <c r="EJ169" s="414">
        <f t="shared" si="226"/>
        <v>0.21341010408861835</v>
      </c>
      <c r="EK169" s="415">
        <f t="shared" si="226"/>
        <v>0.18497145776354459</v>
      </c>
      <c r="EL169" s="414">
        <f t="shared" si="226"/>
        <v>0.22685783195857231</v>
      </c>
      <c r="EM169" s="414">
        <f t="shared" si="226"/>
        <v>0.21165181513246401</v>
      </c>
      <c r="EN169" s="414">
        <f t="shared" si="226"/>
        <v>0.21383098504034523</v>
      </c>
      <c r="EO169" s="415">
        <f t="shared" si="226"/>
        <v>0.18185591384553834</v>
      </c>
      <c r="EP169" s="414">
        <f t="shared" si="226"/>
        <v>0.23417636067238964</v>
      </c>
      <c r="EQ169" s="414">
        <f t="shared" si="226"/>
        <v>0.26011791367755505</v>
      </c>
      <c r="ER169" s="414">
        <f t="shared" si="226"/>
        <v>0.21603440288246201</v>
      </c>
      <c r="ES169" s="415">
        <f t="shared" si="226"/>
        <v>0.1914990282196182</v>
      </c>
    </row>
    <row r="170" spans="2:149">
      <c r="B170" s="114" t="s">
        <v>243</v>
      </c>
      <c r="H170" s="53">
        <v>39.454999999999998</v>
      </c>
      <c r="I170" s="53">
        <v>42.841999999999999</v>
      </c>
      <c r="J170" s="53">
        <v>45.417999999999999</v>
      </c>
      <c r="K170" s="53">
        <v>53.48</v>
      </c>
      <c r="L170" s="53">
        <v>62.715000000000003</v>
      </c>
      <c r="M170" s="53">
        <v>90.501999999999995</v>
      </c>
      <c r="N170" s="53">
        <v>91.197999999999993</v>
      </c>
      <c r="O170" s="53">
        <v>91.046000000000006</v>
      </c>
      <c r="P170" s="53">
        <v>98.522999999999996</v>
      </c>
      <c r="Q170" s="53">
        <v>98.224999999999994</v>
      </c>
      <c r="R170" s="53">
        <v>111.01900000000001</v>
      </c>
      <c r="S170" s="53">
        <v>125.42400000000001</v>
      </c>
      <c r="T170" s="53">
        <v>136.22999999999999</v>
      </c>
      <c r="U170" s="53">
        <v>140.535</v>
      </c>
      <c r="V170" s="53">
        <v>136.012</v>
      </c>
      <c r="W170" s="53">
        <f>+W239</f>
        <v>123.07574999999997</v>
      </c>
      <c r="X170" s="53">
        <f t="shared" ref="X170:Y170" si="227">+X239</f>
        <v>106.98949999999996</v>
      </c>
      <c r="Y170" s="64">
        <f t="shared" si="227"/>
        <v>87.75324999999998</v>
      </c>
      <c r="AY170" s="114" t="s">
        <v>243</v>
      </c>
      <c r="BE170" s="52">
        <v>53.115000000000002</v>
      </c>
      <c r="BF170" s="53">
        <v>60.988999999999997</v>
      </c>
      <c r="BG170" s="53">
        <v>63.296999999999997</v>
      </c>
      <c r="BH170" s="64">
        <f>+L170</f>
        <v>62.715000000000003</v>
      </c>
      <c r="BI170" s="52">
        <v>61.866</v>
      </c>
      <c r="BJ170" s="53">
        <v>60.311</v>
      </c>
      <c r="BK170" s="53">
        <v>59.728999999999999</v>
      </c>
      <c r="BL170" s="64">
        <f>+M170</f>
        <v>90.501999999999995</v>
      </c>
      <c r="BM170" s="52">
        <v>90.531999999999996</v>
      </c>
      <c r="BN170" s="53">
        <v>92.254999999999995</v>
      </c>
      <c r="BO170" s="53">
        <v>91.483000000000004</v>
      </c>
      <c r="BP170" s="64">
        <f>+N170</f>
        <v>91.197999999999993</v>
      </c>
      <c r="BQ170" s="52">
        <v>90.238</v>
      </c>
      <c r="BR170" s="53">
        <v>91.311999999999998</v>
      </c>
      <c r="BS170" s="53">
        <v>91.275000000000006</v>
      </c>
      <c r="BT170" s="64">
        <f>O170</f>
        <v>91.046000000000006</v>
      </c>
      <c r="BU170" s="52">
        <v>91.025999999999996</v>
      </c>
      <c r="BV170" s="53">
        <v>95.585999999999999</v>
      </c>
      <c r="BW170" s="53">
        <v>97.926000000000002</v>
      </c>
      <c r="BX170" s="64">
        <f>P170</f>
        <v>98.522999999999996</v>
      </c>
      <c r="BY170" s="52">
        <v>97.442999999999998</v>
      </c>
      <c r="BZ170" s="53">
        <v>97.143000000000001</v>
      </c>
      <c r="CA170" s="53">
        <v>97.66</v>
      </c>
      <c r="CB170" s="64">
        <f t="shared" si="217"/>
        <v>98.224999999999994</v>
      </c>
      <c r="CC170" s="52">
        <v>100.378</v>
      </c>
      <c r="CD170" s="53">
        <v>104.967</v>
      </c>
      <c r="CE170" s="53">
        <v>105.842</v>
      </c>
      <c r="CF170" s="64">
        <f t="shared" si="218"/>
        <v>111.01900000000001</v>
      </c>
      <c r="CG170" s="52">
        <v>115.38500000000001</v>
      </c>
      <c r="CH170" s="53">
        <f>119.525+298.223</f>
        <v>417.74800000000005</v>
      </c>
      <c r="CI170" s="53">
        <f>121.678+312.397</f>
        <v>434.07499999999999</v>
      </c>
      <c r="CJ170" s="64">
        <f>$S170</f>
        <v>125.42400000000001</v>
      </c>
      <c r="CK170" s="52">
        <v>126.58199999999999</v>
      </c>
      <c r="CL170" s="53">
        <f>128.065+334.376</f>
        <v>462.44099999999997</v>
      </c>
      <c r="CM170" s="53">
        <f>134.076+362.901</f>
        <v>496.97699999999998</v>
      </c>
      <c r="CN170" s="64">
        <f>$T170</f>
        <v>136.22999999999999</v>
      </c>
      <c r="CO170" s="52">
        <v>138.48599999999999</v>
      </c>
      <c r="CP170" s="53">
        <v>138.30099999999999</v>
      </c>
      <c r="CQ170" s="53">
        <v>140.31700000000001</v>
      </c>
      <c r="CR170" s="64">
        <f>$U170</f>
        <v>140.535</v>
      </c>
      <c r="CS170" s="53">
        <v>138.113</v>
      </c>
      <c r="CT170" s="53">
        <v>137.25700000000001</v>
      </c>
      <c r="CU170" s="53">
        <v>135.44999999999999</v>
      </c>
      <c r="CV170" s="64">
        <f>$V170</f>
        <v>136.012</v>
      </c>
      <c r="CW170" s="53"/>
      <c r="CX170" s="53"/>
      <c r="CY170" s="53"/>
      <c r="CZ170" s="64">
        <f>$W170</f>
        <v>123.07574999999997</v>
      </c>
    </row>
    <row r="171" spans="2:149">
      <c r="B171" s="114" t="s">
        <v>244</v>
      </c>
      <c r="H171" s="53">
        <v>319.44</v>
      </c>
      <c r="I171" s="53">
        <v>397.262</v>
      </c>
      <c r="J171" s="53">
        <v>392.61</v>
      </c>
      <c r="K171" s="53">
        <v>387.31099999999998</v>
      </c>
      <c r="L171" s="53">
        <v>378.31</v>
      </c>
      <c r="M171" s="53">
        <v>379.73700000000002</v>
      </c>
      <c r="N171" s="53">
        <v>382.72899999999998</v>
      </c>
      <c r="O171" s="53">
        <v>391.99799999999999</v>
      </c>
      <c r="P171" s="53">
        <v>411.21699999999998</v>
      </c>
      <c r="Q171" s="53">
        <v>412.48599999999999</v>
      </c>
      <c r="R171" s="53">
        <v>434.01900000000001</v>
      </c>
      <c r="S171" s="53">
        <v>430.71100000000001</v>
      </c>
      <c r="T171" s="53">
        <v>457.14800000000002</v>
      </c>
      <c r="U171" s="53">
        <v>451.858</v>
      </c>
      <c r="V171" s="53">
        <v>452.54700000000003</v>
      </c>
      <c r="W171" s="53">
        <f>V171</f>
        <v>452.54700000000003</v>
      </c>
      <c r="X171" s="53">
        <f t="shared" ref="W171:Y173" si="228">W171</f>
        <v>452.54700000000003</v>
      </c>
      <c r="Y171" s="64">
        <f t="shared" si="228"/>
        <v>452.54700000000003</v>
      </c>
      <c r="AY171" s="114" t="s">
        <v>244</v>
      </c>
      <c r="BE171" s="52">
        <v>382.53399999999999</v>
      </c>
      <c r="BF171" s="53">
        <v>383.27199999999999</v>
      </c>
      <c r="BG171" s="53">
        <v>379.98500000000001</v>
      </c>
      <c r="BH171" s="64">
        <f>+L171</f>
        <v>378.31</v>
      </c>
      <c r="BI171" s="52">
        <v>381.238</v>
      </c>
      <c r="BJ171" s="53">
        <v>381.49599999999998</v>
      </c>
      <c r="BK171" s="53">
        <v>380.786</v>
      </c>
      <c r="BL171" s="64">
        <f>+M171</f>
        <v>379.73700000000002</v>
      </c>
      <c r="BM171" s="52">
        <v>380.166</v>
      </c>
      <c r="BN171" s="53">
        <v>381.22300000000001</v>
      </c>
      <c r="BO171" s="53">
        <v>382.96899999999999</v>
      </c>
      <c r="BP171" s="64">
        <f>+N171</f>
        <v>382.72899999999998</v>
      </c>
      <c r="BQ171" s="52">
        <v>381.553</v>
      </c>
      <c r="BR171" s="53">
        <v>380.69</v>
      </c>
      <c r="BS171" s="53">
        <f>637.628-BS172-BS173</f>
        <v>397.45100000000002</v>
      </c>
      <c r="BT171" s="64">
        <f>O171</f>
        <v>391.99799999999999</v>
      </c>
      <c r="BU171" s="52">
        <v>411.21699999999998</v>
      </c>
      <c r="BV171" s="53">
        <v>651.22400000000005</v>
      </c>
      <c r="BW171" s="53">
        <f>407.009+100.621</f>
        <v>507.63</v>
      </c>
      <c r="BX171" s="64">
        <f>P171</f>
        <v>411.21699999999998</v>
      </c>
      <c r="BY171" s="52">
        <v>406.99799999999999</v>
      </c>
      <c r="BZ171" s="53">
        <v>408.77199999999999</v>
      </c>
      <c r="CA171" s="53">
        <v>409.78300000000002</v>
      </c>
      <c r="CB171" s="64">
        <f t="shared" si="217"/>
        <v>412.48599999999999</v>
      </c>
      <c r="CC171" s="52">
        <v>692.928</v>
      </c>
      <c r="CD171" s="53">
        <v>740.97299999999996</v>
      </c>
      <c r="CE171" s="53">
        <v>741.25300000000004</v>
      </c>
      <c r="CF171" s="64">
        <f t="shared" si="218"/>
        <v>434.01900000000001</v>
      </c>
      <c r="CG171" s="52">
        <v>288.66000000000003</v>
      </c>
      <c r="CH171" s="53">
        <v>432.77699999999999</v>
      </c>
      <c r="CI171" s="53">
        <v>430.23099999999999</v>
      </c>
      <c r="CJ171" s="64">
        <f>$S171</f>
        <v>430.71100000000001</v>
      </c>
      <c r="CK171" s="52">
        <v>325.87799999999999</v>
      </c>
      <c r="CL171" s="53">
        <v>431.59199999999998</v>
      </c>
      <c r="CM171" s="53">
        <v>491.52199999999999</v>
      </c>
      <c r="CN171" s="64">
        <f>$T171</f>
        <v>457.14800000000002</v>
      </c>
      <c r="CO171" s="52">
        <v>459.44</v>
      </c>
      <c r="CP171" s="53">
        <v>458.35300000000001</v>
      </c>
      <c r="CQ171" s="53">
        <v>401</v>
      </c>
      <c r="CR171" s="64">
        <f>$U171</f>
        <v>451.858</v>
      </c>
      <c r="CS171" s="53">
        <v>848.19899999999996</v>
      </c>
      <c r="CT171" s="53">
        <v>866.59799999999996</v>
      </c>
      <c r="CU171" s="53">
        <v>872.89800000000002</v>
      </c>
      <c r="CV171" s="64">
        <f>$V171</f>
        <v>452.54700000000003</v>
      </c>
      <c r="CW171" s="53"/>
      <c r="CX171" s="53"/>
      <c r="CY171" s="53"/>
      <c r="CZ171" s="64">
        <f>$W171</f>
        <v>452.54700000000003</v>
      </c>
    </row>
    <row r="172" spans="2:149">
      <c r="B172" s="114" t="s">
        <v>245</v>
      </c>
      <c r="H172" s="53">
        <v>75.366</v>
      </c>
      <c r="I172" s="53">
        <v>219.501</v>
      </c>
      <c r="J172" s="53">
        <v>203.84299999999999</v>
      </c>
      <c r="K172" s="53">
        <v>186.476</v>
      </c>
      <c r="L172" s="53">
        <v>160.48099999999999</v>
      </c>
      <c r="M172" s="53">
        <v>158.56399999999999</v>
      </c>
      <c r="N172" s="53">
        <v>161.065</v>
      </c>
      <c r="O172" s="53">
        <v>147.851</v>
      </c>
      <c r="P172" s="53">
        <v>172.00399999999999</v>
      </c>
      <c r="Q172" s="53">
        <v>169.929</v>
      </c>
      <c r="R172" s="53">
        <v>186.89599999999999</v>
      </c>
      <c r="S172" s="53">
        <v>175.191</v>
      </c>
      <c r="T172" s="53">
        <v>218.14599999999999</v>
      </c>
      <c r="U172" s="53">
        <v>208.47200000000001</v>
      </c>
      <c r="V172" s="118">
        <f>U172</f>
        <v>208.47200000000001</v>
      </c>
      <c r="W172" s="53">
        <f t="shared" si="228"/>
        <v>208.47200000000001</v>
      </c>
      <c r="X172" s="53">
        <f t="shared" si="228"/>
        <v>208.47200000000001</v>
      </c>
      <c r="Y172" s="64">
        <f t="shared" si="228"/>
        <v>208.47200000000001</v>
      </c>
      <c r="AY172" s="114" t="s">
        <v>245</v>
      </c>
      <c r="BE172" s="52">
        <v>174.37899999999999</v>
      </c>
      <c r="BF172" s="53">
        <v>174.672</v>
      </c>
      <c r="BG172" s="53">
        <v>165.75299999999999</v>
      </c>
      <c r="BH172" s="64">
        <f>+L172</f>
        <v>160.48099999999999</v>
      </c>
      <c r="BI172" s="52">
        <v>166.24</v>
      </c>
      <c r="BJ172" s="53">
        <v>165.53700000000001</v>
      </c>
      <c r="BK172" s="53">
        <v>162.47200000000001</v>
      </c>
      <c r="BL172" s="64">
        <f>+M172</f>
        <v>158.56399999999999</v>
      </c>
      <c r="BM172" s="52">
        <v>158.322</v>
      </c>
      <c r="BN172" s="53">
        <v>159.803</v>
      </c>
      <c r="BO172" s="53">
        <v>163.01300000000001</v>
      </c>
      <c r="BP172" s="64">
        <f>+N172</f>
        <v>161.065</v>
      </c>
      <c r="BQ172" s="52">
        <v>156.53</v>
      </c>
      <c r="BR172" s="53">
        <v>152.81700000000001</v>
      </c>
      <c r="BS172" s="53">
        <v>153.446</v>
      </c>
      <c r="BT172" s="64">
        <f>O172</f>
        <v>147.851</v>
      </c>
      <c r="BU172" s="52">
        <v>172.00399999999999</v>
      </c>
      <c r="BV172" s="53"/>
      <c r="BW172" s="53">
        <v>171.31</v>
      </c>
      <c r="BX172" s="64">
        <f>P172</f>
        <v>172.00399999999999</v>
      </c>
      <c r="BY172" s="52">
        <v>160.73599999999999</v>
      </c>
      <c r="BZ172" s="53">
        <v>163.63800000000001</v>
      </c>
      <c r="CA172" s="53">
        <v>164.55099999999999</v>
      </c>
      <c r="CB172" s="64">
        <f t="shared" si="217"/>
        <v>169.929</v>
      </c>
      <c r="CC172" s="52"/>
      <c r="CD172" s="53"/>
      <c r="CE172" s="53"/>
      <c r="CF172" s="64">
        <f t="shared" si="218"/>
        <v>186.89599999999999</v>
      </c>
      <c r="CG172" s="52"/>
      <c r="CH172" s="53">
        <v>183.13300000000001</v>
      </c>
      <c r="CI172" s="53">
        <v>174.97800000000001</v>
      </c>
      <c r="CJ172" s="64">
        <f>$S172</f>
        <v>175.191</v>
      </c>
      <c r="CK172" s="52"/>
      <c r="CL172" s="53">
        <v>175.76599999999999</v>
      </c>
      <c r="CM172" s="53">
        <v>172.47300000000001</v>
      </c>
      <c r="CN172" s="64">
        <f>$T172</f>
        <v>218.14599999999999</v>
      </c>
      <c r="CO172" s="52">
        <v>214.05500000000001</v>
      </c>
      <c r="CP172" s="53">
        <v>211.58600000000001</v>
      </c>
      <c r="CQ172" s="53"/>
      <c r="CR172" s="64">
        <f>$U172</f>
        <v>208.47200000000001</v>
      </c>
      <c r="CS172" s="53"/>
      <c r="CT172" s="53"/>
      <c r="CU172" s="53"/>
      <c r="CV172" s="64">
        <f>$V172</f>
        <v>208.47200000000001</v>
      </c>
      <c r="CW172" s="53"/>
      <c r="CX172" s="53"/>
      <c r="CY172" s="53"/>
      <c r="CZ172" s="64">
        <f>$W172</f>
        <v>208.47200000000001</v>
      </c>
    </row>
    <row r="173" spans="2:149">
      <c r="B173" s="114" t="s">
        <v>246</v>
      </c>
      <c r="H173" s="53">
        <v>5.71</v>
      </c>
      <c r="I173" s="53">
        <v>6.9989999999999997</v>
      </c>
      <c r="J173" s="53">
        <v>6.5579999999999998</v>
      </c>
      <c r="K173" s="53">
        <v>6.4649999999999999</v>
      </c>
      <c r="L173" s="53">
        <v>5.6710000000000003</v>
      </c>
      <c r="M173" s="53">
        <v>5.69</v>
      </c>
      <c r="N173" s="53">
        <v>74.488</v>
      </c>
      <c r="O173" s="53">
        <v>88.331999999999994</v>
      </c>
      <c r="P173" s="53">
        <f>223.369+94.833+9.485</f>
        <v>327.68700000000001</v>
      </c>
      <c r="Q173" s="53">
        <f>209.169+97.847+12.246</f>
        <v>319.262</v>
      </c>
      <c r="R173" s="53">
        <f>268.528+114.808+9.191</f>
        <v>392.52699999999999</v>
      </c>
      <c r="S173" s="53">
        <f>132.802+8.033+317.314</f>
        <v>458.149</v>
      </c>
      <c r="T173" s="53">
        <f>368.748+146.238+10.741</f>
        <v>525.72699999999998</v>
      </c>
      <c r="U173" s="103">
        <f>419.138+168.611+10.928</f>
        <v>598.67700000000002</v>
      </c>
      <c r="V173" s="103">
        <f>871.74-V172</f>
        <v>663.26800000000003</v>
      </c>
      <c r="W173" s="103">
        <f t="shared" si="228"/>
        <v>663.26800000000003</v>
      </c>
      <c r="X173" s="103">
        <f t="shared" si="228"/>
        <v>663.26800000000003</v>
      </c>
      <c r="Y173" s="104">
        <f t="shared" si="228"/>
        <v>663.26800000000003</v>
      </c>
      <c r="AY173" s="114" t="s">
        <v>246</v>
      </c>
      <c r="BE173" s="52">
        <v>6.141</v>
      </c>
      <c r="BF173" s="53">
        <v>6.2119999999999997</v>
      </c>
      <c r="BG173" s="53">
        <v>5.93</v>
      </c>
      <c r="BH173" s="64">
        <f>+L173</f>
        <v>5.6710000000000003</v>
      </c>
      <c r="BI173" s="52">
        <v>5.6210000000000004</v>
      </c>
      <c r="BJ173" s="53">
        <v>5.4219999999999997</v>
      </c>
      <c r="BK173" s="53">
        <v>5.601</v>
      </c>
      <c r="BL173" s="64">
        <f>+M173</f>
        <v>5.69</v>
      </c>
      <c r="BM173" s="52">
        <v>5.758</v>
      </c>
      <c r="BN173" s="53">
        <v>69.396000000000001</v>
      </c>
      <c r="BO173" s="53">
        <v>71.813000000000002</v>
      </c>
      <c r="BP173" s="64">
        <f>+N173</f>
        <v>74.488</v>
      </c>
      <c r="BQ173" s="52">
        <v>76.233000000000004</v>
      </c>
      <c r="BR173" s="53">
        <v>79.347999999999999</v>
      </c>
      <c r="BS173" s="53">
        <v>86.730999999999995</v>
      </c>
      <c r="BT173" s="64">
        <f>O173</f>
        <v>88.331999999999994</v>
      </c>
      <c r="BU173" s="52">
        <v>185.476</v>
      </c>
      <c r="BV173" s="53">
        <v>190.53</v>
      </c>
      <c r="BW173" s="53">
        <v>225.36600000000001</v>
      </c>
      <c r="BX173" s="64">
        <f>P173</f>
        <v>327.68700000000001</v>
      </c>
      <c r="BY173" s="52">
        <f>221.285+95.847+9.141</f>
        <v>326.27300000000002</v>
      </c>
      <c r="BZ173" s="53">
        <f>99.95+9.211+226.544</f>
        <v>335.70500000000004</v>
      </c>
      <c r="CA173" s="53">
        <f>218.884+103.355+9.333</f>
        <v>331.572</v>
      </c>
      <c r="CB173" s="64">
        <f t="shared" si="217"/>
        <v>319.262</v>
      </c>
      <c r="CC173" s="52">
        <v>203.60300000000001</v>
      </c>
      <c r="CD173" s="53">
        <v>263.68200000000002</v>
      </c>
      <c r="CE173" s="53">
        <v>262.96499999999997</v>
      </c>
      <c r="CF173" s="64">
        <f t="shared" si="218"/>
        <v>392.52699999999999</v>
      </c>
      <c r="CG173" s="52">
        <v>749.71600000000001</v>
      </c>
      <c r="CH173" s="53">
        <f>122.831+8.172</f>
        <v>131.00300000000001</v>
      </c>
      <c r="CI173" s="53">
        <f>127.42+8.007</f>
        <v>135.42699999999999</v>
      </c>
      <c r="CJ173" s="64">
        <f>$S173</f>
        <v>458.149</v>
      </c>
      <c r="CK173" s="52">
        <v>750.33699999999999</v>
      </c>
      <c r="CL173" s="53">
        <f>141.082+9.562</f>
        <v>150.64400000000001</v>
      </c>
      <c r="CM173" s="53">
        <f>137.596+9.927</f>
        <v>147.523</v>
      </c>
      <c r="CN173" s="64">
        <f>$T173</f>
        <v>525.72699999999998</v>
      </c>
      <c r="CO173" s="52">
        <f>151.698+11.633+383.434</f>
        <v>546.7650000000001</v>
      </c>
      <c r="CP173" s="53">
        <f>10.985+156.886+384.816</f>
        <v>552.6869999999999</v>
      </c>
      <c r="CQ173" s="53">
        <v>843.16700000000003</v>
      </c>
      <c r="CR173" s="64">
        <f>$U173</f>
        <v>598.67700000000002</v>
      </c>
      <c r="CS173" s="53">
        <v>432.69200000000001</v>
      </c>
      <c r="CT173" s="53">
        <v>425.94</v>
      </c>
      <c r="CU173" s="53">
        <v>430.38499999999999</v>
      </c>
      <c r="CV173" s="64">
        <f>$V173</f>
        <v>663.26800000000003</v>
      </c>
      <c r="CW173" s="53"/>
      <c r="CX173" s="53"/>
      <c r="CY173" s="53"/>
      <c r="CZ173" s="64">
        <f>$W173</f>
        <v>663.26800000000003</v>
      </c>
    </row>
    <row r="174" spans="2:149" s="402" customFormat="1" ht="13.15">
      <c r="B174" s="401" t="s">
        <v>247</v>
      </c>
      <c r="H174" s="403">
        <f t="shared" ref="H174:M174" si="229">SUM(H168:H173)</f>
        <v>1268.1479999999999</v>
      </c>
      <c r="I174" s="403">
        <f t="shared" si="229"/>
        <v>1682.0549999999998</v>
      </c>
      <c r="J174" s="403">
        <f t="shared" si="229"/>
        <v>1669.5310000000002</v>
      </c>
      <c r="K174" s="403">
        <f t="shared" si="229"/>
        <v>1791.0669999999998</v>
      </c>
      <c r="L174" s="403">
        <f t="shared" si="229"/>
        <v>1788.442</v>
      </c>
      <c r="M174" s="403">
        <f t="shared" si="229"/>
        <v>1874.6490000000001</v>
      </c>
      <c r="N174" s="403">
        <f t="shared" ref="N174:Y174" si="230">SUM(N168:N173)</f>
        <v>2046.8770000000002</v>
      </c>
      <c r="O174" s="403">
        <f t="shared" si="230"/>
        <v>2161.0329999999999</v>
      </c>
      <c r="P174" s="403">
        <f t="shared" si="230"/>
        <v>2556.1609999999996</v>
      </c>
      <c r="Q174" s="403">
        <f t="shared" si="230"/>
        <v>2484.3470000000002</v>
      </c>
      <c r="R174" s="403">
        <f t="shared" si="230"/>
        <v>3085.8610000000003</v>
      </c>
      <c r="S174" s="403">
        <f t="shared" si="230"/>
        <v>3488.2139999999995</v>
      </c>
      <c r="T174" s="403">
        <f t="shared" si="230"/>
        <v>3729.1820000000002</v>
      </c>
      <c r="U174" s="403">
        <f t="shared" si="230"/>
        <v>4479.5230000000001</v>
      </c>
      <c r="V174" s="403">
        <f t="shared" si="230"/>
        <v>4414.8050000000003</v>
      </c>
      <c r="W174" s="403">
        <f>SUM(W168:W173)</f>
        <v>4431.9236400965183</v>
      </c>
      <c r="X174" s="403">
        <f t="shared" si="230"/>
        <v>4452.374749492059</v>
      </c>
      <c r="Y174" s="404">
        <f t="shared" si="230"/>
        <v>4462.1299872120762</v>
      </c>
      <c r="AC174" s="81"/>
      <c r="AD174" s="81"/>
      <c r="AE174" s="81"/>
      <c r="AF174" s="81"/>
      <c r="AG174" s="81"/>
      <c r="AH174" s="81"/>
      <c r="AI174" s="81"/>
      <c r="AJ174" s="81"/>
      <c r="AK174" s="81"/>
      <c r="AL174" s="81"/>
      <c r="AM174" s="81"/>
      <c r="AN174" s="81"/>
      <c r="AO174" s="81"/>
      <c r="AP174" s="81"/>
      <c r="AQ174" s="81"/>
      <c r="AS174" s="81"/>
      <c r="AT174" s="81"/>
      <c r="AU174" s="81"/>
      <c r="AV174" s="81"/>
      <c r="AW174" s="81"/>
      <c r="AY174" s="401" t="s">
        <v>247</v>
      </c>
      <c r="BA174" s="405">
        <v>1776.856</v>
      </c>
      <c r="BB174" s="405">
        <v>1990.8389999999999</v>
      </c>
      <c r="BC174" s="405">
        <v>1904.9880000000001</v>
      </c>
      <c r="BD174" s="405">
        <f>+K174</f>
        <v>1791.0669999999998</v>
      </c>
      <c r="BE174" s="406">
        <f t="shared" ref="BE174:BW174" si="231">SUM(BE168:BE173)</f>
        <v>1889.5050000000001</v>
      </c>
      <c r="BF174" s="405">
        <f t="shared" si="231"/>
        <v>2066.5549999999998</v>
      </c>
      <c r="BG174" s="405">
        <f t="shared" si="231"/>
        <v>1929.4589999999998</v>
      </c>
      <c r="BH174" s="407">
        <f t="shared" si="231"/>
        <v>1788.442</v>
      </c>
      <c r="BI174" s="406">
        <f t="shared" si="231"/>
        <v>1876.89</v>
      </c>
      <c r="BJ174" s="405">
        <f t="shared" si="231"/>
        <v>2019.5910000000001</v>
      </c>
      <c r="BK174" s="405">
        <f t="shared" si="231"/>
        <v>1957.5970000000002</v>
      </c>
      <c r="BL174" s="407">
        <f t="shared" si="231"/>
        <v>1874.6490000000001</v>
      </c>
      <c r="BM174" s="406">
        <f t="shared" si="231"/>
        <v>1935.2789999999998</v>
      </c>
      <c r="BN174" s="405">
        <f t="shared" si="231"/>
        <v>2154.4180000000001</v>
      </c>
      <c r="BO174" s="405">
        <f t="shared" si="231"/>
        <v>2148.2190000000001</v>
      </c>
      <c r="BP174" s="407">
        <f t="shared" si="231"/>
        <v>2046.8770000000002</v>
      </c>
      <c r="BQ174" s="406">
        <f t="shared" si="231"/>
        <v>2076.2779999999998</v>
      </c>
      <c r="BR174" s="405">
        <f t="shared" si="231"/>
        <v>2325.62</v>
      </c>
      <c r="BS174" s="405">
        <f t="shared" si="231"/>
        <v>2230.7480000000005</v>
      </c>
      <c r="BT174" s="407">
        <f t="shared" si="231"/>
        <v>2161.0329999999999</v>
      </c>
      <c r="BU174" s="406">
        <f t="shared" si="231"/>
        <v>2350.107</v>
      </c>
      <c r="BV174" s="405">
        <f t="shared" si="231"/>
        <v>2632.4340000000002</v>
      </c>
      <c r="BW174" s="405">
        <f t="shared" si="231"/>
        <v>2693.0590000000002</v>
      </c>
      <c r="BX174" s="407">
        <f>SUM(BX168:BX173)</f>
        <v>2556.1609999999996</v>
      </c>
      <c r="BY174" s="406">
        <f>SUM(BY168:BY173)</f>
        <v>2581.8290000000002</v>
      </c>
      <c r="BZ174" s="405">
        <f>SUM(BZ168:BZ173)</f>
        <v>2636.7269999999999</v>
      </c>
      <c r="CA174" s="405">
        <f>SUM(CA168:CA173)</f>
        <v>2647.6849999999999</v>
      </c>
      <c r="CB174" s="407">
        <f t="shared" si="217"/>
        <v>2484.3470000000002</v>
      </c>
      <c r="CC174" s="406">
        <f>SUM(CC168:CC173)</f>
        <v>2692.2640000000001</v>
      </c>
      <c r="CD174" s="405">
        <f>SUM(CD168:CD173)</f>
        <v>3131.6840000000002</v>
      </c>
      <c r="CE174" s="405">
        <f>SUM(CE168:CE173)</f>
        <v>3090.9210000000003</v>
      </c>
      <c r="CF174" s="407">
        <f t="shared" si="218"/>
        <v>3085.8610000000003</v>
      </c>
      <c r="CG174" s="406">
        <f>SUM(CG168:CG173)</f>
        <v>3473.8890000000001</v>
      </c>
      <c r="CH174" s="405">
        <f>SUM(CH168:CH173)</f>
        <v>3788.5920000000001</v>
      </c>
      <c r="CI174" s="405">
        <f>SUM(CI168:CI173)</f>
        <v>3584.587</v>
      </c>
      <c r="CJ174" s="407">
        <f>$S174</f>
        <v>3488.2139999999995</v>
      </c>
      <c r="CK174" s="406">
        <f>SUM(CK168:CK173)</f>
        <v>3800.6120000000001</v>
      </c>
      <c r="CL174" s="405">
        <f>SUM(CL168:CL173)</f>
        <v>4103.0110000000004</v>
      </c>
      <c r="CM174" s="405">
        <f>SUM(CM168:CM173)</f>
        <v>4039.0669999999996</v>
      </c>
      <c r="CN174" s="407">
        <f>$T174</f>
        <v>3729.1820000000002</v>
      </c>
      <c r="CO174" s="406">
        <f>SUM(CO168:CO173)</f>
        <v>4357.1179999999995</v>
      </c>
      <c r="CP174" s="405">
        <f>SUM(CP168:CP173)</f>
        <v>4395.3239999999996</v>
      </c>
      <c r="CQ174" s="405">
        <f>SUM(CQ168:CQ173)</f>
        <v>4517.4750000000004</v>
      </c>
      <c r="CR174" s="407">
        <f>$U174</f>
        <v>4479.5230000000001</v>
      </c>
      <c r="CS174" s="405">
        <f>SUM(CS168:CS173)</f>
        <v>4454.3529999999992</v>
      </c>
      <c r="CT174" s="405">
        <f>SUM(CT168:CT173)</f>
        <v>4729.5129999999999</v>
      </c>
      <c r="CU174" s="405">
        <f>SUM(CU168:CU173)</f>
        <v>4554.7</v>
      </c>
      <c r="CV174" s="407">
        <f>$V174</f>
        <v>4414.8050000000003</v>
      </c>
      <c r="CW174" s="81"/>
      <c r="CX174" s="81"/>
      <c r="CY174" s="81"/>
      <c r="CZ174" s="407">
        <f>$W174</f>
        <v>4431.9236400965183</v>
      </c>
    </row>
    <row r="175" spans="2:149">
      <c r="B175" s="114" t="s">
        <v>206</v>
      </c>
      <c r="H175" s="411"/>
      <c r="I175" s="411"/>
      <c r="J175" s="411"/>
      <c r="K175" s="411"/>
      <c r="L175" s="411"/>
      <c r="M175" s="411"/>
      <c r="N175" s="411"/>
      <c r="O175" s="411"/>
      <c r="P175" s="411"/>
      <c r="Q175" s="411"/>
      <c r="R175" s="411"/>
      <c r="S175" s="411"/>
      <c r="T175" s="411"/>
      <c r="U175" s="411"/>
      <c r="V175" s="411"/>
      <c r="W175" s="411"/>
      <c r="X175" s="411"/>
      <c r="Y175" s="412"/>
      <c r="AY175" s="114" t="s">
        <v>206</v>
      </c>
      <c r="BA175" s="309"/>
      <c r="BB175" s="309"/>
      <c r="BC175" s="309"/>
      <c r="BD175" s="49"/>
      <c r="BE175" s="413"/>
      <c r="BF175" s="411"/>
      <c r="BG175" s="411"/>
      <c r="BH175" s="412"/>
      <c r="BI175" s="413"/>
      <c r="BJ175" s="411"/>
      <c r="BK175" s="411"/>
      <c r="BL175" s="412"/>
      <c r="BM175" s="413"/>
      <c r="BN175" s="411"/>
      <c r="BO175" s="411"/>
      <c r="BP175" s="412"/>
      <c r="BQ175" s="413"/>
      <c r="BR175" s="411"/>
      <c r="BS175" s="411"/>
      <c r="BT175" s="412"/>
      <c r="BU175" s="413"/>
      <c r="BV175" s="411"/>
      <c r="BW175" s="411"/>
      <c r="BX175" s="412"/>
      <c r="BY175" s="413"/>
      <c r="BZ175" s="309"/>
      <c r="CA175" s="309"/>
      <c r="CB175" s="412"/>
      <c r="CC175" s="413"/>
      <c r="CD175" s="309"/>
      <c r="CE175" s="309"/>
      <c r="CF175" s="412"/>
      <c r="CG175" s="413"/>
      <c r="CH175" s="384"/>
      <c r="CI175" s="309"/>
      <c r="CJ175" s="412"/>
      <c r="CK175" s="413"/>
      <c r="CL175" s="309"/>
      <c r="CM175" s="309"/>
      <c r="CN175" s="412"/>
      <c r="CO175" s="308"/>
      <c r="CP175" s="309"/>
      <c r="CQ175" s="309"/>
      <c r="CR175" s="412"/>
      <c r="CS175" s="309"/>
      <c r="CT175" s="309"/>
      <c r="CU175" s="309"/>
      <c r="CV175" s="412"/>
      <c r="CW175" s="411"/>
      <c r="CX175" s="411"/>
      <c r="CY175" s="411"/>
      <c r="CZ175" s="412"/>
    </row>
    <row r="176" spans="2:149" ht="13.15">
      <c r="B176" s="131" t="s">
        <v>248</v>
      </c>
      <c r="H176" s="411"/>
      <c r="I176" s="411"/>
      <c r="J176" s="411"/>
      <c r="K176" s="411"/>
      <c r="L176" s="411"/>
      <c r="M176" s="411"/>
      <c r="N176" s="411"/>
      <c r="O176" s="411"/>
      <c r="P176" s="411"/>
      <c r="Q176" s="411"/>
      <c r="R176" s="411"/>
      <c r="S176" s="411"/>
      <c r="T176" s="411"/>
      <c r="U176" s="411"/>
      <c r="V176" s="411"/>
      <c r="W176" s="411"/>
      <c r="X176" s="411"/>
      <c r="Y176" s="412"/>
      <c r="AY176" s="131" t="s">
        <v>248</v>
      </c>
      <c r="BA176" s="49"/>
      <c r="BB176" s="49"/>
      <c r="BC176" s="49"/>
      <c r="BD176" s="49"/>
      <c r="BE176" s="413"/>
      <c r="BF176" s="411"/>
      <c r="BG176" s="411"/>
      <c r="BH176" s="412"/>
      <c r="BI176" s="413"/>
      <c r="BJ176" s="411"/>
      <c r="BK176" s="411"/>
      <c r="BL176" s="412"/>
      <c r="BM176" s="413"/>
      <c r="BN176" s="411"/>
      <c r="BO176" s="411"/>
      <c r="BP176" s="412"/>
      <c r="BQ176" s="413"/>
      <c r="BR176" s="411"/>
      <c r="BS176" s="411"/>
      <c r="BT176" s="412"/>
      <c r="BU176" s="413"/>
      <c r="BV176" s="411"/>
      <c r="BW176" s="411"/>
      <c r="BX176" s="412"/>
      <c r="BY176" s="413"/>
      <c r="BZ176" s="309"/>
      <c r="CA176" s="309"/>
      <c r="CB176" s="412"/>
      <c r="CC176" s="413"/>
      <c r="CD176" s="309"/>
      <c r="CE176" s="309"/>
      <c r="CF176" s="412"/>
      <c r="CG176" s="413"/>
      <c r="CH176" s="309"/>
      <c r="CI176" s="309"/>
      <c r="CJ176" s="412"/>
      <c r="CK176" s="413"/>
      <c r="CL176" s="309"/>
      <c r="CM176" s="309"/>
      <c r="CN176" s="412"/>
      <c r="CO176" s="308"/>
      <c r="CP176" s="309"/>
      <c r="CQ176" s="309"/>
      <c r="CR176" s="412"/>
      <c r="CS176" s="309"/>
      <c r="CT176" s="309"/>
      <c r="CU176" s="309"/>
      <c r="CV176" s="412"/>
      <c r="CW176" s="411"/>
      <c r="CX176" s="411"/>
      <c r="CY176" s="411"/>
      <c r="CZ176" s="412"/>
    </row>
    <row r="177" spans="2:104">
      <c r="B177" s="114" t="s">
        <v>249</v>
      </c>
      <c r="H177" s="53">
        <v>1.9E-2</v>
      </c>
      <c r="I177" s="53">
        <v>4.0000000000000001E-3</v>
      </c>
      <c r="J177" s="53">
        <v>0.107</v>
      </c>
      <c r="K177" s="53">
        <v>0.16900000000000001</v>
      </c>
      <c r="L177" s="53">
        <v>0.184</v>
      </c>
      <c r="M177" s="53">
        <v>0.2</v>
      </c>
      <c r="N177" s="53">
        <v>0.24399999999999999</v>
      </c>
      <c r="O177" s="53">
        <v>0.246</v>
      </c>
      <c r="P177" s="53">
        <v>69.421000000000006</v>
      </c>
      <c r="Q177" s="53">
        <v>71.804000000000002</v>
      </c>
      <c r="R177" s="53">
        <v>84.501000000000005</v>
      </c>
      <c r="S177" s="53">
        <v>90.596999999999994</v>
      </c>
      <c r="T177" s="53">
        <v>100.265</v>
      </c>
      <c r="U177" s="53">
        <v>110.273</v>
      </c>
      <c r="V177" s="53">
        <v>117.15300000000001</v>
      </c>
      <c r="W177" s="53">
        <f t="shared" ref="W177:Y178" si="232">V177</f>
        <v>117.15300000000001</v>
      </c>
      <c r="X177" s="53">
        <f t="shared" si="232"/>
        <v>117.15300000000001</v>
      </c>
      <c r="Y177" s="64">
        <f t="shared" si="232"/>
        <v>117.15300000000001</v>
      </c>
      <c r="AY177" s="114" t="s">
        <v>249</v>
      </c>
      <c r="BA177" s="49"/>
      <c r="BB177" s="49"/>
      <c r="BC177" s="49"/>
      <c r="BD177" s="49"/>
      <c r="BE177" s="52">
        <v>0.17199999999999999</v>
      </c>
      <c r="BF177" s="53">
        <v>0.17399999999999999</v>
      </c>
      <c r="BG177" s="53">
        <v>0.182</v>
      </c>
      <c r="BH177" s="64">
        <f>+L177</f>
        <v>0.184</v>
      </c>
      <c r="BI177" s="52">
        <v>0.187</v>
      </c>
      <c r="BJ177" s="53">
        <v>0.19500000000000001</v>
      </c>
      <c r="BK177" s="53">
        <v>0.19600000000000001</v>
      </c>
      <c r="BL177" s="64">
        <f>+M177</f>
        <v>0.2</v>
      </c>
      <c r="BM177" s="52">
        <v>0.20200000000000001</v>
      </c>
      <c r="BN177" s="53">
        <v>0.20399999999999999</v>
      </c>
      <c r="BO177" s="53">
        <v>0.24399999999999999</v>
      </c>
      <c r="BP177" s="64">
        <f>+N177</f>
        <v>0.24399999999999999</v>
      </c>
      <c r="BQ177" s="52">
        <v>0.23599999999999999</v>
      </c>
      <c r="BR177" s="53">
        <v>0.20899999999999999</v>
      </c>
      <c r="BS177" s="53">
        <v>0.17799999999999999</v>
      </c>
      <c r="BT177" s="64">
        <f>O177</f>
        <v>0.246</v>
      </c>
      <c r="BU177" s="52">
        <v>69.421000000000006</v>
      </c>
      <c r="BV177" s="53"/>
      <c r="BW177" s="53"/>
      <c r="BX177" s="64">
        <f>P177</f>
        <v>69.421000000000006</v>
      </c>
      <c r="BY177" s="52">
        <v>69.343999999999994</v>
      </c>
      <c r="BZ177" s="53">
        <v>69.822999999999993</v>
      </c>
      <c r="CA177" s="53">
        <v>71.174000000000007</v>
      </c>
      <c r="CB177" s="64">
        <f t="shared" si="217"/>
        <v>71.804000000000002</v>
      </c>
      <c r="CC177" s="52">
        <v>72.766999999999996</v>
      </c>
      <c r="CD177" s="53">
        <v>81.305999999999997</v>
      </c>
      <c r="CE177" s="53">
        <v>82.712000000000003</v>
      </c>
      <c r="CF177" s="64">
        <f>R177</f>
        <v>84.501000000000005</v>
      </c>
      <c r="CG177" s="52">
        <v>86.811999999999998</v>
      </c>
      <c r="CH177" s="53">
        <v>88.6</v>
      </c>
      <c r="CI177" s="53">
        <v>89.238</v>
      </c>
      <c r="CJ177" s="64">
        <f>$S177</f>
        <v>90.596999999999994</v>
      </c>
      <c r="CK177" s="52">
        <v>92.536000000000001</v>
      </c>
      <c r="CL177" s="53">
        <v>93.099000000000004</v>
      </c>
      <c r="CM177" s="53">
        <v>98.507000000000005</v>
      </c>
      <c r="CN177" s="64">
        <f>$T177</f>
        <v>100.265</v>
      </c>
      <c r="CO177" s="52">
        <v>102.89700000000001</v>
      </c>
      <c r="CP177" s="53">
        <v>104.40900000000001</v>
      </c>
      <c r="CQ177" s="53">
        <v>107.369</v>
      </c>
      <c r="CR177" s="64">
        <f>$U177</f>
        <v>110.273</v>
      </c>
      <c r="CS177" s="53">
        <v>113.322</v>
      </c>
      <c r="CT177" s="53">
        <v>115.417</v>
      </c>
      <c r="CU177" s="53">
        <v>116.696</v>
      </c>
      <c r="CV177" s="64">
        <f>$V177</f>
        <v>117.15300000000001</v>
      </c>
      <c r="CW177" s="53"/>
      <c r="CX177" s="53"/>
      <c r="CY177" s="53"/>
      <c r="CZ177" s="64">
        <f>$W177</f>
        <v>117.15300000000001</v>
      </c>
    </row>
    <row r="178" spans="2:104">
      <c r="B178" s="114" t="s">
        <v>250</v>
      </c>
      <c r="H178" s="53">
        <v>20</v>
      </c>
      <c r="I178" s="53"/>
      <c r="J178" s="53"/>
      <c r="K178" s="53"/>
      <c r="L178" s="53"/>
      <c r="M178" s="53"/>
      <c r="N178" s="53">
        <v>0</v>
      </c>
      <c r="O178" s="53"/>
      <c r="P178" s="53"/>
      <c r="Q178" s="53"/>
      <c r="R178" s="53"/>
      <c r="S178" s="53">
        <v>56.4</v>
      </c>
      <c r="T178" s="53">
        <v>0</v>
      </c>
      <c r="U178" s="53">
        <v>0</v>
      </c>
      <c r="V178" s="53">
        <v>0</v>
      </c>
      <c r="W178" s="53">
        <f t="shared" si="232"/>
        <v>0</v>
      </c>
      <c r="X178" s="53">
        <f t="shared" si="232"/>
        <v>0</v>
      </c>
      <c r="Y178" s="64">
        <f t="shared" si="232"/>
        <v>0</v>
      </c>
      <c r="AR178" s="7"/>
      <c r="AY178" s="114" t="s">
        <v>250</v>
      </c>
      <c r="BA178" s="49"/>
      <c r="BB178" s="49"/>
      <c r="BC178" s="49"/>
      <c r="BD178" s="49"/>
      <c r="BE178" s="52"/>
      <c r="BF178" s="53">
        <v>2.569</v>
      </c>
      <c r="BG178" s="53">
        <v>2.3530000000000002</v>
      </c>
      <c r="BH178" s="64">
        <f>+L178</f>
        <v>0</v>
      </c>
      <c r="BI178" s="52"/>
      <c r="BJ178" s="53">
        <v>0.79300000000000004</v>
      </c>
      <c r="BK178" s="53"/>
      <c r="BL178" s="64">
        <f>+M178</f>
        <v>0</v>
      </c>
      <c r="BM178" s="52">
        <v>1.5960000000000001</v>
      </c>
      <c r="BN178" s="53">
        <v>1.6759999999999999</v>
      </c>
      <c r="BO178" s="53"/>
      <c r="BP178" s="64">
        <f>+N178</f>
        <v>0</v>
      </c>
      <c r="BQ178" s="52"/>
      <c r="BR178" s="53">
        <v>1.51</v>
      </c>
      <c r="BS178" s="53">
        <v>116.4</v>
      </c>
      <c r="BT178" s="64">
        <f>O178</f>
        <v>0</v>
      </c>
      <c r="BU178" s="52"/>
      <c r="BV178" s="53"/>
      <c r="BW178" s="53"/>
      <c r="BX178" s="64">
        <f>P178</f>
        <v>0</v>
      </c>
      <c r="BY178" s="52"/>
      <c r="BZ178" s="53"/>
      <c r="CA178" s="53"/>
      <c r="CB178" s="64"/>
      <c r="CC178" s="52"/>
      <c r="CD178" s="53"/>
      <c r="CE178" s="53"/>
      <c r="CF178" s="64"/>
      <c r="CG178" s="52"/>
      <c r="CH178" s="53"/>
      <c r="CI178" s="53"/>
      <c r="CJ178" s="64"/>
      <c r="CK178" s="52"/>
      <c r="CL178" s="53"/>
      <c r="CM178" s="53"/>
      <c r="CN178" s="64"/>
      <c r="CO178" s="52"/>
      <c r="CP178" s="53"/>
      <c r="CQ178" s="53"/>
      <c r="CR178" s="64"/>
      <c r="CS178" s="53"/>
      <c r="CT178" s="53"/>
      <c r="CU178" s="53"/>
      <c r="CV178" s="64"/>
      <c r="CW178" s="53"/>
      <c r="CX178" s="53"/>
      <c r="CY178" s="53"/>
      <c r="CZ178" s="64"/>
    </row>
    <row r="179" spans="2:104">
      <c r="B179" s="114" t="s">
        <v>251</v>
      </c>
      <c r="H179" s="53">
        <v>127.35899999999999</v>
      </c>
      <c r="I179" s="53">
        <v>184.95699999999999</v>
      </c>
      <c r="J179" s="53">
        <v>141.10400000000001</v>
      </c>
      <c r="K179" s="53">
        <v>173.36</v>
      </c>
      <c r="L179" s="53">
        <v>145.16200000000001</v>
      </c>
      <c r="M179" s="53">
        <v>185.482</v>
      </c>
      <c r="N179" s="53">
        <v>230.476</v>
      </c>
      <c r="O179" s="53">
        <v>200.22900000000001</v>
      </c>
      <c r="P179" s="53">
        <v>239.666</v>
      </c>
      <c r="Q179" s="53">
        <v>251.553</v>
      </c>
      <c r="R179" s="53">
        <v>364.185</v>
      </c>
      <c r="S179" s="53">
        <v>456.12799999999999</v>
      </c>
      <c r="T179" s="53">
        <v>369.39600000000002</v>
      </c>
      <c r="U179" s="53">
        <v>490.87900000000002</v>
      </c>
      <c r="V179" s="118">
        <f>U179</f>
        <v>490.87900000000002</v>
      </c>
      <c r="W179" s="53">
        <f>W221*W12/360</f>
        <v>480.79904173766676</v>
      </c>
      <c r="X179" s="53">
        <f>X221*X12/360</f>
        <v>483.77144472391115</v>
      </c>
      <c r="Y179" s="64">
        <f>Y221*Y12/360</f>
        <v>486.23517809966523</v>
      </c>
      <c r="AY179" s="114" t="s">
        <v>251</v>
      </c>
      <c r="BA179" s="49"/>
      <c r="BB179" s="49"/>
      <c r="BC179" s="49"/>
      <c r="BD179" s="49"/>
      <c r="BE179" s="52">
        <v>238.32900000000001</v>
      </c>
      <c r="BF179" s="53">
        <v>243.458</v>
      </c>
      <c r="BG179" s="53">
        <v>200.64099999999999</v>
      </c>
      <c r="BH179" s="64">
        <f>+L179</f>
        <v>145.16200000000001</v>
      </c>
      <c r="BI179" s="52">
        <v>222.50800000000001</v>
      </c>
      <c r="BJ179" s="53">
        <v>273.315</v>
      </c>
      <c r="BK179" s="53">
        <v>229.74299999999999</v>
      </c>
      <c r="BL179" s="64">
        <f>+M179</f>
        <v>185.482</v>
      </c>
      <c r="BM179" s="52">
        <v>259.73700000000002</v>
      </c>
      <c r="BN179" s="53">
        <v>286.39</v>
      </c>
      <c r="BO179" s="53">
        <v>296.34899999999999</v>
      </c>
      <c r="BP179" s="64">
        <f>+N179</f>
        <v>230.476</v>
      </c>
      <c r="BQ179" s="52">
        <v>245.405</v>
      </c>
      <c r="BR179" s="53">
        <v>358.14800000000002</v>
      </c>
      <c r="BS179" s="53">
        <v>234.482</v>
      </c>
      <c r="BT179" s="64">
        <f>O179</f>
        <v>200.22900000000001</v>
      </c>
      <c r="BU179" s="52">
        <v>239.666</v>
      </c>
      <c r="BV179" s="53">
        <v>519.73400000000004</v>
      </c>
      <c r="BW179" s="53">
        <v>474.70100000000002</v>
      </c>
      <c r="BX179" s="64">
        <f>P179</f>
        <v>239.666</v>
      </c>
      <c r="BY179" s="52">
        <v>311.58600000000001</v>
      </c>
      <c r="BZ179" s="53">
        <v>377.44499999999999</v>
      </c>
      <c r="CA179" s="53">
        <v>352.69400000000002</v>
      </c>
      <c r="CB179" s="64">
        <f t="shared" si="217"/>
        <v>251.553</v>
      </c>
      <c r="CC179" s="52">
        <v>384.10899999999998</v>
      </c>
      <c r="CD179" s="53">
        <v>490.92099999999999</v>
      </c>
      <c r="CE179" s="53">
        <v>454.49799999999999</v>
      </c>
      <c r="CF179" s="64">
        <f>R179</f>
        <v>364.185</v>
      </c>
      <c r="CG179" s="52">
        <v>462.56900000000002</v>
      </c>
      <c r="CH179" s="53">
        <v>625.96199999999999</v>
      </c>
      <c r="CI179" s="53">
        <v>850.28399999999999</v>
      </c>
      <c r="CJ179" s="64">
        <f>$S179</f>
        <v>456.12799999999999</v>
      </c>
      <c r="CK179" s="52">
        <v>860.54700000000003</v>
      </c>
      <c r="CL179" s="53">
        <v>602.46199999999999</v>
      </c>
      <c r="CM179" s="53">
        <v>509.30799999999999</v>
      </c>
      <c r="CN179" s="64">
        <f>$T179</f>
        <v>369.39600000000002</v>
      </c>
      <c r="CO179" s="52">
        <v>687.63699999999994</v>
      </c>
      <c r="CP179" s="53">
        <v>564.08199999999999</v>
      </c>
      <c r="CQ179" s="53"/>
      <c r="CR179" s="64">
        <f>$U179</f>
        <v>490.87900000000002</v>
      </c>
      <c r="CS179" s="53">
        <v>811.81700000000001</v>
      </c>
      <c r="CT179" s="53">
        <v>955.49900000000002</v>
      </c>
      <c r="CU179" s="53">
        <v>695.44799999999998</v>
      </c>
      <c r="CV179" s="64">
        <f>$V179</f>
        <v>490.87900000000002</v>
      </c>
      <c r="CW179" s="53"/>
      <c r="CX179" s="53"/>
      <c r="CY179" s="53"/>
      <c r="CZ179" s="64">
        <f>$W179</f>
        <v>480.79904173766676</v>
      </c>
    </row>
    <row r="180" spans="2:104">
      <c r="B180" s="114" t="s">
        <v>252</v>
      </c>
      <c r="H180" s="53">
        <v>75.661000000000001</v>
      </c>
      <c r="I180" s="53">
        <v>97.397000000000006</v>
      </c>
      <c r="J180" s="53">
        <v>102.295</v>
      </c>
      <c r="K180" s="53">
        <v>113.49299999999999</v>
      </c>
      <c r="L180" s="53">
        <v>124.955</v>
      </c>
      <c r="M180" s="53">
        <v>129.20599999999999</v>
      </c>
      <c r="N180" s="53">
        <v>185.75700000000001</v>
      </c>
      <c r="O180" s="53">
        <v>157.09100000000001</v>
      </c>
      <c r="P180" s="53">
        <v>152.63</v>
      </c>
      <c r="Q180" s="53">
        <v>163.78800000000001</v>
      </c>
      <c r="R180" s="53">
        <v>278.036</v>
      </c>
      <c r="S180" s="53">
        <v>303.39699999999999</v>
      </c>
      <c r="T180" s="53">
        <v>242.351</v>
      </c>
      <c r="U180" s="53">
        <v>382.74900000000002</v>
      </c>
      <c r="V180" s="53">
        <f>600.589-V179</f>
        <v>109.71000000000004</v>
      </c>
      <c r="W180" s="53">
        <f>V180</f>
        <v>109.71000000000004</v>
      </c>
      <c r="X180" s="53">
        <f>W180</f>
        <v>109.71000000000004</v>
      </c>
      <c r="Y180" s="64">
        <f>X180</f>
        <v>109.71000000000004</v>
      </c>
      <c r="AY180" s="114" t="s">
        <v>252</v>
      </c>
      <c r="BA180" s="53"/>
      <c r="BB180" s="53"/>
      <c r="BC180" s="53"/>
      <c r="BD180" s="53"/>
      <c r="BE180" s="52">
        <v>117.64</v>
      </c>
      <c r="BF180" s="53">
        <v>125.697</v>
      </c>
      <c r="BG180" s="53">
        <v>127.861</v>
      </c>
      <c r="BH180" s="64">
        <f>+L180</f>
        <v>124.955</v>
      </c>
      <c r="BI180" s="52">
        <v>124.556</v>
      </c>
      <c r="BJ180" s="53">
        <v>132.24600000000001</v>
      </c>
      <c r="BK180" s="53">
        <v>128.18799999999999</v>
      </c>
      <c r="BL180" s="64">
        <f>+M180</f>
        <v>129.20599999999999</v>
      </c>
      <c r="BM180" s="52">
        <v>117.363</v>
      </c>
      <c r="BN180" s="53">
        <v>136.166</v>
      </c>
      <c r="BO180" s="53">
        <v>163.80600000000001</v>
      </c>
      <c r="BP180" s="64">
        <f>+N180</f>
        <v>185.75700000000001</v>
      </c>
      <c r="BQ180" s="52">
        <v>132.09</v>
      </c>
      <c r="BR180" s="53">
        <v>163.05600000000001</v>
      </c>
      <c r="BS180" s="53">
        <v>157.761</v>
      </c>
      <c r="BT180" s="64">
        <f>O180</f>
        <v>157.09100000000001</v>
      </c>
      <c r="BU180" s="52">
        <v>152.63</v>
      </c>
      <c r="BV180" s="53">
        <v>60.783999999999999</v>
      </c>
      <c r="BW180" s="53">
        <v>67.587000000000003</v>
      </c>
      <c r="BX180" s="64">
        <f>P180</f>
        <v>152.63</v>
      </c>
      <c r="BY180" s="52">
        <v>139.54400000000001</v>
      </c>
      <c r="BZ180" s="53">
        <v>191.59</v>
      </c>
      <c r="CA180" s="53">
        <v>185.63</v>
      </c>
      <c r="CB180" s="64">
        <f t="shared" si="217"/>
        <v>163.78800000000001</v>
      </c>
      <c r="CC180" s="52">
        <v>173.94399999999999</v>
      </c>
      <c r="CD180" s="53">
        <v>243.03700000000001</v>
      </c>
      <c r="CE180" s="53">
        <v>259.483</v>
      </c>
      <c r="CF180" s="64">
        <f>R180</f>
        <v>278.036</v>
      </c>
      <c r="CG180" s="52">
        <v>287.45800000000003</v>
      </c>
      <c r="CH180" s="53">
        <v>346.78100000000001</v>
      </c>
      <c r="CI180" s="53"/>
      <c r="CJ180" s="64">
        <f>$S180</f>
        <v>303.39699999999999</v>
      </c>
      <c r="CK180" s="52"/>
      <c r="CL180" s="53">
        <v>260.43799999999999</v>
      </c>
      <c r="CM180" s="53">
        <v>279.81299999999999</v>
      </c>
      <c r="CN180" s="64">
        <f>$T180</f>
        <v>242.351</v>
      </c>
      <c r="CO180" s="52">
        <v>235.59200000000001</v>
      </c>
      <c r="CP180" s="53">
        <v>276.67599999999999</v>
      </c>
      <c r="CQ180" s="53">
        <v>825.78</v>
      </c>
      <c r="CR180" s="64">
        <f>$U180</f>
        <v>382.74900000000002</v>
      </c>
      <c r="CS180" s="53"/>
      <c r="CT180" s="53"/>
      <c r="CU180" s="53"/>
      <c r="CV180" s="64">
        <f>$V180</f>
        <v>109.71000000000004</v>
      </c>
      <c r="CW180" s="53"/>
      <c r="CX180" s="53"/>
      <c r="CY180" s="53"/>
      <c r="CZ180" s="64">
        <f>$W180</f>
        <v>109.71000000000004</v>
      </c>
    </row>
    <row r="181" spans="2:104" s="402" customFormat="1" ht="13.15">
      <c r="B181" s="401" t="s">
        <v>253</v>
      </c>
      <c r="H181" s="403">
        <f t="shared" ref="H181:M181" si="233">SUM(H177:H180)</f>
        <v>223.03899999999999</v>
      </c>
      <c r="I181" s="403">
        <f t="shared" si="233"/>
        <v>282.358</v>
      </c>
      <c r="J181" s="403">
        <f t="shared" si="233"/>
        <v>243.50600000000003</v>
      </c>
      <c r="K181" s="403">
        <f t="shared" si="233"/>
        <v>287.02200000000005</v>
      </c>
      <c r="L181" s="403">
        <f t="shared" si="233"/>
        <v>270.30099999999999</v>
      </c>
      <c r="M181" s="403">
        <f t="shared" si="233"/>
        <v>314.88799999999998</v>
      </c>
      <c r="N181" s="403">
        <f t="shared" ref="N181:Y181" si="234">SUM(N177:N180)</f>
        <v>416.47699999999998</v>
      </c>
      <c r="O181" s="403">
        <f t="shared" si="234"/>
        <v>357.56600000000003</v>
      </c>
      <c r="P181" s="403">
        <f t="shared" si="234"/>
        <v>461.71699999999998</v>
      </c>
      <c r="Q181" s="403">
        <f t="shared" si="234"/>
        <v>487.14499999999998</v>
      </c>
      <c r="R181" s="403">
        <f t="shared" si="234"/>
        <v>726.72199999999998</v>
      </c>
      <c r="S181" s="403">
        <f t="shared" si="234"/>
        <v>906.52199999999993</v>
      </c>
      <c r="T181" s="403">
        <f t="shared" si="234"/>
        <v>712.01199999999994</v>
      </c>
      <c r="U181" s="403">
        <f t="shared" si="234"/>
        <v>983.90100000000007</v>
      </c>
      <c r="V181" s="403">
        <f>SUM(V177:V180)</f>
        <v>717.74200000000008</v>
      </c>
      <c r="W181" s="403">
        <f t="shared" si="234"/>
        <v>707.66204173766675</v>
      </c>
      <c r="X181" s="403">
        <f t="shared" si="234"/>
        <v>710.6344447239112</v>
      </c>
      <c r="Y181" s="404">
        <f t="shared" si="234"/>
        <v>713.09817809966523</v>
      </c>
      <c r="AC181" s="81"/>
      <c r="AD181" s="81"/>
      <c r="AE181" s="81"/>
      <c r="AF181" s="81"/>
      <c r="AG181" s="81"/>
      <c r="AH181" s="81"/>
      <c r="AI181" s="81"/>
      <c r="AJ181" s="81"/>
      <c r="AK181" s="81"/>
      <c r="AL181" s="81"/>
      <c r="AM181" s="81"/>
      <c r="AN181" s="81"/>
      <c r="AO181" s="81"/>
      <c r="AP181" s="81"/>
      <c r="AQ181" s="81"/>
      <c r="AS181" s="81"/>
      <c r="AT181" s="81"/>
      <c r="AU181" s="81"/>
      <c r="AV181" s="81"/>
      <c r="AW181" s="81"/>
      <c r="AY181" s="401" t="s">
        <v>253</v>
      </c>
      <c r="BA181" s="405">
        <v>353.17500000000001</v>
      </c>
      <c r="BB181" s="405">
        <v>385.65199999999999</v>
      </c>
      <c r="BC181" s="405">
        <v>340.75099999999998</v>
      </c>
      <c r="BD181" s="405">
        <f>+K181</f>
        <v>287.02200000000005</v>
      </c>
      <c r="BE181" s="406">
        <f t="shared" ref="BE181:BW181" si="235">SUM(BE177:BE180)</f>
        <v>356.14100000000002</v>
      </c>
      <c r="BF181" s="405">
        <f t="shared" si="235"/>
        <v>371.89800000000002</v>
      </c>
      <c r="BG181" s="405">
        <f t="shared" si="235"/>
        <v>331.03699999999998</v>
      </c>
      <c r="BH181" s="407">
        <f t="shared" si="235"/>
        <v>270.30099999999999</v>
      </c>
      <c r="BI181" s="406">
        <f t="shared" si="235"/>
        <v>347.25100000000003</v>
      </c>
      <c r="BJ181" s="405">
        <f t="shared" si="235"/>
        <v>406.54899999999998</v>
      </c>
      <c r="BK181" s="405">
        <f t="shared" si="235"/>
        <v>358.12699999999995</v>
      </c>
      <c r="BL181" s="407">
        <f t="shared" si="235"/>
        <v>314.88799999999998</v>
      </c>
      <c r="BM181" s="406">
        <f t="shared" si="235"/>
        <v>378.89800000000002</v>
      </c>
      <c r="BN181" s="405">
        <f t="shared" si="235"/>
        <v>424.43599999999998</v>
      </c>
      <c r="BO181" s="405">
        <f t="shared" si="235"/>
        <v>460.399</v>
      </c>
      <c r="BP181" s="407">
        <f t="shared" si="235"/>
        <v>416.47699999999998</v>
      </c>
      <c r="BQ181" s="406">
        <f t="shared" si="235"/>
        <v>377.73099999999999</v>
      </c>
      <c r="BR181" s="405">
        <f t="shared" si="235"/>
        <v>522.923</v>
      </c>
      <c r="BS181" s="405">
        <f t="shared" si="235"/>
        <v>508.82100000000003</v>
      </c>
      <c r="BT181" s="407">
        <f t="shared" si="235"/>
        <v>357.56600000000003</v>
      </c>
      <c r="BU181" s="406">
        <f t="shared" si="235"/>
        <v>461.71699999999998</v>
      </c>
      <c r="BV181" s="405">
        <f t="shared" si="235"/>
        <v>580.51800000000003</v>
      </c>
      <c r="BW181" s="405">
        <f t="shared" si="235"/>
        <v>542.28800000000001</v>
      </c>
      <c r="BX181" s="407">
        <f>SUM(BX177:BX180)</f>
        <v>461.71699999999998</v>
      </c>
      <c r="BY181" s="406">
        <f>SUM(BY177:BY180)</f>
        <v>520.47400000000005</v>
      </c>
      <c r="BZ181" s="405">
        <f>SUM(BZ177:BZ180)</f>
        <v>638.85799999999995</v>
      </c>
      <c r="CA181" s="405">
        <f>SUM(CA177:CA180)</f>
        <v>609.49800000000005</v>
      </c>
      <c r="CB181" s="407">
        <f t="shared" si="217"/>
        <v>487.14499999999998</v>
      </c>
      <c r="CC181" s="406">
        <f>SUM(CC177:CC180)</f>
        <v>630.81999999999994</v>
      </c>
      <c r="CD181" s="405">
        <f>SUM(CD177:CD180)</f>
        <v>815.26400000000001</v>
      </c>
      <c r="CE181" s="405">
        <f>SUM(CE177:CE180)</f>
        <v>796.69299999999998</v>
      </c>
      <c r="CF181" s="407">
        <f>R181</f>
        <v>726.72199999999998</v>
      </c>
      <c r="CG181" s="406">
        <f>SUM(CG177:CG180)</f>
        <v>836.83899999999994</v>
      </c>
      <c r="CH181" s="405">
        <f>SUM(CH177:CH180)</f>
        <v>1061.3430000000001</v>
      </c>
      <c r="CI181" s="405">
        <f>SUM(CI177:CI180)</f>
        <v>939.52199999999993</v>
      </c>
      <c r="CJ181" s="407">
        <f>$S181</f>
        <v>906.52199999999993</v>
      </c>
      <c r="CK181" s="406">
        <f>SUM(CK177:CK180)</f>
        <v>953.08300000000008</v>
      </c>
      <c r="CL181" s="405">
        <f>SUM(CL177:CL180)</f>
        <v>955.99900000000002</v>
      </c>
      <c r="CM181" s="405">
        <f>SUM(CM177:CM180)</f>
        <v>887.62800000000004</v>
      </c>
      <c r="CN181" s="407">
        <f>$T181</f>
        <v>712.01199999999994</v>
      </c>
      <c r="CO181" s="406">
        <f>SUM(CO177:CO180)</f>
        <v>1026.126</v>
      </c>
      <c r="CP181" s="405">
        <f>SUM(CP177:CP180)</f>
        <v>945.16699999999992</v>
      </c>
      <c r="CQ181" s="405">
        <f>SUM(CQ177:CQ180)</f>
        <v>933.149</v>
      </c>
      <c r="CR181" s="407">
        <f>$U181</f>
        <v>983.90100000000007</v>
      </c>
      <c r="CS181" s="405">
        <f>SUM(CS177:CS180)</f>
        <v>925.13900000000001</v>
      </c>
      <c r="CT181" s="405">
        <f>SUM(CT177:CT180)</f>
        <v>1070.9159999999999</v>
      </c>
      <c r="CU181" s="405">
        <f>SUM(CU177:CU180)</f>
        <v>812.14400000000001</v>
      </c>
      <c r="CV181" s="407">
        <f>$V181</f>
        <v>717.74200000000008</v>
      </c>
      <c r="CW181" s="81"/>
      <c r="CX181" s="81"/>
      <c r="CY181" s="81"/>
      <c r="CZ181" s="407">
        <f>$W181</f>
        <v>707.66204173766675</v>
      </c>
    </row>
    <row r="182" spans="2:104">
      <c r="B182" s="114" t="s">
        <v>206</v>
      </c>
      <c r="H182" s="411" t="s">
        <v>206</v>
      </c>
      <c r="I182" s="411"/>
      <c r="J182" s="411"/>
      <c r="K182" s="411" t="s">
        <v>206</v>
      </c>
      <c r="L182" s="411"/>
      <c r="M182" s="411"/>
      <c r="N182" s="411"/>
      <c r="O182" s="411"/>
      <c r="P182" s="411"/>
      <c r="Q182" s="411"/>
      <c r="R182" s="411"/>
      <c r="S182" s="411"/>
      <c r="T182" s="411"/>
      <c r="U182" s="411"/>
      <c r="V182" s="411"/>
      <c r="W182" s="411"/>
      <c r="X182" s="411"/>
      <c r="Y182" s="412"/>
      <c r="AY182" s="114" t="s">
        <v>206</v>
      </c>
      <c r="BA182" s="53"/>
      <c r="BB182" s="53"/>
      <c r="BC182" s="53"/>
      <c r="BD182" s="53"/>
      <c r="BE182" s="413"/>
      <c r="BF182" s="411" t="s">
        <v>206</v>
      </c>
      <c r="BG182" s="411" t="s">
        <v>206</v>
      </c>
      <c r="BH182" s="412"/>
      <c r="BI182" s="413"/>
      <c r="BJ182" s="411"/>
      <c r="BK182" s="411"/>
      <c r="BL182" s="412"/>
      <c r="BM182" s="413"/>
      <c r="BN182" s="411" t="s">
        <v>206</v>
      </c>
      <c r="BO182" s="411" t="s">
        <v>206</v>
      </c>
      <c r="BP182" s="412"/>
      <c r="BQ182" s="413"/>
      <c r="BR182" s="411"/>
      <c r="BS182" s="411"/>
      <c r="BT182" s="412"/>
      <c r="BU182" s="413"/>
      <c r="BV182" s="411"/>
      <c r="BW182" s="411"/>
      <c r="BX182" s="412"/>
      <c r="BY182" s="413"/>
      <c r="BZ182" s="411"/>
      <c r="CA182" s="411"/>
      <c r="CB182" s="412"/>
      <c r="CC182" s="413"/>
      <c r="CD182" s="411"/>
      <c r="CE182" s="411"/>
      <c r="CF182" s="412"/>
      <c r="CG182" s="413"/>
      <c r="CH182" s="411"/>
      <c r="CI182" s="411"/>
      <c r="CJ182" s="412"/>
      <c r="CK182" s="413"/>
      <c r="CL182" s="411"/>
      <c r="CM182" s="411"/>
      <c r="CN182" s="412"/>
      <c r="CO182" s="413"/>
      <c r="CP182" s="411"/>
      <c r="CQ182" s="411"/>
      <c r="CR182" s="412"/>
      <c r="CS182" s="411"/>
      <c r="CT182" s="411"/>
      <c r="CU182" s="411"/>
      <c r="CV182" s="412"/>
      <c r="CW182" s="411"/>
      <c r="CX182" s="411"/>
      <c r="CY182" s="411"/>
      <c r="CZ182" s="412"/>
    </row>
    <row r="183" spans="2:104">
      <c r="B183" s="114" t="s">
        <v>254</v>
      </c>
      <c r="H183" s="53">
        <v>0</v>
      </c>
      <c r="I183" s="53">
        <v>316.18200000000002</v>
      </c>
      <c r="J183" s="53">
        <v>230.04400000000001</v>
      </c>
      <c r="K183" s="53">
        <v>303.19900000000001</v>
      </c>
      <c r="L183" s="53">
        <v>245.3</v>
      </c>
      <c r="M183" s="53">
        <v>235.29400000000001</v>
      </c>
      <c r="N183" s="53">
        <v>21.8</v>
      </c>
      <c r="O183" s="53">
        <v>135.19999999999999</v>
      </c>
      <c r="P183" s="53">
        <v>155.69999999999999</v>
      </c>
      <c r="Q183" s="53"/>
      <c r="R183" s="53">
        <v>89</v>
      </c>
      <c r="S183" s="53"/>
      <c r="T183" s="53">
        <v>15.4</v>
      </c>
      <c r="U183" s="53">
        <v>0</v>
      </c>
      <c r="V183" s="53">
        <v>0</v>
      </c>
      <c r="W183" s="53">
        <f t="shared" ref="W183:Y184" si="236">V183</f>
        <v>0</v>
      </c>
      <c r="X183" s="53">
        <f t="shared" si="236"/>
        <v>0</v>
      </c>
      <c r="Y183" s="64">
        <f t="shared" si="236"/>
        <v>0</v>
      </c>
      <c r="AY183" s="114" t="s">
        <v>254</v>
      </c>
      <c r="BA183" s="49"/>
      <c r="BB183" s="49"/>
      <c r="BC183" s="49"/>
      <c r="BD183" s="49"/>
      <c r="BE183" s="52">
        <v>340.65300000000002</v>
      </c>
      <c r="BF183" s="53">
        <v>433.41199999999998</v>
      </c>
      <c r="BG183" s="53">
        <v>304.94099999999997</v>
      </c>
      <c r="BH183" s="64">
        <f>+L183</f>
        <v>245.3</v>
      </c>
      <c r="BI183" s="52">
        <v>237.9</v>
      </c>
      <c r="BJ183" s="53">
        <v>267.34800000000001</v>
      </c>
      <c r="BK183" s="53">
        <v>219.4</v>
      </c>
      <c r="BL183" s="64">
        <f>+M183</f>
        <v>235.29400000000001</v>
      </c>
      <c r="BM183" s="52">
        <v>280.3</v>
      </c>
      <c r="BN183" s="53">
        <v>379.3</v>
      </c>
      <c r="BO183" s="53">
        <v>284.7</v>
      </c>
      <c r="BP183" s="64">
        <f>+N183</f>
        <v>21.8</v>
      </c>
      <c r="BQ183" s="52">
        <v>91</v>
      </c>
      <c r="BR183" s="53">
        <v>141.6</v>
      </c>
      <c r="BS183" s="53">
        <v>0</v>
      </c>
      <c r="BT183" s="64">
        <f>O183</f>
        <v>135.19999999999999</v>
      </c>
      <c r="BU183" s="52">
        <v>137.5</v>
      </c>
      <c r="BV183" s="53">
        <v>219.6</v>
      </c>
      <c r="BW183" s="53">
        <v>169.3</v>
      </c>
      <c r="BX183" s="64">
        <f>P183</f>
        <v>155.69999999999999</v>
      </c>
      <c r="BY183" s="52">
        <v>156.143</v>
      </c>
      <c r="BZ183" s="53">
        <v>33.356999999999999</v>
      </c>
      <c r="CA183" s="53">
        <v>0.66800000000000004</v>
      </c>
      <c r="CB183" s="64">
        <f t="shared" si="217"/>
        <v>0</v>
      </c>
      <c r="CC183" s="52">
        <v>48.9</v>
      </c>
      <c r="CD183" s="53">
        <f>114.167+6.165</f>
        <v>120.33200000000001</v>
      </c>
      <c r="CE183" s="53">
        <f>1.724+6.676</f>
        <v>8.4</v>
      </c>
      <c r="CF183" s="64">
        <f>R183</f>
        <v>89</v>
      </c>
      <c r="CG183" s="52">
        <v>262.5</v>
      </c>
      <c r="CH183" s="53">
        <v>203.6</v>
      </c>
      <c r="CI183" s="53">
        <v>8.8000000000000007</v>
      </c>
      <c r="CJ183" s="64">
        <f>$S183</f>
        <v>0</v>
      </c>
      <c r="CK183" s="52">
        <v>197.6</v>
      </c>
      <c r="CL183" s="53">
        <v>342.9</v>
      </c>
      <c r="CM183" s="53">
        <v>105.6</v>
      </c>
      <c r="CN183" s="64">
        <f>$T183</f>
        <v>15.4</v>
      </c>
      <c r="CO183" s="52">
        <v>0</v>
      </c>
      <c r="CP183" s="53">
        <v>0</v>
      </c>
      <c r="CQ183" s="53"/>
      <c r="CR183" s="64">
        <f>$U183</f>
        <v>0</v>
      </c>
      <c r="CS183" s="53">
        <v>0</v>
      </c>
      <c r="CT183" s="53">
        <v>0</v>
      </c>
      <c r="CU183" s="53">
        <v>0</v>
      </c>
      <c r="CV183" s="64">
        <f>$V183</f>
        <v>0</v>
      </c>
      <c r="CW183" s="53"/>
      <c r="CX183" s="53"/>
      <c r="CY183" s="53"/>
      <c r="CZ183" s="64">
        <f>$W183</f>
        <v>0</v>
      </c>
    </row>
    <row r="184" spans="2:104" s="84" customFormat="1" ht="13.15">
      <c r="B184" s="114" t="s">
        <v>255</v>
      </c>
      <c r="H184" s="53">
        <v>0</v>
      </c>
      <c r="I184" s="53">
        <v>1.4E-2</v>
      </c>
      <c r="J184" s="53">
        <v>0.51300000000000001</v>
      </c>
      <c r="K184" s="53">
        <v>0.68600000000000005</v>
      </c>
      <c r="L184" s="53">
        <v>0.51400000000000001</v>
      </c>
      <c r="M184" s="53">
        <v>0.34799999999999998</v>
      </c>
      <c r="N184" s="53">
        <v>0.28499999999999998</v>
      </c>
      <c r="O184" s="53">
        <v>0.55200000000000005</v>
      </c>
      <c r="P184" s="53">
        <f>154.271+2.009</f>
        <v>156.27999999999997</v>
      </c>
      <c r="Q184" s="53">
        <f>139.527+4.811</f>
        <v>144.33799999999999</v>
      </c>
      <c r="R184" s="53">
        <f>187.024+9.189</f>
        <v>196.21299999999999</v>
      </c>
      <c r="S184" s="53">
        <f>232.144+11.388</f>
        <v>243.53200000000001</v>
      </c>
      <c r="T184" s="53">
        <f>276.913</f>
        <v>276.91300000000001</v>
      </c>
      <c r="U184" s="53">
        <f>321.715+15.475</f>
        <v>337.19</v>
      </c>
      <c r="V184" s="53">
        <v>350.61599999999999</v>
      </c>
      <c r="W184" s="53">
        <f t="shared" si="236"/>
        <v>350.61599999999999</v>
      </c>
      <c r="X184" s="53">
        <f t="shared" si="236"/>
        <v>350.61599999999999</v>
      </c>
      <c r="Y184" s="64">
        <f t="shared" si="236"/>
        <v>350.61599999999999</v>
      </c>
      <c r="AC184" s="149"/>
      <c r="AD184" s="149"/>
      <c r="AE184" s="149"/>
      <c r="AF184" s="149"/>
      <c r="AG184" s="149"/>
      <c r="AH184" s="149"/>
      <c r="AI184" s="149"/>
      <c r="AJ184" s="149"/>
      <c r="AK184" s="149"/>
      <c r="AL184" s="149"/>
      <c r="AM184" s="149"/>
      <c r="AN184" s="149"/>
      <c r="AO184" s="149"/>
      <c r="AP184" s="149"/>
      <c r="AQ184" s="149"/>
      <c r="AS184" s="149"/>
      <c r="AT184" s="149"/>
      <c r="AU184" s="149"/>
      <c r="AV184" s="149"/>
      <c r="AW184" s="149"/>
      <c r="AY184" s="114" t="s">
        <v>255</v>
      </c>
      <c r="BA184" s="81"/>
      <c r="BB184" s="81"/>
      <c r="BC184" s="81"/>
      <c r="BD184" s="49"/>
      <c r="BE184" s="52">
        <v>0.64200000000000002</v>
      </c>
      <c r="BF184" s="53">
        <v>0.59799999999999998</v>
      </c>
      <c r="BG184" s="53">
        <v>0.56100000000000005</v>
      </c>
      <c r="BH184" s="64">
        <f>+L184</f>
        <v>0.51400000000000001</v>
      </c>
      <c r="BI184" s="52">
        <v>0.46600000000000003</v>
      </c>
      <c r="BJ184" s="53">
        <v>0.443</v>
      </c>
      <c r="BK184" s="53">
        <v>0.39200000000000002</v>
      </c>
      <c r="BL184" s="64">
        <f>+M184</f>
        <v>0.34799999999999998</v>
      </c>
      <c r="BM184" s="52">
        <v>0.29699999999999999</v>
      </c>
      <c r="BN184" s="53">
        <v>0.24399999999999999</v>
      </c>
      <c r="BO184" s="53">
        <v>0.34499999999999997</v>
      </c>
      <c r="BP184" s="64">
        <f>+N184</f>
        <v>0.28499999999999998</v>
      </c>
      <c r="BQ184" s="52">
        <v>0.23300000000000001</v>
      </c>
      <c r="BR184" s="53">
        <v>0.19900000000000001</v>
      </c>
      <c r="BS184" s="53">
        <v>0</v>
      </c>
      <c r="BT184" s="64">
        <f>O184</f>
        <v>0.55200000000000005</v>
      </c>
      <c r="BU184" s="52">
        <f>124.485+1.749</f>
        <v>126.23399999999999</v>
      </c>
      <c r="BV184" s="53">
        <v>129.636</v>
      </c>
      <c r="BW184" s="53">
        <f>157.503</f>
        <v>157.50299999999999</v>
      </c>
      <c r="BX184" s="64">
        <f>P184</f>
        <v>156.27999999999997</v>
      </c>
      <c r="BY184" s="52">
        <f>152.065+2.106</f>
        <v>154.17099999999999</v>
      </c>
      <c r="BZ184" s="53">
        <f>157.214+2.315</f>
        <v>159.529</v>
      </c>
      <c r="CA184" s="53">
        <f>149.075+3.569</f>
        <v>152.64399999999998</v>
      </c>
      <c r="CB184" s="64">
        <f t="shared" si="217"/>
        <v>144.33799999999999</v>
      </c>
      <c r="CC184" s="52">
        <f>132.829+5.742</f>
        <v>138.571</v>
      </c>
      <c r="CD184" s="53">
        <f>184.925</f>
        <v>184.92500000000001</v>
      </c>
      <c r="CE184" s="53">
        <v>182.77199999999999</v>
      </c>
      <c r="CF184" s="64">
        <f>R184</f>
        <v>196.21299999999999</v>
      </c>
      <c r="CG184" s="52">
        <f>205.163+10.633</f>
        <v>215.79600000000002</v>
      </c>
      <c r="CH184" s="53">
        <f>213.344+10.204</f>
        <v>223.548</v>
      </c>
      <c r="CI184" s="53">
        <v>227.56399999999999</v>
      </c>
      <c r="CJ184" s="64">
        <f>$S184</f>
        <v>243.53200000000001</v>
      </c>
      <c r="CK184" s="52">
        <f>239.309</f>
        <v>239.309</v>
      </c>
      <c r="CL184" s="53">
        <f>247.928+10.975</f>
        <v>258.90300000000002</v>
      </c>
      <c r="CM184" s="53">
        <f>272.154</f>
        <v>272.154</v>
      </c>
      <c r="CN184" s="64">
        <f>$T184</f>
        <v>276.91300000000001</v>
      </c>
      <c r="CO184" s="52">
        <f>290.951+15.362</f>
        <v>306.31300000000005</v>
      </c>
      <c r="CP184" s="53">
        <v>307.11799999999999</v>
      </c>
      <c r="CQ184" s="53">
        <v>305.41199999999998</v>
      </c>
      <c r="CR184" s="64">
        <f>$U184</f>
        <v>337.19</v>
      </c>
      <c r="CS184" s="53">
        <v>332.52300000000002</v>
      </c>
      <c r="CT184" s="53">
        <v>324.601</v>
      </c>
      <c r="CU184" s="53">
        <f>328.194</f>
        <v>328.19400000000002</v>
      </c>
      <c r="CV184" s="64">
        <f>$V184</f>
        <v>350.61599999999999</v>
      </c>
      <c r="CW184" s="53"/>
      <c r="CX184" s="53"/>
      <c r="CY184" s="53"/>
      <c r="CZ184" s="64">
        <f>$W184</f>
        <v>350.61599999999999</v>
      </c>
    </row>
    <row r="185" spans="2:104" s="402" customFormat="1" ht="13.15">
      <c r="B185" s="401" t="s">
        <v>256</v>
      </c>
      <c r="H185" s="403">
        <f t="shared" ref="H185:M185" si="237">SUM(H181:H184)</f>
        <v>223.03899999999999</v>
      </c>
      <c r="I185" s="403">
        <f t="shared" si="237"/>
        <v>598.55399999999997</v>
      </c>
      <c r="J185" s="403">
        <f t="shared" si="237"/>
        <v>474.06300000000005</v>
      </c>
      <c r="K185" s="403">
        <f t="shared" si="237"/>
        <v>590.90700000000004</v>
      </c>
      <c r="L185" s="403">
        <f t="shared" si="237"/>
        <v>516.11500000000001</v>
      </c>
      <c r="M185" s="403">
        <f t="shared" si="237"/>
        <v>550.53</v>
      </c>
      <c r="N185" s="403">
        <f t="shared" ref="N185:Y185" si="238">SUM(N181:N184)</f>
        <v>438.56200000000001</v>
      </c>
      <c r="O185" s="403">
        <f t="shared" si="238"/>
        <v>493.31800000000004</v>
      </c>
      <c r="P185" s="403">
        <f t="shared" si="238"/>
        <v>773.69699999999989</v>
      </c>
      <c r="Q185" s="403">
        <f t="shared" si="238"/>
        <v>631.48299999999995</v>
      </c>
      <c r="R185" s="403">
        <f t="shared" si="238"/>
        <v>1011.9349999999999</v>
      </c>
      <c r="S185" s="403">
        <f t="shared" si="238"/>
        <v>1150.0539999999999</v>
      </c>
      <c r="T185" s="403">
        <f t="shared" si="238"/>
        <v>1004.3249999999999</v>
      </c>
      <c r="U185" s="403">
        <f t="shared" si="238"/>
        <v>1321.0910000000001</v>
      </c>
      <c r="V185" s="403">
        <f>SUM(V181:V184)</f>
        <v>1068.3580000000002</v>
      </c>
      <c r="W185" s="403">
        <f t="shared" si="238"/>
        <v>1058.2780417376666</v>
      </c>
      <c r="X185" s="403">
        <f t="shared" si="238"/>
        <v>1061.2504447239112</v>
      </c>
      <c r="Y185" s="404">
        <f t="shared" si="238"/>
        <v>1063.7141780996653</v>
      </c>
      <c r="AC185" s="81"/>
      <c r="AD185" s="81"/>
      <c r="AE185" s="81"/>
      <c r="AF185" s="81"/>
      <c r="AG185" s="81"/>
      <c r="AH185" s="81"/>
      <c r="AI185" s="81"/>
      <c r="AJ185" s="81"/>
      <c r="AK185" s="81"/>
      <c r="AL185" s="81"/>
      <c r="AM185" s="81"/>
      <c r="AN185" s="81"/>
      <c r="AO185" s="81"/>
      <c r="AP185" s="81"/>
      <c r="AQ185" s="81"/>
      <c r="AS185" s="81"/>
      <c r="AT185" s="81"/>
      <c r="AU185" s="81"/>
      <c r="AV185" s="81"/>
      <c r="AW185" s="81"/>
      <c r="AY185" s="401" t="s">
        <v>256</v>
      </c>
      <c r="BA185" s="405">
        <v>227.22900000000001</v>
      </c>
      <c r="BB185" s="405">
        <v>349.56</v>
      </c>
      <c r="BC185" s="405">
        <v>352.73200000000003</v>
      </c>
      <c r="BD185" s="405">
        <f>+K185</f>
        <v>590.90700000000004</v>
      </c>
      <c r="BE185" s="406">
        <f>SUM(BE181:BE184)</f>
        <v>697.43600000000015</v>
      </c>
      <c r="BF185" s="405">
        <f t="shared" ref="BF185:BW185" si="239">SUM(BF181:BF184)</f>
        <v>805.9079999999999</v>
      </c>
      <c r="BG185" s="405">
        <f t="shared" si="239"/>
        <v>636.53899999999999</v>
      </c>
      <c r="BH185" s="407">
        <f t="shared" si="239"/>
        <v>516.11500000000001</v>
      </c>
      <c r="BI185" s="406">
        <f t="shared" si="239"/>
        <v>585.61700000000008</v>
      </c>
      <c r="BJ185" s="405">
        <f t="shared" si="239"/>
        <v>674.33999999999992</v>
      </c>
      <c r="BK185" s="405">
        <f t="shared" si="239"/>
        <v>577.91899999999998</v>
      </c>
      <c r="BL185" s="407">
        <f t="shared" si="239"/>
        <v>550.53</v>
      </c>
      <c r="BM185" s="406">
        <f t="shared" si="239"/>
        <v>659.49500000000012</v>
      </c>
      <c r="BN185" s="405">
        <f t="shared" si="239"/>
        <v>803.98</v>
      </c>
      <c r="BO185" s="405">
        <f t="shared" si="239"/>
        <v>745.44399999999996</v>
      </c>
      <c r="BP185" s="407">
        <f t="shared" si="239"/>
        <v>438.56200000000001</v>
      </c>
      <c r="BQ185" s="406">
        <f t="shared" si="239"/>
        <v>468.964</v>
      </c>
      <c r="BR185" s="405">
        <f t="shared" si="239"/>
        <v>664.72199999999998</v>
      </c>
      <c r="BS185" s="405">
        <f t="shared" si="239"/>
        <v>508.82100000000003</v>
      </c>
      <c r="BT185" s="407">
        <f t="shared" si="239"/>
        <v>493.31800000000004</v>
      </c>
      <c r="BU185" s="406">
        <f t="shared" si="239"/>
        <v>725.45100000000002</v>
      </c>
      <c r="BV185" s="405">
        <f t="shared" si="239"/>
        <v>929.75400000000002</v>
      </c>
      <c r="BW185" s="405">
        <f t="shared" si="239"/>
        <v>869.09099999999989</v>
      </c>
      <c r="BX185" s="407">
        <f>SUM(BX181:BX184)</f>
        <v>773.69699999999989</v>
      </c>
      <c r="BY185" s="406">
        <f>SUM(BY181:BY184)</f>
        <v>830.78800000000001</v>
      </c>
      <c r="BZ185" s="405">
        <f>SUM(BZ181:BZ184)</f>
        <v>831.74399999999991</v>
      </c>
      <c r="CA185" s="405">
        <f>SUM(CA181:CA184)</f>
        <v>762.81000000000006</v>
      </c>
      <c r="CB185" s="407">
        <f t="shared" si="217"/>
        <v>631.48299999999995</v>
      </c>
      <c r="CC185" s="406">
        <f>SUM(CC181:CC184)</f>
        <v>818.29099999999994</v>
      </c>
      <c r="CD185" s="405">
        <f>SUM(CD181:CD184)</f>
        <v>1120.521</v>
      </c>
      <c r="CE185" s="405">
        <f>SUM(CE181:CE184)</f>
        <v>987.86500000000001</v>
      </c>
      <c r="CF185" s="407">
        <f>R185</f>
        <v>1011.9349999999999</v>
      </c>
      <c r="CG185" s="406">
        <f>SUM(CG181:CG184)</f>
        <v>1315.135</v>
      </c>
      <c r="CH185" s="405">
        <f>SUM(CH181:CH184)</f>
        <v>1488.491</v>
      </c>
      <c r="CI185" s="405">
        <f>SUM(CI181:CI184)</f>
        <v>1175.886</v>
      </c>
      <c r="CJ185" s="407">
        <f>$S185</f>
        <v>1150.0539999999999</v>
      </c>
      <c r="CK185" s="406">
        <f>SUM(CK181:CK184)</f>
        <v>1389.992</v>
      </c>
      <c r="CL185" s="405">
        <f>SUM(CL181:CL184)</f>
        <v>1557.8019999999999</v>
      </c>
      <c r="CM185" s="405">
        <f>SUM(CM181:CM184)</f>
        <v>1265.3820000000001</v>
      </c>
      <c r="CN185" s="407">
        <f>$T185</f>
        <v>1004.3249999999999</v>
      </c>
      <c r="CO185" s="406">
        <f>SUM(CO181:CO184)</f>
        <v>1332.4390000000001</v>
      </c>
      <c r="CP185" s="405">
        <f>SUM(CP181:CP184)</f>
        <v>1252.2849999999999</v>
      </c>
      <c r="CQ185" s="405">
        <f>SUM(CQ181:CQ184)</f>
        <v>1238.5609999999999</v>
      </c>
      <c r="CR185" s="407">
        <f>$U185</f>
        <v>1321.0910000000001</v>
      </c>
      <c r="CS185" s="405">
        <f>SUM(CS181:CS184)</f>
        <v>1257.662</v>
      </c>
      <c r="CT185" s="405">
        <f>SUM(CT181:CT184)</f>
        <v>1395.5169999999998</v>
      </c>
      <c r="CU185" s="405">
        <f>SUM(CU181:CU184)</f>
        <v>1140.338</v>
      </c>
      <c r="CV185" s="407">
        <f>$V185</f>
        <v>1068.3580000000002</v>
      </c>
      <c r="CW185" s="81"/>
      <c r="CX185" s="81"/>
      <c r="CY185" s="81"/>
      <c r="CZ185" s="407">
        <f>$W185</f>
        <v>1058.2780417376666</v>
      </c>
    </row>
    <row r="186" spans="2:104" ht="13.15">
      <c r="B186" s="114" t="s">
        <v>206</v>
      </c>
      <c r="H186" s="411" t="s">
        <v>206</v>
      </c>
      <c r="I186" s="411" t="s">
        <v>206</v>
      </c>
      <c r="J186" s="411" t="s">
        <v>206</v>
      </c>
      <c r="K186" s="411" t="s">
        <v>206</v>
      </c>
      <c r="L186" s="411" t="s">
        <v>206</v>
      </c>
      <c r="M186" s="411" t="s">
        <v>206</v>
      </c>
      <c r="N186" s="411"/>
      <c r="O186" s="411"/>
      <c r="P186" s="411"/>
      <c r="Q186" s="411"/>
      <c r="R186" s="411"/>
      <c r="S186" s="411"/>
      <c r="T186" s="411"/>
      <c r="U186" s="411"/>
      <c r="V186" s="411"/>
      <c r="W186" s="411"/>
      <c r="X186" s="411"/>
      <c r="Y186" s="412"/>
      <c r="AY186" s="114" t="s">
        <v>206</v>
      </c>
      <c r="BA186" s="81"/>
      <c r="BB186" s="81"/>
      <c r="BC186" s="81"/>
      <c r="BD186" s="81"/>
      <c r="BE186" s="413"/>
      <c r="BF186" s="411" t="s">
        <v>206</v>
      </c>
      <c r="BG186" s="411" t="s">
        <v>206</v>
      </c>
      <c r="BH186" s="412"/>
      <c r="BI186" s="413" t="s">
        <v>206</v>
      </c>
      <c r="BJ186" s="411" t="s">
        <v>206</v>
      </c>
      <c r="BK186" s="411" t="s">
        <v>206</v>
      </c>
      <c r="BL186" s="412"/>
      <c r="BM186" s="413" t="s">
        <v>206</v>
      </c>
      <c r="BN186" s="411" t="s">
        <v>206</v>
      </c>
      <c r="BO186" s="411"/>
      <c r="BP186" s="412"/>
      <c r="BQ186" s="413" t="s">
        <v>206</v>
      </c>
      <c r="BR186" s="411" t="s">
        <v>206</v>
      </c>
      <c r="BS186" s="411"/>
      <c r="BT186" s="412"/>
      <c r="BU186" s="413"/>
      <c r="BV186" s="411"/>
      <c r="BW186" s="411"/>
      <c r="BX186" s="412"/>
      <c r="BY186" s="413"/>
      <c r="BZ186" s="309"/>
      <c r="CA186" s="309"/>
      <c r="CB186" s="412"/>
      <c r="CC186" s="413"/>
      <c r="CD186" s="309"/>
      <c r="CE186" s="309"/>
      <c r="CF186" s="412"/>
      <c r="CG186" s="413"/>
      <c r="CH186" s="309"/>
      <c r="CI186" s="309"/>
      <c r="CJ186" s="412"/>
      <c r="CK186" s="413"/>
      <c r="CL186" s="309"/>
      <c r="CM186" s="309"/>
      <c r="CN186" s="412"/>
      <c r="CO186" s="308"/>
      <c r="CP186" s="309"/>
      <c r="CQ186" s="309"/>
      <c r="CR186" s="412"/>
      <c r="CS186" s="309"/>
      <c r="CT186" s="309"/>
      <c r="CU186" s="309"/>
      <c r="CV186" s="412"/>
      <c r="CW186" s="411"/>
      <c r="CX186" s="411"/>
      <c r="CY186" s="411"/>
      <c r="CZ186" s="412"/>
    </row>
    <row r="187" spans="2:104">
      <c r="B187" s="114" t="s">
        <v>257</v>
      </c>
      <c r="H187" s="53">
        <v>43.399000000000001</v>
      </c>
      <c r="I187" s="53">
        <v>61.460999999999999</v>
      </c>
      <c r="J187" s="53">
        <v>68.075999999999993</v>
      </c>
      <c r="K187" s="53">
        <v>68.120999999999995</v>
      </c>
      <c r="L187" s="53">
        <v>68.605999999999995</v>
      </c>
      <c r="M187" s="53">
        <v>72.370999999999995</v>
      </c>
      <c r="N187" s="53">
        <v>57.338000000000001</v>
      </c>
      <c r="O187" s="53">
        <v>66.001999999999995</v>
      </c>
      <c r="P187" s="53">
        <v>67.691000000000003</v>
      </c>
      <c r="Q187" s="53">
        <v>73.102999999999994</v>
      </c>
      <c r="R187" s="53">
        <v>76.510999999999996</v>
      </c>
      <c r="S187" s="53">
        <v>89.882000000000005</v>
      </c>
      <c r="T187" s="53">
        <v>108.667</v>
      </c>
      <c r="U187" s="53">
        <v>94.194000000000003</v>
      </c>
      <c r="V187" s="53">
        <v>124.386</v>
      </c>
      <c r="W187" s="53">
        <f>V187</f>
        <v>124.386</v>
      </c>
      <c r="X187" s="53">
        <f>W187</f>
        <v>124.386</v>
      </c>
      <c r="Y187" s="64">
        <f>X187</f>
        <v>124.386</v>
      </c>
      <c r="AY187" s="114" t="s">
        <v>257</v>
      </c>
      <c r="BA187" s="49"/>
      <c r="BB187" s="49"/>
      <c r="BC187" s="49"/>
      <c r="BD187" s="49"/>
      <c r="BE187" s="52">
        <v>67.662000000000006</v>
      </c>
      <c r="BF187" s="53">
        <v>69.948999999999998</v>
      </c>
      <c r="BG187" s="53">
        <v>71.355000000000004</v>
      </c>
      <c r="BH187" s="64">
        <f>+L187</f>
        <v>68.605999999999995</v>
      </c>
      <c r="BI187" s="52">
        <v>70.569000000000003</v>
      </c>
      <c r="BJ187" s="53">
        <v>72.010999999999996</v>
      </c>
      <c r="BK187" s="53">
        <v>73.343999999999994</v>
      </c>
      <c r="BL187" s="64">
        <f>+M187</f>
        <v>72.370999999999995</v>
      </c>
      <c r="BM187" s="52">
        <v>67.566000000000003</v>
      </c>
      <c r="BN187" s="53">
        <v>70.078000000000003</v>
      </c>
      <c r="BO187" s="53">
        <v>70.739999999999995</v>
      </c>
      <c r="BP187" s="64">
        <f>+N187</f>
        <v>57.338000000000001</v>
      </c>
      <c r="BQ187" s="52">
        <v>57.688000000000002</v>
      </c>
      <c r="BR187" s="53">
        <v>58.904000000000003</v>
      </c>
      <c r="BS187" s="53">
        <v>61.377000000000002</v>
      </c>
      <c r="BT187" s="64">
        <f>O187</f>
        <v>66.001999999999995</v>
      </c>
      <c r="BU187" s="52">
        <v>66.180999999999997</v>
      </c>
      <c r="BV187" s="53">
        <v>69.317999999999998</v>
      </c>
      <c r="BW187" s="53">
        <v>70.945999999999998</v>
      </c>
      <c r="BX187" s="64">
        <f>P187</f>
        <v>67.691000000000003</v>
      </c>
      <c r="BY187" s="52">
        <v>68.155000000000001</v>
      </c>
      <c r="BZ187" s="53">
        <v>68.900999999999996</v>
      </c>
      <c r="CA187" s="53">
        <v>74.936999999999998</v>
      </c>
      <c r="CB187" s="64">
        <f t="shared" si="217"/>
        <v>73.102999999999994</v>
      </c>
      <c r="CC187" s="52">
        <f>77.146</f>
        <v>77.146000000000001</v>
      </c>
      <c r="CD187" s="53">
        <v>79.63</v>
      </c>
      <c r="CE187" s="53">
        <v>81.531000000000006</v>
      </c>
      <c r="CF187" s="64">
        <f>R187</f>
        <v>76.510999999999996</v>
      </c>
      <c r="CG187" s="52">
        <v>78.039000000000001</v>
      </c>
      <c r="CH187" s="53">
        <v>80.325999999999993</v>
      </c>
      <c r="CI187" s="53">
        <v>92.578000000000003</v>
      </c>
      <c r="CJ187" s="64">
        <f>$S187</f>
        <v>89.882000000000005</v>
      </c>
      <c r="CK187" s="52">
        <v>102.325</v>
      </c>
      <c r="CL187" s="53">
        <v>93.159000000000006</v>
      </c>
      <c r="CM187" s="53">
        <f>95.338+12.585</f>
        <v>107.923</v>
      </c>
      <c r="CN187" s="64">
        <f>$T187</f>
        <v>108.667</v>
      </c>
      <c r="CO187" s="52">
        <v>97.105999999999995</v>
      </c>
      <c r="CP187" s="53">
        <v>98.849000000000004</v>
      </c>
      <c r="CQ187" s="53">
        <v>117.044</v>
      </c>
      <c r="CR187" s="64">
        <f>$U187</f>
        <v>94.194000000000003</v>
      </c>
      <c r="CS187" s="53">
        <v>108.831</v>
      </c>
      <c r="CT187" s="53">
        <v>112.17700000000001</v>
      </c>
      <c r="CU187" s="53">
        <v>112.735</v>
      </c>
      <c r="CV187" s="64">
        <f>$V187</f>
        <v>124.386</v>
      </c>
      <c r="CW187" s="53"/>
      <c r="CX187" s="53"/>
      <c r="CY187" s="53"/>
      <c r="CZ187" s="64">
        <f>$W187</f>
        <v>124.386</v>
      </c>
    </row>
    <row r="188" spans="2:104" ht="13.15">
      <c r="B188" s="131" t="s">
        <v>258</v>
      </c>
      <c r="H188" s="411" t="s">
        <v>206</v>
      </c>
      <c r="I188" s="411" t="s">
        <v>206</v>
      </c>
      <c r="J188" s="411" t="s">
        <v>206</v>
      </c>
      <c r="K188" s="411"/>
      <c r="L188" s="411"/>
      <c r="M188" s="411" t="s">
        <v>206</v>
      </c>
      <c r="N188" s="411"/>
      <c r="O188" s="411"/>
      <c r="P188" s="411"/>
      <c r="Q188" s="411"/>
      <c r="R188" s="411"/>
      <c r="S188" s="411"/>
      <c r="T188" s="411"/>
      <c r="U188" s="411"/>
      <c r="V188" s="411"/>
      <c r="W188" s="411"/>
      <c r="X188" s="411"/>
      <c r="Y188" s="412"/>
      <c r="AY188" s="131" t="s">
        <v>258</v>
      </c>
      <c r="BA188" s="49"/>
      <c r="BB188" s="49"/>
      <c r="BC188" s="49"/>
      <c r="BD188" s="49"/>
      <c r="BE188" s="413"/>
      <c r="BF188" s="411"/>
      <c r="BG188" s="411"/>
      <c r="BH188" s="412"/>
      <c r="BI188" s="413"/>
      <c r="BJ188" s="411"/>
      <c r="BK188" s="411"/>
      <c r="BL188" s="412"/>
      <c r="BM188" s="413"/>
      <c r="BN188" s="411"/>
      <c r="BO188" s="411"/>
      <c r="BP188" s="412"/>
      <c r="BQ188" s="413"/>
      <c r="BR188" s="411"/>
      <c r="BS188" s="411"/>
      <c r="BT188" s="412"/>
      <c r="BU188" s="413"/>
      <c r="BV188" s="411"/>
      <c r="BW188" s="411"/>
      <c r="BX188" s="412"/>
      <c r="BY188" s="413"/>
      <c r="BZ188" s="411"/>
      <c r="CA188" s="411"/>
      <c r="CB188" s="64"/>
      <c r="CC188" s="413"/>
      <c r="CD188" s="411"/>
      <c r="CE188" s="411"/>
      <c r="CF188" s="64"/>
      <c r="CG188" s="413"/>
      <c r="CH188" s="411"/>
      <c r="CI188" s="411"/>
      <c r="CJ188" s="64"/>
      <c r="CK188" s="413"/>
      <c r="CL188" s="312"/>
      <c r="CM188" s="411"/>
      <c r="CN188" s="64"/>
      <c r="CO188" s="416"/>
      <c r="CP188" s="417"/>
      <c r="CQ188" s="417"/>
      <c r="CR188" s="64"/>
      <c r="CS188" s="417"/>
      <c r="CT188" s="417"/>
      <c r="CU188" s="417"/>
      <c r="CV188" s="64"/>
      <c r="CW188" s="53"/>
      <c r="CX188" s="53"/>
      <c r="CY188" s="53"/>
      <c r="CZ188" s="64"/>
    </row>
    <row r="189" spans="2:104">
      <c r="B189" s="114" t="s">
        <v>259</v>
      </c>
      <c r="H189" s="53">
        <v>17.338000000000001</v>
      </c>
      <c r="I189" s="53">
        <v>18.131</v>
      </c>
      <c r="J189" s="53">
        <v>18.181999999999999</v>
      </c>
      <c r="K189" s="53">
        <v>18.222000000000001</v>
      </c>
      <c r="L189" s="53">
        <v>18.308</v>
      </c>
      <c r="M189" s="53">
        <v>18.341000000000001</v>
      </c>
      <c r="N189" s="53">
        <v>18.411999999999999</v>
      </c>
      <c r="O189" s="53">
        <v>18.475999999999999</v>
      </c>
      <c r="P189" s="53">
        <v>18.768000000000001</v>
      </c>
      <c r="Q189" s="53">
        <v>18.850999999999999</v>
      </c>
      <c r="R189" s="53">
        <v>18.940999999999999</v>
      </c>
      <c r="S189" s="53">
        <v>19.053999999999998</v>
      </c>
      <c r="T189" s="53">
        <v>19.353000000000002</v>
      </c>
      <c r="U189" s="53">
        <v>19.431000000000001</v>
      </c>
      <c r="V189" s="53"/>
      <c r="W189" s="53">
        <f t="shared" ref="W189:Y193" si="240">V189</f>
        <v>0</v>
      </c>
      <c r="X189" s="53">
        <f t="shared" si="240"/>
        <v>0</v>
      </c>
      <c r="Y189" s="64">
        <f t="shared" si="240"/>
        <v>0</v>
      </c>
      <c r="AY189" s="114" t="s">
        <v>259</v>
      </c>
      <c r="BA189" s="49"/>
      <c r="BB189" s="49"/>
      <c r="BC189" s="49"/>
      <c r="BD189" s="49"/>
      <c r="BE189" s="52">
        <v>18.268000000000001</v>
      </c>
      <c r="BF189" s="53">
        <v>18.274999999999999</v>
      </c>
      <c r="BG189" s="53">
        <v>18.283000000000001</v>
      </c>
      <c r="BH189" s="64">
        <f t="shared" ref="BH189:BH195" si="241">+L189</f>
        <v>18.308</v>
      </c>
      <c r="BI189" s="52">
        <v>18.329999999999998</v>
      </c>
      <c r="BJ189" s="53">
        <v>18.327999999999999</v>
      </c>
      <c r="BK189" s="53">
        <v>18.34</v>
      </c>
      <c r="BL189" s="64">
        <f t="shared" ref="BL189:BL195" si="242">+M189</f>
        <v>18.341000000000001</v>
      </c>
      <c r="BM189" s="52">
        <v>18.359000000000002</v>
      </c>
      <c r="BN189" s="53">
        <v>18.350999999999999</v>
      </c>
      <c r="BO189" s="53">
        <v>18.350000000000001</v>
      </c>
      <c r="BP189" s="64">
        <f t="shared" ref="BP189:BP195" si="243">+N189</f>
        <v>18.411999999999999</v>
      </c>
      <c r="BQ189" s="52">
        <v>18.437999999999999</v>
      </c>
      <c r="BR189" s="53">
        <v>18.437000000000001</v>
      </c>
      <c r="BS189" s="53">
        <v>18.463999999999999</v>
      </c>
      <c r="BT189" s="64">
        <f t="shared" ref="BT189:BT195" si="244">O189</f>
        <v>18.475999999999999</v>
      </c>
      <c r="BU189" s="52">
        <v>18.498000000000001</v>
      </c>
      <c r="BV189" s="53">
        <v>18.530999999999999</v>
      </c>
      <c r="BW189" s="53">
        <v>18.734000000000002</v>
      </c>
      <c r="BX189" s="64">
        <f t="shared" ref="BX189:BX195" si="245">P189</f>
        <v>18.768000000000001</v>
      </c>
      <c r="BY189" s="52">
        <v>18.789000000000001</v>
      </c>
      <c r="BZ189" s="53">
        <v>18.803999999999998</v>
      </c>
      <c r="CA189" s="53">
        <v>18.829999999999998</v>
      </c>
      <c r="CB189" s="64">
        <f t="shared" si="217"/>
        <v>18.850999999999999</v>
      </c>
      <c r="CC189" s="52">
        <v>18.863</v>
      </c>
      <c r="CD189" s="53">
        <v>18.893000000000001</v>
      </c>
      <c r="CE189" s="53">
        <v>18.913</v>
      </c>
      <c r="CF189" s="64">
        <f t="shared" ref="CF189:CF197" si="246">R189</f>
        <v>18.940999999999999</v>
      </c>
      <c r="CG189" s="52">
        <v>18.986999999999998</v>
      </c>
      <c r="CH189" s="53">
        <v>19.007000000000001</v>
      </c>
      <c r="CI189" s="53">
        <v>19.039000000000001</v>
      </c>
      <c r="CJ189" s="64">
        <f t="shared" ref="CJ189:CJ197" si="247">$S189</f>
        <v>19.053999999999998</v>
      </c>
      <c r="CK189" s="52">
        <v>19.122</v>
      </c>
      <c r="CL189" s="53">
        <v>19.155000000000001</v>
      </c>
      <c r="CM189" s="53">
        <v>19.323</v>
      </c>
      <c r="CN189" s="64">
        <f t="shared" ref="CN189:CN197" si="248">$T189</f>
        <v>19.353000000000002</v>
      </c>
      <c r="CO189" s="52">
        <v>19.408000000000001</v>
      </c>
      <c r="CP189" s="53">
        <v>19.427</v>
      </c>
      <c r="CQ189" s="53"/>
      <c r="CR189" s="64">
        <f t="shared" ref="CR189:CR197" si="249">$U189</f>
        <v>19.431000000000001</v>
      </c>
      <c r="CS189" s="53"/>
      <c r="CT189" s="53"/>
      <c r="CU189" s="53"/>
      <c r="CV189" s="64">
        <f t="shared" ref="CV189:CV197" si="250">$V189</f>
        <v>0</v>
      </c>
      <c r="CW189" s="53"/>
      <c r="CX189" s="53"/>
      <c r="CY189" s="53"/>
      <c r="CZ189" s="64">
        <f t="shared" ref="CZ189:CZ197" si="251">$W189</f>
        <v>0</v>
      </c>
    </row>
    <row r="190" spans="2:104">
      <c r="B190" s="114" t="s">
        <v>260</v>
      </c>
      <c r="H190" s="53">
        <v>2.35</v>
      </c>
      <c r="I190" s="53">
        <v>2.3149999999999999</v>
      </c>
      <c r="J190" s="53">
        <v>2.367</v>
      </c>
      <c r="K190" s="53">
        <v>2.4670000000000001</v>
      </c>
      <c r="L190" s="53">
        <v>2.5329999999999999</v>
      </c>
      <c r="M190" s="53">
        <v>2.61</v>
      </c>
      <c r="N190" s="53">
        <v>2.6379999999999999</v>
      </c>
      <c r="O190" s="53">
        <v>2.6909999999999998</v>
      </c>
      <c r="P190" s="53">
        <v>2.7650000000000001</v>
      </c>
      <c r="Q190" s="53">
        <v>2.8460000000000001</v>
      </c>
      <c r="R190" s="53">
        <v>2.895</v>
      </c>
      <c r="S190" s="53">
        <v>2.7570000000000001</v>
      </c>
      <c r="T190" s="53">
        <v>2.7810000000000001</v>
      </c>
      <c r="U190" s="53">
        <v>2.7890000000000001</v>
      </c>
      <c r="V190" s="53"/>
      <c r="W190" s="53">
        <f t="shared" si="240"/>
        <v>0</v>
      </c>
      <c r="X190" s="53">
        <f t="shared" si="240"/>
        <v>0</v>
      </c>
      <c r="Y190" s="64">
        <f t="shared" si="240"/>
        <v>0</v>
      </c>
      <c r="AR190" s="7"/>
      <c r="AY190" s="114" t="s">
        <v>260</v>
      </c>
      <c r="BA190" s="49"/>
      <c r="BB190" s="49"/>
      <c r="BC190" s="49"/>
      <c r="BD190" s="49"/>
      <c r="BE190" s="52">
        <v>2.5179999999999998</v>
      </c>
      <c r="BF190" s="53">
        <v>2.5310000000000001</v>
      </c>
      <c r="BG190" s="53">
        <v>2.54</v>
      </c>
      <c r="BH190" s="64">
        <f t="shared" si="241"/>
        <v>2.5329999999999999</v>
      </c>
      <c r="BI190" s="52">
        <v>2.5739999999999998</v>
      </c>
      <c r="BJ190" s="53">
        <v>2.5790000000000002</v>
      </c>
      <c r="BK190" s="53">
        <v>2.59</v>
      </c>
      <c r="BL190" s="64">
        <f t="shared" si="242"/>
        <v>2.61</v>
      </c>
      <c r="BM190" s="52">
        <v>2.6579999999999999</v>
      </c>
      <c r="BN190" s="53">
        <v>2.6829999999999998</v>
      </c>
      <c r="BO190" s="53">
        <v>2.6869999999999998</v>
      </c>
      <c r="BP190" s="64">
        <f t="shared" si="243"/>
        <v>2.6379999999999999</v>
      </c>
      <c r="BQ190" s="52">
        <v>2.681</v>
      </c>
      <c r="BR190" s="53">
        <v>2.6829999999999998</v>
      </c>
      <c r="BS190" s="53">
        <v>2.6840000000000002</v>
      </c>
      <c r="BT190" s="64">
        <f t="shared" si="244"/>
        <v>2.6909999999999998</v>
      </c>
      <c r="BU190" s="52">
        <v>2.7229999999999999</v>
      </c>
      <c r="BV190" s="53">
        <v>2.7349999999999999</v>
      </c>
      <c r="BW190" s="53">
        <v>2.7509999999999999</v>
      </c>
      <c r="BX190" s="64">
        <f t="shared" si="245"/>
        <v>2.7650000000000001</v>
      </c>
      <c r="BY190" s="52">
        <v>2.8210000000000002</v>
      </c>
      <c r="BZ190" s="53">
        <v>2.8260000000000001</v>
      </c>
      <c r="CA190" s="53">
        <v>2.83</v>
      </c>
      <c r="CB190" s="64">
        <f t="shared" si="217"/>
        <v>2.8460000000000001</v>
      </c>
      <c r="CC190" s="52">
        <v>2.8969999999999998</v>
      </c>
      <c r="CD190" s="53">
        <v>2.9060000000000001</v>
      </c>
      <c r="CE190" s="53">
        <v>2.9039999999999999</v>
      </c>
      <c r="CF190" s="64">
        <f t="shared" si="246"/>
        <v>2.895</v>
      </c>
      <c r="CG190" s="52">
        <v>2.9249999999999998</v>
      </c>
      <c r="CH190" s="53">
        <v>2.9180000000000001</v>
      </c>
      <c r="CI190" s="53">
        <v>2.9169999999999998</v>
      </c>
      <c r="CJ190" s="64">
        <f t="shared" si="247"/>
        <v>2.7570000000000001</v>
      </c>
      <c r="CK190" s="52">
        <v>2.7909999999999999</v>
      </c>
      <c r="CL190" s="53">
        <v>2.7909999999999999</v>
      </c>
      <c r="CM190" s="53">
        <v>2.7879999999999998</v>
      </c>
      <c r="CN190" s="64">
        <f t="shared" si="248"/>
        <v>2.7810000000000001</v>
      </c>
      <c r="CO190" s="52">
        <v>2.8010000000000002</v>
      </c>
      <c r="CP190" s="53">
        <v>2.8</v>
      </c>
      <c r="CQ190" s="53"/>
      <c r="CR190" s="64">
        <f t="shared" si="249"/>
        <v>2.7890000000000001</v>
      </c>
      <c r="CS190" s="53"/>
      <c r="CT190" s="53"/>
      <c r="CU190" s="53"/>
      <c r="CV190" s="64">
        <f t="shared" si="250"/>
        <v>0</v>
      </c>
      <c r="CW190" s="53"/>
      <c r="CX190" s="53"/>
      <c r="CY190" s="53"/>
      <c r="CZ190" s="64">
        <f t="shared" si="251"/>
        <v>0</v>
      </c>
    </row>
    <row r="191" spans="2:104">
      <c r="B191" s="114" t="s">
        <v>261</v>
      </c>
      <c r="H191" s="53">
        <v>0</v>
      </c>
      <c r="I191" s="53">
        <v>0</v>
      </c>
      <c r="J191" s="53">
        <v>0</v>
      </c>
      <c r="K191" s="53">
        <v>0</v>
      </c>
      <c r="L191" s="53">
        <v>0</v>
      </c>
      <c r="M191" s="53">
        <v>0</v>
      </c>
      <c r="N191" s="53">
        <v>0</v>
      </c>
      <c r="O191" s="53">
        <v>0</v>
      </c>
      <c r="P191" s="53">
        <v>0</v>
      </c>
      <c r="Q191" s="53">
        <f>P191</f>
        <v>0</v>
      </c>
      <c r="R191" s="53">
        <f>Q191</f>
        <v>0</v>
      </c>
      <c r="S191" s="53">
        <v>0</v>
      </c>
      <c r="T191" s="53">
        <v>0</v>
      </c>
      <c r="U191" s="53">
        <v>0</v>
      </c>
      <c r="V191" s="53"/>
      <c r="W191" s="53">
        <f t="shared" si="240"/>
        <v>0</v>
      </c>
      <c r="X191" s="53">
        <f t="shared" si="240"/>
        <v>0</v>
      </c>
      <c r="Y191" s="64">
        <f t="shared" si="240"/>
        <v>0</v>
      </c>
      <c r="AR191" s="7"/>
      <c r="AY191" s="114" t="s">
        <v>261</v>
      </c>
      <c r="BA191" s="49"/>
      <c r="BB191" s="49"/>
      <c r="BC191" s="49"/>
      <c r="BD191" s="49"/>
      <c r="BE191" s="52">
        <v>0</v>
      </c>
      <c r="BF191" s="53">
        <v>0</v>
      </c>
      <c r="BG191" s="53">
        <v>0</v>
      </c>
      <c r="BH191" s="64">
        <f t="shared" si="241"/>
        <v>0</v>
      </c>
      <c r="BI191" s="52">
        <v>0</v>
      </c>
      <c r="BJ191" s="53">
        <v>0</v>
      </c>
      <c r="BK191" s="53">
        <v>0</v>
      </c>
      <c r="BL191" s="64">
        <f t="shared" si="242"/>
        <v>0</v>
      </c>
      <c r="BM191" s="52">
        <v>0</v>
      </c>
      <c r="BN191" s="53">
        <v>0</v>
      </c>
      <c r="BO191" s="53">
        <v>0</v>
      </c>
      <c r="BP191" s="64">
        <f t="shared" si="243"/>
        <v>0</v>
      </c>
      <c r="BQ191" s="52">
        <v>0</v>
      </c>
      <c r="BR191" s="53">
        <v>0</v>
      </c>
      <c r="BS191" s="53">
        <v>0</v>
      </c>
      <c r="BT191" s="64">
        <f t="shared" si="244"/>
        <v>0</v>
      </c>
      <c r="BU191" s="52">
        <v>0</v>
      </c>
      <c r="BV191" s="53">
        <v>0</v>
      </c>
      <c r="BW191" s="53">
        <v>0</v>
      </c>
      <c r="BX191" s="64">
        <f t="shared" si="245"/>
        <v>0</v>
      </c>
      <c r="BY191" s="52">
        <v>0</v>
      </c>
      <c r="BZ191" s="53">
        <v>0</v>
      </c>
      <c r="CA191" s="53">
        <v>0</v>
      </c>
      <c r="CB191" s="64">
        <f t="shared" si="217"/>
        <v>0</v>
      </c>
      <c r="CC191" s="52">
        <v>0</v>
      </c>
      <c r="CD191" s="53">
        <v>0</v>
      </c>
      <c r="CE191" s="53">
        <v>0</v>
      </c>
      <c r="CF191" s="64">
        <f t="shared" si="246"/>
        <v>0</v>
      </c>
      <c r="CG191" s="52">
        <v>0</v>
      </c>
      <c r="CH191" s="9">
        <v>0</v>
      </c>
      <c r="CI191" s="53">
        <v>0</v>
      </c>
      <c r="CJ191" s="64">
        <f t="shared" si="247"/>
        <v>0</v>
      </c>
      <c r="CK191" s="52">
        <v>0</v>
      </c>
      <c r="CL191" s="53">
        <v>0</v>
      </c>
      <c r="CM191" s="53">
        <v>0</v>
      </c>
      <c r="CN191" s="64">
        <f t="shared" si="248"/>
        <v>0</v>
      </c>
      <c r="CO191" s="52">
        <v>0</v>
      </c>
      <c r="CP191" s="53">
        <v>0</v>
      </c>
      <c r="CQ191" s="53"/>
      <c r="CR191" s="64">
        <f t="shared" si="249"/>
        <v>0</v>
      </c>
      <c r="CS191" s="53"/>
      <c r="CT191" s="53"/>
      <c r="CU191" s="53"/>
      <c r="CV191" s="64">
        <f t="shared" si="250"/>
        <v>0</v>
      </c>
      <c r="CW191" s="53"/>
      <c r="CX191" s="53"/>
      <c r="CY191" s="53"/>
      <c r="CZ191" s="64">
        <f t="shared" si="251"/>
        <v>0</v>
      </c>
    </row>
    <row r="192" spans="2:104">
      <c r="B192" s="114" t="s">
        <v>262</v>
      </c>
      <c r="H192" s="53">
        <v>493.51900000000001</v>
      </c>
      <c r="I192" s="53">
        <v>592.82000000000005</v>
      </c>
      <c r="J192" s="53">
        <v>606.38400000000001</v>
      </c>
      <c r="K192" s="53">
        <v>580.56399999999996</v>
      </c>
      <c r="L192" s="53">
        <v>602.52200000000005</v>
      </c>
      <c r="M192" s="53">
        <v>592.35</v>
      </c>
      <c r="N192" s="53">
        <v>804.00800000000004</v>
      </c>
      <c r="O192" s="53">
        <v>832.12099999999998</v>
      </c>
      <c r="P192" s="53">
        <v>907.87699999999995</v>
      </c>
      <c r="Q192" s="53">
        <v>950.91499999999996</v>
      </c>
      <c r="R192" s="53">
        <v>1003.932</v>
      </c>
      <c r="S192" s="53">
        <v>973.06</v>
      </c>
      <c r="T192" s="53">
        <v>1153.4590000000001</v>
      </c>
      <c r="U192" s="53">
        <v>1472.17</v>
      </c>
      <c r="V192" s="53"/>
      <c r="W192" s="53">
        <f t="shared" si="240"/>
        <v>0</v>
      </c>
      <c r="X192" s="53">
        <f t="shared" si="240"/>
        <v>0</v>
      </c>
      <c r="Y192" s="64">
        <f t="shared" si="240"/>
        <v>0</v>
      </c>
      <c r="AR192" s="7"/>
      <c r="AY192" s="114" t="s">
        <v>262</v>
      </c>
      <c r="BA192" s="49"/>
      <c r="BB192" s="49"/>
      <c r="BC192" s="49"/>
      <c r="BD192" s="49"/>
      <c r="BE192" s="52">
        <v>588.09199999999998</v>
      </c>
      <c r="BF192" s="53">
        <v>593.01499999999999</v>
      </c>
      <c r="BG192" s="53">
        <v>597.51900000000001</v>
      </c>
      <c r="BH192" s="64">
        <f t="shared" si="241"/>
        <v>602.52200000000005</v>
      </c>
      <c r="BI192" s="52">
        <v>610.28499999999997</v>
      </c>
      <c r="BJ192" s="53">
        <v>610.255</v>
      </c>
      <c r="BK192" s="53">
        <v>614.81100000000004</v>
      </c>
      <c r="BL192" s="64">
        <f t="shared" si="242"/>
        <v>592.35</v>
      </c>
      <c r="BM192" s="52">
        <v>574.95399999999995</v>
      </c>
      <c r="BN192" s="53">
        <v>575.66099999999994</v>
      </c>
      <c r="BO192" s="53">
        <v>582.78899999999999</v>
      </c>
      <c r="BP192" s="64">
        <f t="shared" si="243"/>
        <v>804.00800000000004</v>
      </c>
      <c r="BQ192" s="52">
        <v>814.71100000000001</v>
      </c>
      <c r="BR192" s="53">
        <v>817.55899999999997</v>
      </c>
      <c r="BS192" s="53">
        <v>829.05</v>
      </c>
      <c r="BT192" s="64">
        <f t="shared" si="244"/>
        <v>832.12099999999998</v>
      </c>
      <c r="BU192" s="52">
        <v>841.57500000000005</v>
      </c>
      <c r="BV192" s="53">
        <v>828.93200000000002</v>
      </c>
      <c r="BW192" s="53">
        <v>894.91700000000003</v>
      </c>
      <c r="BX192" s="64">
        <f t="shared" si="245"/>
        <v>907.87699999999995</v>
      </c>
      <c r="BY192" s="52">
        <v>920.19</v>
      </c>
      <c r="BZ192" s="53">
        <v>928.84500000000003</v>
      </c>
      <c r="CA192" s="53">
        <v>940.01499999999999</v>
      </c>
      <c r="CB192" s="64">
        <f t="shared" si="217"/>
        <v>950.91499999999996</v>
      </c>
      <c r="CC192" s="52">
        <v>966.53599999999994</v>
      </c>
      <c r="CD192" s="53">
        <v>979.43</v>
      </c>
      <c r="CE192" s="53">
        <v>988.31</v>
      </c>
      <c r="CF192" s="64">
        <f t="shared" si="246"/>
        <v>1003.932</v>
      </c>
      <c r="CG192" s="52">
        <v>1023.68</v>
      </c>
      <c r="CH192" s="53">
        <v>1032.2909999999999</v>
      </c>
      <c r="CI192" s="53">
        <v>1047.317</v>
      </c>
      <c r="CJ192" s="64">
        <f t="shared" si="247"/>
        <v>973.06</v>
      </c>
      <c r="CK192" s="52">
        <v>997.31600000000003</v>
      </c>
      <c r="CL192" s="53">
        <v>1023.147</v>
      </c>
      <c r="CM192" s="53">
        <v>1138.749</v>
      </c>
      <c r="CN192" s="64">
        <f t="shared" si="248"/>
        <v>1153.4590000000001</v>
      </c>
      <c r="CO192" s="52">
        <v>1452.45</v>
      </c>
      <c r="CP192" s="53">
        <v>1466.537</v>
      </c>
      <c r="CQ192" s="53"/>
      <c r="CR192" s="64">
        <f t="shared" si="249"/>
        <v>1472.17</v>
      </c>
      <c r="CS192" s="53"/>
      <c r="CT192" s="53"/>
      <c r="CU192" s="53"/>
      <c r="CV192" s="64">
        <f t="shared" si="250"/>
        <v>0</v>
      </c>
      <c r="CW192" s="53"/>
      <c r="CX192" s="53"/>
      <c r="CY192" s="53"/>
      <c r="CZ192" s="64">
        <f t="shared" si="251"/>
        <v>0</v>
      </c>
    </row>
    <row r="193" spans="2:104">
      <c r="B193" s="114" t="s">
        <v>263</v>
      </c>
      <c r="H193" s="53">
        <v>-0.35199999999999998</v>
      </c>
      <c r="I193" s="53">
        <v>-2.1019999999999999</v>
      </c>
      <c r="J193" s="53">
        <v>-11.474</v>
      </c>
      <c r="K193" s="53">
        <v>-23.747</v>
      </c>
      <c r="L193" s="53">
        <v>-46.904000000000003</v>
      </c>
      <c r="M193" s="53">
        <v>-43.53</v>
      </c>
      <c r="N193" s="53">
        <v>-34.220999999999997</v>
      </c>
      <c r="O193" s="53">
        <v>-45.968000000000004</v>
      </c>
      <c r="P193" s="53">
        <v>-39.049999999999997</v>
      </c>
      <c r="Q193" s="53">
        <v>-34.866999999999997</v>
      </c>
      <c r="R193" s="53">
        <v>-34.176000000000002</v>
      </c>
      <c r="S193" s="53">
        <v>-47.71</v>
      </c>
      <c r="T193" s="53">
        <v>-42.331000000000003</v>
      </c>
      <c r="U193" s="53">
        <v>-59.893000000000001</v>
      </c>
      <c r="V193" s="53"/>
      <c r="W193" s="53">
        <f t="shared" si="240"/>
        <v>0</v>
      </c>
      <c r="X193" s="53">
        <f t="shared" si="240"/>
        <v>0</v>
      </c>
      <c r="Y193" s="64">
        <f t="shared" si="240"/>
        <v>0</v>
      </c>
      <c r="AR193" s="7"/>
      <c r="AY193" s="114" t="s">
        <v>263</v>
      </c>
      <c r="BA193" s="49"/>
      <c r="BB193" s="49"/>
      <c r="BC193" s="49"/>
      <c r="BD193" s="49"/>
      <c r="BE193" s="52">
        <v>-34.69</v>
      </c>
      <c r="BF193" s="53">
        <v>-33.64</v>
      </c>
      <c r="BG193" s="53">
        <v>-42.033000000000001</v>
      </c>
      <c r="BH193" s="64">
        <f t="shared" si="241"/>
        <v>-46.904000000000003</v>
      </c>
      <c r="BI193" s="52">
        <v>-39.475999999999999</v>
      </c>
      <c r="BJ193" s="53">
        <v>-38.704000000000001</v>
      </c>
      <c r="BK193" s="53">
        <v>-40.531999999999996</v>
      </c>
      <c r="BL193" s="64">
        <f t="shared" si="242"/>
        <v>-43.53</v>
      </c>
      <c r="BM193" s="52">
        <v>-42.49</v>
      </c>
      <c r="BN193" s="53">
        <v>-39.189</v>
      </c>
      <c r="BO193" s="53">
        <v>-33.872</v>
      </c>
      <c r="BP193" s="64">
        <f t="shared" si="243"/>
        <v>-34.220999999999997</v>
      </c>
      <c r="BQ193" s="52">
        <v>-37.569000000000003</v>
      </c>
      <c r="BR193" s="53">
        <v>-40.459000000000003</v>
      </c>
      <c r="BS193" s="53">
        <v>-38.156999999999996</v>
      </c>
      <c r="BT193" s="64">
        <f t="shared" si="244"/>
        <v>-45.968000000000004</v>
      </c>
      <c r="BU193" s="52">
        <v>-43.185000000000002</v>
      </c>
      <c r="BV193" s="53">
        <v>-40.146000000000001</v>
      </c>
      <c r="BW193" s="53">
        <v>-42.04</v>
      </c>
      <c r="BX193" s="64">
        <f t="shared" si="245"/>
        <v>-39.049999999999997</v>
      </c>
      <c r="BY193" s="52">
        <v>-51.789000000000001</v>
      </c>
      <c r="BZ193" s="53">
        <v>-46.268000000000001</v>
      </c>
      <c r="CA193" s="53">
        <v>-43.244999999999997</v>
      </c>
      <c r="CB193" s="64">
        <f t="shared" si="217"/>
        <v>-34.866999999999997</v>
      </c>
      <c r="CC193" s="52">
        <v>-32.393000000000001</v>
      </c>
      <c r="CD193" s="53">
        <v>-29.744</v>
      </c>
      <c r="CE193" s="53">
        <v>-35.097999999999999</v>
      </c>
      <c r="CF193" s="64">
        <f t="shared" si="246"/>
        <v>-34.176000000000002</v>
      </c>
      <c r="CG193" s="52">
        <v>-31.241</v>
      </c>
      <c r="CH193" s="53">
        <v>-37.506</v>
      </c>
      <c r="CI193" s="53">
        <v>-50.107999999999997</v>
      </c>
      <c r="CJ193" s="64">
        <f t="shared" si="247"/>
        <v>-47.71</v>
      </c>
      <c r="CK193" s="52">
        <v>-47.54</v>
      </c>
      <c r="CL193" s="53">
        <v>-42.76</v>
      </c>
      <c r="CM193" s="53">
        <v>-47.405000000000001</v>
      </c>
      <c r="CN193" s="64">
        <f t="shared" si="248"/>
        <v>-42.331000000000003</v>
      </c>
      <c r="CO193" s="52">
        <v>-47.87</v>
      </c>
      <c r="CP193" s="53">
        <v>-50.17</v>
      </c>
      <c r="CQ193" s="53"/>
      <c r="CR193" s="64">
        <f t="shared" si="249"/>
        <v>-59.893000000000001</v>
      </c>
      <c r="CS193" s="53"/>
      <c r="CT193" s="53"/>
      <c r="CU193" s="53"/>
      <c r="CV193" s="64">
        <f t="shared" si="250"/>
        <v>0</v>
      </c>
      <c r="CW193" s="53"/>
      <c r="CX193" s="53"/>
      <c r="CY193" s="53"/>
      <c r="CZ193" s="64">
        <f t="shared" si="251"/>
        <v>0</v>
      </c>
    </row>
    <row r="194" spans="2:104">
      <c r="B194" s="114" t="s">
        <v>264</v>
      </c>
      <c r="H194" s="53">
        <v>404.36</v>
      </c>
      <c r="I194" s="53">
        <v>251.47499999999999</v>
      </c>
      <c r="J194" s="53">
        <v>339.36200000000002</v>
      </c>
      <c r="K194" s="53">
        <v>420.87900000000002</v>
      </c>
      <c r="L194" s="53">
        <v>495.27600000000001</v>
      </c>
      <c r="M194" s="53">
        <v>550.48199999999997</v>
      </c>
      <c r="N194" s="53">
        <v>594.55600000000004</v>
      </c>
      <c r="O194" s="53">
        <v>627.96900000000005</v>
      </c>
      <c r="P194" s="53">
        <v>632.50699999999995</v>
      </c>
      <c r="Q194" s="53">
        <v>636.37300000000005</v>
      </c>
      <c r="R194" s="53">
        <v>760.79600000000005</v>
      </c>
      <c r="S194" s="53">
        <v>1029.5160000000001</v>
      </c>
      <c r="T194" s="53">
        <v>1183.2070000000001</v>
      </c>
      <c r="U194" s="53">
        <v>1295.972</v>
      </c>
      <c r="V194" s="53">
        <v>2781.3760000000002</v>
      </c>
      <c r="W194" s="53">
        <f>V194+W25+W139+W112</f>
        <v>2789.5745983588508</v>
      </c>
      <c r="X194" s="53">
        <f t="shared" ref="X194:Y194" si="252">W194+X25+X139+X112</f>
        <v>2787.0533047681465</v>
      </c>
      <c r="Y194" s="64">
        <f t="shared" si="252"/>
        <v>2774.3448091124101</v>
      </c>
      <c r="AR194" s="7"/>
      <c r="AY194" s="114" t="s">
        <v>264</v>
      </c>
      <c r="BA194" s="49"/>
      <c r="BB194" s="49"/>
      <c r="BC194" s="49"/>
      <c r="BD194" s="49"/>
      <c r="BE194" s="52">
        <v>419.40300000000002</v>
      </c>
      <c r="BF194" s="53">
        <v>460.185</v>
      </c>
      <c r="BG194" s="53">
        <v>493.47800000000001</v>
      </c>
      <c r="BH194" s="64">
        <f t="shared" si="241"/>
        <v>495.27600000000001</v>
      </c>
      <c r="BI194" s="52">
        <v>490.78</v>
      </c>
      <c r="BJ194" s="53">
        <v>525.27</v>
      </c>
      <c r="BK194" s="53">
        <v>558.23500000000001</v>
      </c>
      <c r="BL194" s="64">
        <f t="shared" si="242"/>
        <v>550.48199999999997</v>
      </c>
      <c r="BM194" s="52">
        <v>539.28</v>
      </c>
      <c r="BN194" s="53">
        <v>575.58399999999995</v>
      </c>
      <c r="BO194" s="53">
        <v>595.98</v>
      </c>
      <c r="BP194" s="64">
        <f t="shared" si="243"/>
        <v>594.55600000000004</v>
      </c>
      <c r="BQ194" s="52">
        <v>581.89300000000003</v>
      </c>
      <c r="BR194" s="53">
        <v>617.66600000000005</v>
      </c>
      <c r="BS194" s="53">
        <v>642.64300000000003</v>
      </c>
      <c r="BT194" s="64">
        <f t="shared" si="244"/>
        <v>627.96900000000005</v>
      </c>
      <c r="BU194" s="52">
        <v>603.04100000000005</v>
      </c>
      <c r="BV194" s="53">
        <v>632.98299999999995</v>
      </c>
      <c r="BW194" s="53">
        <v>656.18700000000001</v>
      </c>
      <c r="BX194" s="64">
        <f t="shared" si="245"/>
        <v>632.50699999999995</v>
      </c>
      <c r="BY194" s="52">
        <v>601.77099999999996</v>
      </c>
      <c r="BZ194" s="53">
        <v>620.27200000000005</v>
      </c>
      <c r="CA194" s="53">
        <v>658.62199999999996</v>
      </c>
      <c r="CB194" s="64">
        <f t="shared" si="217"/>
        <v>636.37300000000005</v>
      </c>
      <c r="CC194" s="52">
        <v>622.94399999999996</v>
      </c>
      <c r="CD194" s="53">
        <v>691.65800000000002</v>
      </c>
      <c r="CE194" s="53">
        <v>756.99199999999996</v>
      </c>
      <c r="CF194" s="64">
        <f t="shared" si="246"/>
        <v>760.79600000000005</v>
      </c>
      <c r="CG194" s="52">
        <v>798.29899999999998</v>
      </c>
      <c r="CH194" s="53">
        <v>905.16700000000003</v>
      </c>
      <c r="CI194" s="53">
        <v>977.05</v>
      </c>
      <c r="CJ194" s="64">
        <f t="shared" si="247"/>
        <v>1029.5160000000001</v>
      </c>
      <c r="CK194" s="52">
        <v>1044.6189999999999</v>
      </c>
      <c r="CL194" s="53">
        <v>1121.944</v>
      </c>
      <c r="CM194" s="53">
        <v>1197.184</v>
      </c>
      <c r="CN194" s="64">
        <f t="shared" si="248"/>
        <v>1183.2070000000001</v>
      </c>
      <c r="CO194" s="52">
        <v>1173.4459999999999</v>
      </c>
      <c r="CP194" s="53">
        <v>1246.0530000000001</v>
      </c>
      <c r="CQ194" s="53"/>
      <c r="CR194" s="64">
        <f t="shared" si="249"/>
        <v>1295.972</v>
      </c>
      <c r="CS194" s="53">
        <v>2665.05</v>
      </c>
      <c r="CT194" s="53">
        <v>2760.442</v>
      </c>
      <c r="CU194" s="53">
        <v>2814.8020000000001</v>
      </c>
      <c r="CV194" s="64">
        <f t="shared" si="250"/>
        <v>2781.3760000000002</v>
      </c>
      <c r="CW194" s="53"/>
      <c r="CX194" s="53"/>
      <c r="CY194" s="53"/>
      <c r="CZ194" s="64">
        <f t="shared" si="251"/>
        <v>2789.5745983588508</v>
      </c>
    </row>
    <row r="195" spans="2:104">
      <c r="B195" s="114" t="s">
        <v>265</v>
      </c>
      <c r="H195" s="53">
        <v>-114.425</v>
      </c>
      <c r="I195" s="53">
        <v>-114.425</v>
      </c>
      <c r="J195" s="53">
        <v>-114.425</v>
      </c>
      <c r="K195" s="53">
        <v>-114.425</v>
      </c>
      <c r="L195" s="53">
        <v>-114.425</v>
      </c>
      <c r="M195" s="53">
        <v>-114.425</v>
      </c>
      <c r="N195" s="53">
        <v>-87.44</v>
      </c>
      <c r="O195" s="53">
        <v>-87.44</v>
      </c>
      <c r="P195" s="103">
        <v>-87.44</v>
      </c>
      <c r="Q195" s="103">
        <v>-87.44</v>
      </c>
      <c r="R195" s="53">
        <v>-87.44</v>
      </c>
      <c r="S195" s="53">
        <v>-87.44</v>
      </c>
      <c r="T195" s="53">
        <v>-86.63</v>
      </c>
      <c r="U195" s="53">
        <v>-73.478999999999999</v>
      </c>
      <c r="V195" s="53"/>
      <c r="W195" s="53">
        <f>V195</f>
        <v>0</v>
      </c>
      <c r="X195" s="53">
        <f>W195</f>
        <v>0</v>
      </c>
      <c r="Y195" s="64">
        <f>X195</f>
        <v>0</v>
      </c>
      <c r="AR195" s="7"/>
      <c r="AY195" s="114" t="s">
        <v>265</v>
      </c>
      <c r="BA195" s="361"/>
      <c r="BB195" s="361"/>
      <c r="BC195" s="361"/>
      <c r="BD195" s="418"/>
      <c r="BE195" s="52">
        <v>-114.425</v>
      </c>
      <c r="BF195" s="53">
        <v>-114.425</v>
      </c>
      <c r="BG195" s="53">
        <v>-114.425</v>
      </c>
      <c r="BH195" s="64">
        <f t="shared" si="241"/>
        <v>-114.425</v>
      </c>
      <c r="BI195" s="52">
        <v>-114.425</v>
      </c>
      <c r="BJ195" s="53">
        <v>-114.425</v>
      </c>
      <c r="BK195" s="53">
        <v>-114.425</v>
      </c>
      <c r="BL195" s="64">
        <f t="shared" si="242"/>
        <v>-114.425</v>
      </c>
      <c r="BM195" s="52">
        <v>-114.425</v>
      </c>
      <c r="BN195" s="53">
        <v>-114.425</v>
      </c>
      <c r="BO195" s="53">
        <v>-113.795</v>
      </c>
      <c r="BP195" s="64">
        <f t="shared" si="243"/>
        <v>-87.44</v>
      </c>
      <c r="BQ195" s="52">
        <v>-87.44</v>
      </c>
      <c r="BR195" s="53">
        <v>-87.44</v>
      </c>
      <c r="BS195" s="53">
        <v>-87.44</v>
      </c>
      <c r="BT195" s="64">
        <f t="shared" si="244"/>
        <v>-87.44</v>
      </c>
      <c r="BU195" s="52">
        <v>-87.44</v>
      </c>
      <c r="BV195" s="53">
        <v>-87.44</v>
      </c>
      <c r="BW195" s="53">
        <v>-87.44</v>
      </c>
      <c r="BX195" s="64">
        <f t="shared" si="245"/>
        <v>-87.44</v>
      </c>
      <c r="BY195" s="52">
        <v>-87.44</v>
      </c>
      <c r="BZ195" s="53">
        <v>-87.44</v>
      </c>
      <c r="CA195" s="53">
        <v>-87.44</v>
      </c>
      <c r="CB195" s="64">
        <f t="shared" si="217"/>
        <v>-87.44</v>
      </c>
      <c r="CC195" s="52">
        <v>-87.44</v>
      </c>
      <c r="CD195" s="53">
        <v>-87.44</v>
      </c>
      <c r="CE195" s="53">
        <v>-87.44</v>
      </c>
      <c r="CF195" s="64">
        <f t="shared" si="246"/>
        <v>-87.44</v>
      </c>
      <c r="CG195" s="52">
        <v>-87.44</v>
      </c>
      <c r="CH195" s="53">
        <v>-87.44</v>
      </c>
      <c r="CI195" s="53">
        <v>-87.44</v>
      </c>
      <c r="CJ195" s="64">
        <f t="shared" si="247"/>
        <v>-87.44</v>
      </c>
      <c r="CK195" s="52">
        <v>-87.44</v>
      </c>
      <c r="CL195" s="53">
        <v>-86.63</v>
      </c>
      <c r="CM195" s="53">
        <v>-86.63</v>
      </c>
      <c r="CN195" s="64">
        <f t="shared" si="248"/>
        <v>-86.63</v>
      </c>
      <c r="CO195" s="52">
        <v>-73.81</v>
      </c>
      <c r="CP195" s="53">
        <v>-73.81</v>
      </c>
      <c r="CQ195" s="53"/>
      <c r="CR195" s="64">
        <f t="shared" si="249"/>
        <v>-73.478999999999999</v>
      </c>
      <c r="CS195" s="53"/>
      <c r="CT195" s="53"/>
      <c r="CU195" s="53"/>
      <c r="CV195" s="64">
        <f t="shared" si="250"/>
        <v>0</v>
      </c>
      <c r="CW195" s="53"/>
      <c r="CX195" s="53"/>
      <c r="CY195" s="53"/>
      <c r="CZ195" s="64">
        <f t="shared" si="251"/>
        <v>0</v>
      </c>
    </row>
    <row r="196" spans="2:104">
      <c r="B196" s="114" t="s">
        <v>266</v>
      </c>
      <c r="H196" s="419">
        <f t="shared" ref="H196:N196" si="253">SUM(H189:H195)</f>
        <v>802.79000000000008</v>
      </c>
      <c r="I196" s="419">
        <f t="shared" si="253"/>
        <v>748.21400000000017</v>
      </c>
      <c r="J196" s="419">
        <f t="shared" si="253"/>
        <v>840.39599999999996</v>
      </c>
      <c r="K196" s="419">
        <f t="shared" si="253"/>
        <v>883.96</v>
      </c>
      <c r="L196" s="419">
        <f t="shared" si="253"/>
        <v>957.31000000000017</v>
      </c>
      <c r="M196" s="419">
        <f t="shared" si="253"/>
        <v>1005.8280000000002</v>
      </c>
      <c r="N196" s="419">
        <f t="shared" si="253"/>
        <v>1297.953</v>
      </c>
      <c r="O196" s="419">
        <f t="shared" ref="O196:Y196" si="254">SUM(O189:O195)</f>
        <v>1347.8490000000002</v>
      </c>
      <c r="P196" s="419">
        <f t="shared" si="254"/>
        <v>1435.4269999999999</v>
      </c>
      <c r="Q196" s="419">
        <f t="shared" si="254"/>
        <v>1486.6779999999999</v>
      </c>
      <c r="R196" s="419">
        <f t="shared" si="254"/>
        <v>1664.9479999999999</v>
      </c>
      <c r="S196" s="419">
        <f t="shared" si="254"/>
        <v>1889.2370000000001</v>
      </c>
      <c r="T196" s="419">
        <f t="shared" si="254"/>
        <v>2229.8389999999999</v>
      </c>
      <c r="U196" s="419">
        <f t="shared" si="254"/>
        <v>2656.9900000000002</v>
      </c>
      <c r="V196" s="419">
        <f t="shared" si="254"/>
        <v>2781.3760000000002</v>
      </c>
      <c r="W196" s="419">
        <f t="shared" si="254"/>
        <v>2789.5745983588508</v>
      </c>
      <c r="X196" s="419">
        <f t="shared" si="254"/>
        <v>2787.0533047681465</v>
      </c>
      <c r="Y196" s="420">
        <f t="shared" si="254"/>
        <v>2774.3448091124101</v>
      </c>
      <c r="AR196" s="7"/>
      <c r="AY196" s="114" t="s">
        <v>266</v>
      </c>
      <c r="BA196" s="49"/>
      <c r="BB196" s="49"/>
      <c r="BC196" s="49"/>
      <c r="BD196" s="49"/>
      <c r="BE196" s="65">
        <f t="shared" ref="BE196:CD196" si="255">SUM(BE189:BE195)</f>
        <v>879.16599999999994</v>
      </c>
      <c r="BF196" s="54">
        <f t="shared" si="255"/>
        <v>925.94100000000003</v>
      </c>
      <c r="BG196" s="54">
        <f t="shared" si="255"/>
        <v>955.36200000000008</v>
      </c>
      <c r="BH196" s="55">
        <f t="shared" si="255"/>
        <v>957.31000000000017</v>
      </c>
      <c r="BI196" s="65">
        <f t="shared" si="255"/>
        <v>968.06799999999998</v>
      </c>
      <c r="BJ196" s="54">
        <f t="shared" si="255"/>
        <v>1003.3030000000001</v>
      </c>
      <c r="BK196" s="54">
        <f t="shared" si="255"/>
        <v>1039.019</v>
      </c>
      <c r="BL196" s="55">
        <f t="shared" si="255"/>
        <v>1005.8280000000002</v>
      </c>
      <c r="BM196" s="65">
        <f t="shared" si="255"/>
        <v>978.33600000000001</v>
      </c>
      <c r="BN196" s="54">
        <f t="shared" si="255"/>
        <v>1018.665</v>
      </c>
      <c r="BO196" s="54">
        <f t="shared" si="255"/>
        <v>1052.1390000000001</v>
      </c>
      <c r="BP196" s="55">
        <f t="shared" si="255"/>
        <v>1297.953</v>
      </c>
      <c r="BQ196" s="65">
        <f t="shared" si="255"/>
        <v>1292.7139999999999</v>
      </c>
      <c r="BR196" s="54">
        <f t="shared" si="255"/>
        <v>1328.4459999999999</v>
      </c>
      <c r="BS196" s="54">
        <f t="shared" si="255"/>
        <v>1367.2439999999999</v>
      </c>
      <c r="BT196" s="55">
        <f t="shared" si="255"/>
        <v>1347.8490000000002</v>
      </c>
      <c r="BU196" s="65">
        <f t="shared" si="255"/>
        <v>1335.212</v>
      </c>
      <c r="BV196" s="54">
        <f t="shared" si="255"/>
        <v>1355.5949999999998</v>
      </c>
      <c r="BW196" s="54">
        <f t="shared" si="255"/>
        <v>1443.1089999999999</v>
      </c>
      <c r="BX196" s="55">
        <f>SUM(BX189:BX195)</f>
        <v>1435.4269999999999</v>
      </c>
      <c r="BY196" s="65">
        <f t="shared" si="255"/>
        <v>1404.3420000000001</v>
      </c>
      <c r="BZ196" s="54">
        <f t="shared" si="255"/>
        <v>1437.039</v>
      </c>
      <c r="CA196" s="54">
        <f t="shared" si="255"/>
        <v>1489.6119999999999</v>
      </c>
      <c r="CB196" s="55">
        <f t="shared" si="217"/>
        <v>1486.6779999999999</v>
      </c>
      <c r="CC196" s="65">
        <f>SUM(CC189:CC195)</f>
        <v>1491.4069999999997</v>
      </c>
      <c r="CD196" s="54">
        <f t="shared" si="255"/>
        <v>1575.703</v>
      </c>
      <c r="CE196" s="54">
        <v>1644.5809999999999</v>
      </c>
      <c r="CF196" s="55">
        <f t="shared" si="246"/>
        <v>1664.9479999999999</v>
      </c>
      <c r="CG196" s="65">
        <f>SUM(CG189:CG195)</f>
        <v>1725.2099999999998</v>
      </c>
      <c r="CH196" s="54">
        <v>1834.4369999999999</v>
      </c>
      <c r="CI196" s="54">
        <f>SUM(CI189:CI195)</f>
        <v>1908.7749999999999</v>
      </c>
      <c r="CJ196" s="55">
        <f>$S196</f>
        <v>1889.2370000000001</v>
      </c>
      <c r="CK196" s="65">
        <v>1928.8679999999999</v>
      </c>
      <c r="CL196" s="54">
        <v>2037.6469999999999</v>
      </c>
      <c r="CM196" s="54">
        <f>SUM(CM189:CM195)</f>
        <v>2224.009</v>
      </c>
      <c r="CN196" s="55">
        <f t="shared" si="248"/>
        <v>2229.8389999999999</v>
      </c>
      <c r="CO196" s="65">
        <f>SUM(CO189:CO195)</f>
        <v>2526.4250000000002</v>
      </c>
      <c r="CP196" s="54">
        <f>SUM(CP189:CP195)</f>
        <v>2610.837</v>
      </c>
      <c r="CQ196" s="54">
        <v>2696.375</v>
      </c>
      <c r="CR196" s="55">
        <f t="shared" si="249"/>
        <v>2656.9900000000002</v>
      </c>
      <c r="CS196" s="54">
        <f>SUM(CS189:CS195)</f>
        <v>2665.05</v>
      </c>
      <c r="CT196" s="54">
        <f>SUM(CT189:CT195)</f>
        <v>2760.442</v>
      </c>
      <c r="CU196" s="54">
        <f>SUM(CU189:CU195)</f>
        <v>2814.8020000000001</v>
      </c>
      <c r="CV196" s="55">
        <f t="shared" si="250"/>
        <v>2781.3760000000002</v>
      </c>
      <c r="CW196" s="53"/>
      <c r="CX196" s="53"/>
      <c r="CY196" s="53"/>
      <c r="CZ196" s="55">
        <f t="shared" si="251"/>
        <v>2789.5745983588508</v>
      </c>
    </row>
    <row r="197" spans="2:104">
      <c r="B197" s="114" t="s">
        <v>267</v>
      </c>
      <c r="H197" s="53">
        <v>198.92</v>
      </c>
      <c r="I197" s="53">
        <v>273.82600000000002</v>
      </c>
      <c r="J197" s="53">
        <v>286.99599999999998</v>
      </c>
      <c r="K197" s="53">
        <v>248.07900000000001</v>
      </c>
      <c r="L197" s="53">
        <v>246.411</v>
      </c>
      <c r="M197" s="53">
        <v>245.92</v>
      </c>
      <c r="N197" s="53">
        <v>253.024</v>
      </c>
      <c r="O197" s="53">
        <v>253.864</v>
      </c>
      <c r="P197" s="53">
        <v>279.33999999999997</v>
      </c>
      <c r="Q197" s="53">
        <v>293.08300000000003</v>
      </c>
      <c r="R197" s="53">
        <v>332.46699999999998</v>
      </c>
      <c r="S197" s="53">
        <v>359.041</v>
      </c>
      <c r="T197" s="53">
        <v>386.351</v>
      </c>
      <c r="U197" s="53">
        <v>407.24799999999999</v>
      </c>
      <c r="V197" s="53">
        <v>440.685</v>
      </c>
      <c r="W197" s="53">
        <f>V197+W116+W22</f>
        <v>459.685</v>
      </c>
      <c r="X197" s="53">
        <f t="shared" ref="X197:Y197" si="256">W197+X116+X22</f>
        <v>479.685</v>
      </c>
      <c r="Y197" s="64">
        <f t="shared" si="256"/>
        <v>499.685</v>
      </c>
      <c r="AR197" s="7"/>
      <c r="AY197" s="114" t="s">
        <v>267</v>
      </c>
      <c r="BA197" s="49"/>
      <c r="BB197" s="49"/>
      <c r="BC197" s="49"/>
      <c r="BD197" s="49"/>
      <c r="BE197" s="52">
        <v>245.24100000000001</v>
      </c>
      <c r="BF197" s="53">
        <v>264.75700000000001</v>
      </c>
      <c r="BG197" s="53">
        <v>266.20299999999997</v>
      </c>
      <c r="BH197" s="64">
        <f>+L197</f>
        <v>246.411</v>
      </c>
      <c r="BI197" s="52">
        <v>252.636</v>
      </c>
      <c r="BJ197" s="53">
        <v>269.93700000000001</v>
      </c>
      <c r="BK197" s="53">
        <v>267.315</v>
      </c>
      <c r="BL197" s="64">
        <f>+M197</f>
        <v>245.92</v>
      </c>
      <c r="BM197" s="52">
        <v>229.88200000000001</v>
      </c>
      <c r="BN197" s="53">
        <v>261.69499999999999</v>
      </c>
      <c r="BO197" s="53">
        <v>279.89600000000002</v>
      </c>
      <c r="BP197" s="64">
        <f>+N197</f>
        <v>253.024</v>
      </c>
      <c r="BQ197" s="52">
        <v>256.91199999999998</v>
      </c>
      <c r="BR197" s="53">
        <v>273.548</v>
      </c>
      <c r="BS197" s="53">
        <v>293.30599999999998</v>
      </c>
      <c r="BT197" s="64">
        <f>O197</f>
        <v>253.864</v>
      </c>
      <c r="BU197" s="52">
        <v>264.04300000000001</v>
      </c>
      <c r="BV197" s="53">
        <v>277.767</v>
      </c>
      <c r="BW197" s="53">
        <v>309.91300000000001</v>
      </c>
      <c r="BX197" s="64">
        <f>P197</f>
        <v>279.33999999999997</v>
      </c>
      <c r="BY197" s="52">
        <v>278.54399999999998</v>
      </c>
      <c r="BZ197" s="53">
        <v>299.04300000000001</v>
      </c>
      <c r="CA197" s="53">
        <v>320.32600000000002</v>
      </c>
      <c r="CB197" s="64">
        <f t="shared" si="217"/>
        <v>293.08300000000003</v>
      </c>
      <c r="CC197" s="52">
        <v>305.42</v>
      </c>
      <c r="CD197" s="53">
        <v>355.83</v>
      </c>
      <c r="CE197" s="53">
        <v>376.94400000000002</v>
      </c>
      <c r="CF197" s="64">
        <f t="shared" si="246"/>
        <v>332.46699999999998</v>
      </c>
      <c r="CG197" s="52">
        <v>355.505</v>
      </c>
      <c r="CH197" s="53">
        <v>385.33800000000002</v>
      </c>
      <c r="CI197" s="53">
        <v>407.37799999999999</v>
      </c>
      <c r="CJ197" s="64">
        <f t="shared" si="247"/>
        <v>359.041</v>
      </c>
      <c r="CK197" s="52">
        <v>379.42899999999997</v>
      </c>
      <c r="CL197" s="53">
        <v>414.40300000000002</v>
      </c>
      <c r="CM197" s="53">
        <v>441.75299999999999</v>
      </c>
      <c r="CN197" s="64">
        <f t="shared" si="248"/>
        <v>386.351</v>
      </c>
      <c r="CO197" s="52">
        <v>401.14800000000002</v>
      </c>
      <c r="CP197" s="53">
        <v>433.35300000000001</v>
      </c>
      <c r="CQ197" s="53">
        <v>465.49599999999998</v>
      </c>
      <c r="CR197" s="64">
        <f t="shared" si="249"/>
        <v>407.24799999999999</v>
      </c>
      <c r="CS197" s="53">
        <v>422.81</v>
      </c>
      <c r="CT197" s="53">
        <v>461.37700000000001</v>
      </c>
      <c r="CU197" s="53">
        <v>486.82499999999999</v>
      </c>
      <c r="CV197" s="64">
        <f t="shared" si="250"/>
        <v>440.685</v>
      </c>
      <c r="CW197" s="53"/>
      <c r="CX197" s="53"/>
      <c r="CY197" s="53"/>
      <c r="CZ197" s="64">
        <f t="shared" si="251"/>
        <v>459.685</v>
      </c>
    </row>
    <row r="198" spans="2:104">
      <c r="B198" s="114" t="s">
        <v>206</v>
      </c>
      <c r="H198" s="411" t="s">
        <v>206</v>
      </c>
      <c r="I198" s="411" t="s">
        <v>206</v>
      </c>
      <c r="J198" s="411" t="s">
        <v>206</v>
      </c>
      <c r="K198" s="411" t="s">
        <v>206</v>
      </c>
      <c r="L198" s="411" t="s">
        <v>206</v>
      </c>
      <c r="M198" s="411" t="s">
        <v>206</v>
      </c>
      <c r="N198" s="411"/>
      <c r="O198" s="411"/>
      <c r="P198" s="411"/>
      <c r="Q198" s="411"/>
      <c r="R198" s="411"/>
      <c r="S198" s="411"/>
      <c r="T198" s="411"/>
      <c r="U198" s="411"/>
      <c r="V198" s="411"/>
      <c r="W198" s="411"/>
      <c r="X198" s="411"/>
      <c r="Y198" s="412"/>
      <c r="AR198" s="7"/>
      <c r="AY198" s="114" t="s">
        <v>206</v>
      </c>
      <c r="BA198" s="49"/>
      <c r="BB198" s="49"/>
      <c r="BC198" s="49"/>
      <c r="BD198" s="49"/>
      <c r="BE198" s="413" t="s">
        <v>206</v>
      </c>
      <c r="BF198" s="411" t="s">
        <v>206</v>
      </c>
      <c r="BG198" s="411" t="s">
        <v>206</v>
      </c>
      <c r="BH198" s="412"/>
      <c r="BI198" s="413" t="s">
        <v>206</v>
      </c>
      <c r="BJ198" s="411" t="s">
        <v>206</v>
      </c>
      <c r="BK198" s="411" t="s">
        <v>206</v>
      </c>
      <c r="BL198" s="412"/>
      <c r="BM198" s="413" t="s">
        <v>206</v>
      </c>
      <c r="BN198" s="411" t="s">
        <v>206</v>
      </c>
      <c r="BO198" s="411" t="s">
        <v>206</v>
      </c>
      <c r="BP198" s="412"/>
      <c r="BQ198" s="413" t="s">
        <v>206</v>
      </c>
      <c r="BR198" s="411"/>
      <c r="BS198" s="411"/>
      <c r="BT198" s="412"/>
      <c r="BU198" s="413"/>
      <c r="BV198" s="411"/>
      <c r="BW198" s="411"/>
      <c r="BX198" s="412"/>
      <c r="BY198" s="413"/>
      <c r="BZ198" s="421"/>
      <c r="CA198" s="421"/>
      <c r="CB198" s="412"/>
      <c r="CC198" s="413"/>
      <c r="CD198" s="421"/>
      <c r="CE198" s="421"/>
      <c r="CF198" s="412"/>
      <c r="CG198" s="413"/>
      <c r="CH198" s="421"/>
      <c r="CI198" s="421"/>
      <c r="CJ198" s="412"/>
      <c r="CK198" s="413"/>
      <c r="CL198" s="421"/>
      <c r="CM198" s="421"/>
      <c r="CN198" s="412"/>
      <c r="CO198" s="422"/>
      <c r="CP198" s="421"/>
      <c r="CQ198" s="421"/>
      <c r="CR198" s="412"/>
      <c r="CS198" s="421"/>
      <c r="CT198" s="421"/>
      <c r="CU198" s="421"/>
      <c r="CV198" s="412"/>
      <c r="CW198" s="411"/>
      <c r="CX198" s="411"/>
      <c r="CY198" s="411"/>
      <c r="CZ198" s="412"/>
    </row>
    <row r="199" spans="2:104" s="402" customFormat="1" ht="13.15">
      <c r="B199" s="401" t="s">
        <v>268</v>
      </c>
      <c r="H199" s="403">
        <f t="shared" ref="H199:Y199" si="257">+H196+H197</f>
        <v>1001.71</v>
      </c>
      <c r="I199" s="403">
        <f t="shared" si="257"/>
        <v>1022.0400000000002</v>
      </c>
      <c r="J199" s="403">
        <f t="shared" si="257"/>
        <v>1127.3919999999998</v>
      </c>
      <c r="K199" s="403">
        <f t="shared" si="257"/>
        <v>1132.039</v>
      </c>
      <c r="L199" s="403">
        <f t="shared" si="257"/>
        <v>1203.7210000000002</v>
      </c>
      <c r="M199" s="403">
        <f t="shared" si="257"/>
        <v>1251.7480000000003</v>
      </c>
      <c r="N199" s="403">
        <f t="shared" si="257"/>
        <v>1550.9769999999999</v>
      </c>
      <c r="O199" s="403">
        <f t="shared" si="257"/>
        <v>1601.7130000000002</v>
      </c>
      <c r="P199" s="403">
        <f t="shared" si="257"/>
        <v>1714.7669999999998</v>
      </c>
      <c r="Q199" s="403">
        <f t="shared" si="257"/>
        <v>1779.761</v>
      </c>
      <c r="R199" s="403">
        <f t="shared" si="257"/>
        <v>1997.415</v>
      </c>
      <c r="S199" s="403">
        <f t="shared" si="257"/>
        <v>2248.2780000000002</v>
      </c>
      <c r="T199" s="403">
        <f t="shared" si="257"/>
        <v>2616.19</v>
      </c>
      <c r="U199" s="403">
        <f>+U196+U197</f>
        <v>3064.2380000000003</v>
      </c>
      <c r="V199" s="403">
        <f>+V196+V197</f>
        <v>3222.0610000000001</v>
      </c>
      <c r="W199" s="403">
        <f t="shared" si="257"/>
        <v>3249.2595983588508</v>
      </c>
      <c r="X199" s="403">
        <f t="shared" si="257"/>
        <v>3266.7383047681465</v>
      </c>
      <c r="Y199" s="404">
        <f t="shared" si="257"/>
        <v>3274.02980911241</v>
      </c>
      <c r="AC199" s="81"/>
      <c r="AD199" s="81"/>
      <c r="AE199" s="81"/>
      <c r="AF199" s="81"/>
      <c r="AG199" s="81"/>
      <c r="AH199" s="81"/>
      <c r="AI199" s="81"/>
      <c r="AJ199" s="81"/>
      <c r="AK199" s="81"/>
      <c r="AL199" s="81"/>
      <c r="AM199" s="81"/>
      <c r="AN199" s="81"/>
      <c r="AO199" s="81"/>
      <c r="AP199" s="81"/>
      <c r="AQ199" s="81"/>
      <c r="AS199" s="81"/>
      <c r="AT199" s="81"/>
      <c r="AU199" s="81"/>
      <c r="AV199" s="81"/>
      <c r="AW199" s="81"/>
      <c r="AY199" s="401" t="s">
        <v>268</v>
      </c>
      <c r="BA199" s="405">
        <v>1128.049</v>
      </c>
      <c r="BB199" s="405">
        <v>1185.5340000000001</v>
      </c>
      <c r="BC199" s="405">
        <v>1139.5609999999999</v>
      </c>
      <c r="BD199" s="405">
        <f>+K199</f>
        <v>1132.039</v>
      </c>
      <c r="BE199" s="406">
        <f>+BE196+BE197</f>
        <v>1124.4069999999999</v>
      </c>
      <c r="BF199" s="405">
        <f t="shared" ref="BF199:CA199" si="258">+BF196+BF197</f>
        <v>1190.6980000000001</v>
      </c>
      <c r="BG199" s="405">
        <f t="shared" si="258"/>
        <v>1221.5650000000001</v>
      </c>
      <c r="BH199" s="407">
        <f t="shared" si="258"/>
        <v>1203.7210000000002</v>
      </c>
      <c r="BI199" s="406">
        <f t="shared" si="258"/>
        <v>1220.704</v>
      </c>
      <c r="BJ199" s="405">
        <f t="shared" si="258"/>
        <v>1273.2400000000002</v>
      </c>
      <c r="BK199" s="405">
        <f t="shared" si="258"/>
        <v>1306.3340000000001</v>
      </c>
      <c r="BL199" s="407">
        <f t="shared" si="258"/>
        <v>1251.7480000000003</v>
      </c>
      <c r="BM199" s="406">
        <f t="shared" si="258"/>
        <v>1208.2180000000001</v>
      </c>
      <c r="BN199" s="405">
        <f t="shared" si="258"/>
        <v>1280.3599999999999</v>
      </c>
      <c r="BO199" s="405">
        <f t="shared" si="258"/>
        <v>1332.0350000000001</v>
      </c>
      <c r="BP199" s="407">
        <f t="shared" si="258"/>
        <v>1550.9769999999999</v>
      </c>
      <c r="BQ199" s="406">
        <f t="shared" si="258"/>
        <v>1549.626</v>
      </c>
      <c r="BR199" s="405">
        <f t="shared" si="258"/>
        <v>1601.9939999999999</v>
      </c>
      <c r="BS199" s="405">
        <f t="shared" si="258"/>
        <v>1660.55</v>
      </c>
      <c r="BT199" s="407">
        <f t="shared" si="258"/>
        <v>1601.7130000000002</v>
      </c>
      <c r="BU199" s="406">
        <f t="shared" si="258"/>
        <v>1599.2550000000001</v>
      </c>
      <c r="BV199" s="405">
        <f t="shared" si="258"/>
        <v>1633.3619999999999</v>
      </c>
      <c r="BW199" s="405">
        <f t="shared" si="258"/>
        <v>1753.0219999999999</v>
      </c>
      <c r="BX199" s="407">
        <f t="shared" si="258"/>
        <v>1714.7669999999998</v>
      </c>
      <c r="BY199" s="406">
        <f t="shared" si="258"/>
        <v>1682.886</v>
      </c>
      <c r="BZ199" s="405">
        <f t="shared" si="258"/>
        <v>1736.0819999999999</v>
      </c>
      <c r="CA199" s="405">
        <f t="shared" si="258"/>
        <v>1809.9379999999999</v>
      </c>
      <c r="CB199" s="407">
        <f t="shared" si="217"/>
        <v>1779.761</v>
      </c>
      <c r="CC199" s="406">
        <f>+CC196+CC197</f>
        <v>1796.8269999999998</v>
      </c>
      <c r="CD199" s="405">
        <f>+CD196+CD197</f>
        <v>1931.5329999999999</v>
      </c>
      <c r="CE199" s="405">
        <f>+CE196+CE197</f>
        <v>2021.5249999999999</v>
      </c>
      <c r="CF199" s="407">
        <f>R199</f>
        <v>1997.415</v>
      </c>
      <c r="CG199" s="406">
        <f>+CG196+CG197</f>
        <v>2080.7149999999997</v>
      </c>
      <c r="CH199" s="405">
        <f>+CH196+CH197</f>
        <v>2219.7750000000001</v>
      </c>
      <c r="CI199" s="405">
        <f>+CI196+CI197</f>
        <v>2316.1529999999998</v>
      </c>
      <c r="CJ199" s="407">
        <f>$S199</f>
        <v>2248.2780000000002</v>
      </c>
      <c r="CK199" s="406">
        <f>+CK196+CK197</f>
        <v>2308.297</v>
      </c>
      <c r="CL199" s="405">
        <f>+CL196+CL197</f>
        <v>2452.0500000000002</v>
      </c>
      <c r="CM199" s="405">
        <f>+CM196+CM197</f>
        <v>2665.7620000000002</v>
      </c>
      <c r="CN199" s="407">
        <f>$T199</f>
        <v>2616.19</v>
      </c>
      <c r="CO199" s="406">
        <f>+CO196+CO197</f>
        <v>2927.5730000000003</v>
      </c>
      <c r="CP199" s="405">
        <f>+CP196+CP197</f>
        <v>3044.19</v>
      </c>
      <c r="CQ199" s="405">
        <f>+CQ196+CQ197</f>
        <v>3161.8710000000001</v>
      </c>
      <c r="CR199" s="407">
        <f>$U199</f>
        <v>3064.2380000000003</v>
      </c>
      <c r="CS199" s="405">
        <f>+CS196+CS197</f>
        <v>3087.86</v>
      </c>
      <c r="CT199" s="405">
        <f>+CT196+CT197</f>
        <v>3221.819</v>
      </c>
      <c r="CU199" s="405">
        <f>+CU196+CU197</f>
        <v>3301.627</v>
      </c>
      <c r="CV199" s="407">
        <f>$V199</f>
        <v>3222.0610000000001</v>
      </c>
      <c r="CW199" s="81"/>
      <c r="CX199" s="81"/>
      <c r="CY199" s="81"/>
      <c r="CZ199" s="407">
        <f>$W199</f>
        <v>3249.2595983588508</v>
      </c>
    </row>
    <row r="200" spans="2:104">
      <c r="B200" s="423" t="s">
        <v>206</v>
      </c>
      <c r="H200" s="411"/>
      <c r="I200" s="411"/>
      <c r="J200" s="411"/>
      <c r="K200" s="411"/>
      <c r="L200" s="411"/>
      <c r="M200" s="411" t="s">
        <v>206</v>
      </c>
      <c r="N200" s="411"/>
      <c r="O200" s="411"/>
      <c r="P200" s="411"/>
      <c r="Q200" s="411"/>
      <c r="R200" s="411"/>
      <c r="S200" s="411"/>
      <c r="T200" s="411"/>
      <c r="U200" s="411"/>
      <c r="V200" s="411"/>
      <c r="W200" s="411"/>
      <c r="X200" s="411"/>
      <c r="Y200" s="412"/>
      <c r="AR200" s="7"/>
      <c r="AY200" s="423" t="s">
        <v>206</v>
      </c>
      <c r="BA200" s="49"/>
      <c r="BB200" s="49"/>
      <c r="BC200" s="49"/>
      <c r="BD200" s="49"/>
      <c r="BE200" s="413"/>
      <c r="BF200" s="411"/>
      <c r="BG200" s="411"/>
      <c r="BH200" s="412"/>
      <c r="BI200" s="413"/>
      <c r="BJ200" s="411"/>
      <c r="BK200" s="411"/>
      <c r="BL200" s="412"/>
      <c r="BM200" s="413"/>
      <c r="BN200" s="411"/>
      <c r="BO200" s="411"/>
      <c r="BP200" s="412"/>
      <c r="BQ200" s="413"/>
      <c r="BR200" s="411"/>
      <c r="BS200" s="411"/>
      <c r="BT200" s="412"/>
      <c r="BU200" s="413"/>
      <c r="BV200" s="411"/>
      <c r="BW200" s="411"/>
      <c r="BX200" s="412"/>
      <c r="BY200" s="413"/>
      <c r="BZ200" s="309"/>
      <c r="CA200" s="309"/>
      <c r="CB200" s="412"/>
      <c r="CC200" s="413"/>
      <c r="CD200" s="309"/>
      <c r="CE200" s="309"/>
      <c r="CF200" s="412"/>
      <c r="CG200" s="413"/>
      <c r="CH200" s="309"/>
      <c r="CI200" s="309"/>
      <c r="CJ200" s="412"/>
      <c r="CK200" s="413"/>
      <c r="CL200" s="309"/>
      <c r="CM200" s="309"/>
      <c r="CN200" s="412"/>
      <c r="CO200" s="308"/>
      <c r="CP200" s="309"/>
      <c r="CQ200" s="309"/>
      <c r="CR200" s="412"/>
      <c r="CS200" s="309"/>
      <c r="CT200" s="309"/>
      <c r="CU200" s="309"/>
      <c r="CV200" s="412"/>
      <c r="CW200" s="411"/>
      <c r="CX200" s="411"/>
      <c r="CY200" s="411"/>
      <c r="CZ200" s="412"/>
    </row>
    <row r="201" spans="2:104" s="84" customFormat="1" ht="13.15">
      <c r="B201" s="424" t="s">
        <v>269</v>
      </c>
      <c r="C201" s="387"/>
      <c r="D201" s="387"/>
      <c r="E201" s="387"/>
      <c r="F201" s="387"/>
      <c r="G201" s="387"/>
      <c r="H201" s="388">
        <f t="shared" ref="H201:Y201" si="259">+H199+H187+H185</f>
        <v>1268.1479999999999</v>
      </c>
      <c r="I201" s="388">
        <f t="shared" si="259"/>
        <v>1682.0550000000003</v>
      </c>
      <c r="J201" s="388">
        <f t="shared" si="259"/>
        <v>1669.5309999999999</v>
      </c>
      <c r="K201" s="388">
        <f t="shared" si="259"/>
        <v>1791.067</v>
      </c>
      <c r="L201" s="388">
        <f t="shared" si="259"/>
        <v>1788.4420000000002</v>
      </c>
      <c r="M201" s="388">
        <f t="shared" si="259"/>
        <v>1874.6490000000003</v>
      </c>
      <c r="N201" s="388">
        <f t="shared" si="259"/>
        <v>2046.877</v>
      </c>
      <c r="O201" s="388">
        <f t="shared" si="259"/>
        <v>2161.0330000000004</v>
      </c>
      <c r="P201" s="388">
        <f t="shared" si="259"/>
        <v>2556.1549999999997</v>
      </c>
      <c r="Q201" s="388">
        <f t="shared" si="259"/>
        <v>2484.3469999999998</v>
      </c>
      <c r="R201" s="388">
        <f t="shared" si="259"/>
        <v>3085.8609999999999</v>
      </c>
      <c r="S201" s="388">
        <f t="shared" si="259"/>
        <v>3488.2139999999999</v>
      </c>
      <c r="T201" s="388">
        <f t="shared" si="259"/>
        <v>3729.1819999999998</v>
      </c>
      <c r="U201" s="388">
        <f t="shared" si="259"/>
        <v>4479.5230000000001</v>
      </c>
      <c r="V201" s="388">
        <f t="shared" si="259"/>
        <v>4414.8050000000003</v>
      </c>
      <c r="W201" s="388">
        <f t="shared" si="259"/>
        <v>4431.9236400965174</v>
      </c>
      <c r="X201" s="388">
        <f t="shared" si="259"/>
        <v>4452.3747494920572</v>
      </c>
      <c r="Y201" s="392">
        <f t="shared" si="259"/>
        <v>4462.1299872120753</v>
      </c>
      <c r="AC201" s="149"/>
      <c r="AD201" s="149"/>
      <c r="AE201" s="149"/>
      <c r="AF201" s="149"/>
      <c r="AG201" s="149"/>
      <c r="AH201" s="149"/>
      <c r="AI201" s="149"/>
      <c r="AJ201" s="149"/>
      <c r="AK201" s="149"/>
      <c r="AL201" s="149"/>
      <c r="AM201" s="149"/>
      <c r="AN201" s="149"/>
      <c r="AO201" s="149"/>
      <c r="AP201" s="149"/>
      <c r="AQ201" s="149"/>
      <c r="AS201" s="149"/>
      <c r="AT201" s="149"/>
      <c r="AU201" s="149"/>
      <c r="AV201" s="149"/>
      <c r="AW201" s="149"/>
      <c r="AY201" s="424" t="s">
        <v>269</v>
      </c>
      <c r="AZ201" s="387"/>
      <c r="BA201" s="388">
        <v>1776.856</v>
      </c>
      <c r="BB201" s="388">
        <v>1990.8389999999999</v>
      </c>
      <c r="BC201" s="388">
        <v>1904.9880000000001</v>
      </c>
      <c r="BD201" s="388">
        <f>+K201</f>
        <v>1791.067</v>
      </c>
      <c r="BE201" s="393">
        <f t="shared" ref="BE201:CA201" si="260">+BE199+BE187+BE185</f>
        <v>1889.5050000000001</v>
      </c>
      <c r="BF201" s="388">
        <f t="shared" si="260"/>
        <v>2066.5550000000003</v>
      </c>
      <c r="BG201" s="388">
        <f t="shared" si="260"/>
        <v>1929.4590000000001</v>
      </c>
      <c r="BH201" s="392">
        <f t="shared" si="260"/>
        <v>1788.4420000000002</v>
      </c>
      <c r="BI201" s="393">
        <f t="shared" si="260"/>
        <v>1876.8899999999999</v>
      </c>
      <c r="BJ201" s="388">
        <f t="shared" si="260"/>
        <v>2019.5910000000001</v>
      </c>
      <c r="BK201" s="388">
        <f t="shared" si="260"/>
        <v>1957.5970000000002</v>
      </c>
      <c r="BL201" s="392">
        <f t="shared" si="260"/>
        <v>1874.6490000000003</v>
      </c>
      <c r="BM201" s="393">
        <f t="shared" si="260"/>
        <v>1935.2790000000002</v>
      </c>
      <c r="BN201" s="388">
        <f t="shared" si="260"/>
        <v>2154.4179999999997</v>
      </c>
      <c r="BO201" s="388">
        <f t="shared" si="260"/>
        <v>2148.2190000000001</v>
      </c>
      <c r="BP201" s="392">
        <f t="shared" si="260"/>
        <v>2046.877</v>
      </c>
      <c r="BQ201" s="393">
        <f t="shared" si="260"/>
        <v>2076.2780000000002</v>
      </c>
      <c r="BR201" s="388">
        <f>+BR199+BR187+BR185</f>
        <v>2325.62</v>
      </c>
      <c r="BS201" s="388">
        <f t="shared" si="260"/>
        <v>2230.748</v>
      </c>
      <c r="BT201" s="392">
        <f t="shared" si="260"/>
        <v>2161.0330000000004</v>
      </c>
      <c r="BU201" s="393">
        <f t="shared" si="260"/>
        <v>2390.8870000000002</v>
      </c>
      <c r="BV201" s="388">
        <f t="shared" si="260"/>
        <v>2632.4339999999997</v>
      </c>
      <c r="BW201" s="388">
        <f t="shared" si="260"/>
        <v>2693.0589999999997</v>
      </c>
      <c r="BX201" s="392">
        <f t="shared" si="260"/>
        <v>2556.1549999999997</v>
      </c>
      <c r="BY201" s="393">
        <f t="shared" si="260"/>
        <v>2581.8289999999997</v>
      </c>
      <c r="BZ201" s="425">
        <f t="shared" si="260"/>
        <v>2636.7269999999999</v>
      </c>
      <c r="CA201" s="425">
        <f t="shared" si="260"/>
        <v>2647.6849999999999</v>
      </c>
      <c r="CB201" s="392">
        <f t="shared" si="217"/>
        <v>2484.3469999999998</v>
      </c>
      <c r="CC201" s="393">
        <f>+CC199+CC187+CC185</f>
        <v>2692.2639999999997</v>
      </c>
      <c r="CD201" s="425">
        <f>+CD199+CD187+CD185</f>
        <v>3131.6840000000002</v>
      </c>
      <c r="CE201" s="425">
        <f>+CE199+CE187+CE185</f>
        <v>3090.9210000000003</v>
      </c>
      <c r="CF201" s="392">
        <f>R201</f>
        <v>3085.8609999999999</v>
      </c>
      <c r="CG201" s="393">
        <f>+CG199+CG187+CG185</f>
        <v>3473.8890000000001</v>
      </c>
      <c r="CH201" s="425">
        <f>+CH199+CH187+CH185</f>
        <v>3788.5920000000001</v>
      </c>
      <c r="CI201" s="425">
        <f>+CI199+CI187+CI185</f>
        <v>3584.6169999999997</v>
      </c>
      <c r="CJ201" s="392">
        <f>$S201</f>
        <v>3488.2139999999999</v>
      </c>
      <c r="CK201" s="393">
        <f>+CK199+CK187+CK185</f>
        <v>3800.6139999999996</v>
      </c>
      <c r="CL201" s="425">
        <f>+CL199+CL187+CL185</f>
        <v>4103.0110000000004</v>
      </c>
      <c r="CM201" s="425">
        <f>+CM199+CM187+CM185</f>
        <v>4039.0670000000005</v>
      </c>
      <c r="CN201" s="392">
        <f>$T201</f>
        <v>3729.1819999999998</v>
      </c>
      <c r="CO201" s="426">
        <f>+CO199+CO187+CO185</f>
        <v>4357.1180000000004</v>
      </c>
      <c r="CP201" s="425">
        <f>+CP199+CP187+CP185</f>
        <v>4395.3240000000005</v>
      </c>
      <c r="CQ201" s="425">
        <f>+CQ199+CQ187+CQ185</f>
        <v>4517.4759999999997</v>
      </c>
      <c r="CR201" s="392">
        <f>$U201</f>
        <v>4479.5230000000001</v>
      </c>
      <c r="CS201" s="425">
        <f>+CS199+CS187+CS185</f>
        <v>4454.3530000000001</v>
      </c>
      <c r="CT201" s="425">
        <f>+CT199+CT187+CT185</f>
        <v>4729.5129999999999</v>
      </c>
      <c r="CU201" s="425">
        <f>+CU199+CU187+CU185</f>
        <v>4554.7</v>
      </c>
      <c r="CV201" s="392">
        <f>$V201</f>
        <v>4414.8050000000003</v>
      </c>
      <c r="CW201" s="81"/>
      <c r="CX201" s="81"/>
      <c r="CY201" s="81"/>
      <c r="CZ201" s="392">
        <f>$W201</f>
        <v>4431.9236400965174</v>
      </c>
    </row>
    <row r="202" spans="2:104" ht="13.15">
      <c r="B202" s="372"/>
      <c r="Q202" s="81"/>
      <c r="R202" s="81"/>
      <c r="S202" s="81"/>
      <c r="T202" s="81"/>
      <c r="U202" s="81"/>
      <c r="V202" s="81"/>
      <c r="W202" s="81"/>
      <c r="X202" s="81"/>
      <c r="Y202" s="405"/>
      <c r="AY202" s="372"/>
      <c r="BA202" s="81"/>
      <c r="BB202" s="81"/>
      <c r="BC202" s="81"/>
      <c r="BD202" s="81"/>
      <c r="BY202" s="81"/>
      <c r="BZ202" s="81"/>
      <c r="CA202" s="81"/>
      <c r="CB202" s="81"/>
      <c r="CC202" s="81"/>
      <c r="CD202" s="81"/>
      <c r="CE202" s="81"/>
      <c r="CF202" s="81"/>
      <c r="CG202" s="81"/>
      <c r="CH202" s="81"/>
      <c r="CI202" s="81"/>
      <c r="CJ202" s="81"/>
      <c r="CK202" s="81"/>
      <c r="CL202" s="81"/>
      <c r="CM202" s="81"/>
      <c r="CN202" s="81"/>
      <c r="CO202" s="81"/>
      <c r="CP202" s="81"/>
      <c r="CQ202" s="81"/>
      <c r="CR202" s="81"/>
      <c r="CS202" s="81"/>
      <c r="CT202" s="81"/>
      <c r="CU202" s="81"/>
      <c r="CV202" s="81"/>
      <c r="CW202" s="81"/>
      <c r="CX202" s="81"/>
      <c r="CY202" s="81"/>
      <c r="CZ202" s="81"/>
    </row>
    <row r="203" spans="2:104" s="70" customFormat="1">
      <c r="B203" s="370" t="s">
        <v>270</v>
      </c>
      <c r="H203" s="273">
        <f t="shared" ref="H203:Y203" si="261">+H201-H174</f>
        <v>0</v>
      </c>
      <c r="I203" s="273">
        <f t="shared" si="261"/>
        <v>0</v>
      </c>
      <c r="J203" s="273">
        <f t="shared" si="261"/>
        <v>0</v>
      </c>
      <c r="K203" s="273">
        <f t="shared" si="261"/>
        <v>0</v>
      </c>
      <c r="L203" s="273">
        <f t="shared" si="261"/>
        <v>0</v>
      </c>
      <c r="M203" s="273">
        <f t="shared" si="261"/>
        <v>0</v>
      </c>
      <c r="N203" s="273">
        <f t="shared" si="261"/>
        <v>0</v>
      </c>
      <c r="O203" s="273">
        <f t="shared" si="261"/>
        <v>0</v>
      </c>
      <c r="P203" s="273">
        <f t="shared" si="261"/>
        <v>-5.9999999998581188E-3</v>
      </c>
      <c r="Q203" s="273">
        <f t="shared" si="261"/>
        <v>0</v>
      </c>
      <c r="R203" s="273">
        <f t="shared" si="261"/>
        <v>0</v>
      </c>
      <c r="S203" s="273">
        <f t="shared" si="261"/>
        <v>0</v>
      </c>
      <c r="T203" s="273">
        <f t="shared" si="261"/>
        <v>0</v>
      </c>
      <c r="U203" s="273">
        <f t="shared" si="261"/>
        <v>0</v>
      </c>
      <c r="V203" s="273">
        <f t="shared" si="261"/>
        <v>0</v>
      </c>
      <c r="W203" s="273">
        <f t="shared" si="261"/>
        <v>0</v>
      </c>
      <c r="X203" s="273">
        <f t="shared" si="261"/>
        <v>0</v>
      </c>
      <c r="Y203" s="273">
        <f t="shared" si="261"/>
        <v>0</v>
      </c>
      <c r="AC203" s="273"/>
      <c r="AD203" s="273"/>
      <c r="AE203" s="273"/>
      <c r="AF203" s="273"/>
      <c r="AG203" s="273"/>
      <c r="AH203" s="273"/>
      <c r="AI203" s="273"/>
      <c r="AJ203" s="273"/>
      <c r="AK203" s="273"/>
      <c r="AL203" s="273"/>
      <c r="AM203" s="273"/>
      <c r="AN203" s="273"/>
      <c r="AO203" s="273"/>
      <c r="AP203" s="273"/>
      <c r="AQ203" s="273"/>
      <c r="AS203" s="273"/>
      <c r="AT203" s="273"/>
      <c r="AU203" s="273"/>
      <c r="AV203" s="273"/>
      <c r="AW203" s="273"/>
      <c r="AY203" s="370" t="s">
        <v>270</v>
      </c>
      <c r="BA203" s="273">
        <f t="shared" ref="BA203:CV203" si="262">+BA201-BA174</f>
        <v>0</v>
      </c>
      <c r="BB203" s="273">
        <f t="shared" si="262"/>
        <v>0</v>
      </c>
      <c r="BC203" s="273">
        <f t="shared" si="262"/>
        <v>0</v>
      </c>
      <c r="BD203" s="273">
        <f t="shared" si="262"/>
        <v>0</v>
      </c>
      <c r="BE203" s="273">
        <f t="shared" si="262"/>
        <v>0</v>
      </c>
      <c r="BF203" s="273">
        <f t="shared" si="262"/>
        <v>0</v>
      </c>
      <c r="BG203" s="273">
        <f t="shared" si="262"/>
        <v>0</v>
      </c>
      <c r="BH203" s="273">
        <f t="shared" si="262"/>
        <v>0</v>
      </c>
      <c r="BI203" s="273">
        <f t="shared" si="262"/>
        <v>0</v>
      </c>
      <c r="BJ203" s="273">
        <f t="shared" si="262"/>
        <v>0</v>
      </c>
      <c r="BK203" s="273">
        <f t="shared" si="262"/>
        <v>0</v>
      </c>
      <c r="BL203" s="273">
        <f t="shared" si="262"/>
        <v>0</v>
      </c>
      <c r="BM203" s="273">
        <f t="shared" si="262"/>
        <v>0</v>
      </c>
      <c r="BN203" s="273">
        <f t="shared" si="262"/>
        <v>0</v>
      </c>
      <c r="BO203" s="273">
        <f t="shared" si="262"/>
        <v>0</v>
      </c>
      <c r="BP203" s="273">
        <f t="shared" si="262"/>
        <v>0</v>
      </c>
      <c r="BQ203" s="273">
        <f t="shared" si="262"/>
        <v>0</v>
      </c>
      <c r="BR203" s="273">
        <f t="shared" si="262"/>
        <v>0</v>
      </c>
      <c r="BS203" s="273">
        <f t="shared" si="262"/>
        <v>0</v>
      </c>
      <c r="BT203" s="273">
        <f t="shared" si="262"/>
        <v>0</v>
      </c>
      <c r="BU203" s="273">
        <f>+BU201-BU174</f>
        <v>40.7800000000002</v>
      </c>
      <c r="BV203" s="273">
        <f t="shared" si="262"/>
        <v>0</v>
      </c>
      <c r="BW203" s="273">
        <f t="shared" si="262"/>
        <v>0</v>
      </c>
      <c r="BX203" s="273">
        <f t="shared" si="262"/>
        <v>-5.9999999998581188E-3</v>
      </c>
      <c r="BY203" s="273">
        <f t="shared" si="262"/>
        <v>0</v>
      </c>
      <c r="BZ203" s="273">
        <f t="shared" si="262"/>
        <v>0</v>
      </c>
      <c r="CA203" s="273">
        <f t="shared" si="262"/>
        <v>0</v>
      </c>
      <c r="CB203" s="273">
        <f t="shared" si="262"/>
        <v>0</v>
      </c>
      <c r="CC203" s="273">
        <f t="shared" si="262"/>
        <v>0</v>
      </c>
      <c r="CD203" s="273">
        <f t="shared" si="262"/>
        <v>0</v>
      </c>
      <c r="CE203" s="273">
        <f t="shared" si="262"/>
        <v>0</v>
      </c>
      <c r="CF203" s="273">
        <f t="shared" si="262"/>
        <v>0</v>
      </c>
      <c r="CG203" s="273">
        <f t="shared" si="262"/>
        <v>0</v>
      </c>
      <c r="CH203" s="273">
        <f t="shared" si="262"/>
        <v>0</v>
      </c>
      <c r="CI203" s="273">
        <f t="shared" si="262"/>
        <v>2.9999999999745341E-2</v>
      </c>
      <c r="CJ203" s="273">
        <f t="shared" si="262"/>
        <v>0</v>
      </c>
      <c r="CK203" s="273">
        <f t="shared" si="262"/>
        <v>1.9999999994979589E-3</v>
      </c>
      <c r="CL203" s="273">
        <f t="shared" si="262"/>
        <v>0</v>
      </c>
      <c r="CM203" s="273">
        <f t="shared" si="262"/>
        <v>0</v>
      </c>
      <c r="CN203" s="273">
        <f t="shared" si="262"/>
        <v>0</v>
      </c>
      <c r="CO203" s="273">
        <f t="shared" si="262"/>
        <v>0</v>
      </c>
      <c r="CP203" s="273">
        <f t="shared" si="262"/>
        <v>0</v>
      </c>
      <c r="CQ203" s="273">
        <f t="shared" si="262"/>
        <v>9.9999999929423211E-4</v>
      </c>
      <c r="CR203" s="273">
        <f t="shared" si="262"/>
        <v>0</v>
      </c>
      <c r="CS203" s="273">
        <f t="shared" si="262"/>
        <v>0</v>
      </c>
      <c r="CT203" s="273">
        <f t="shared" si="262"/>
        <v>0</v>
      </c>
      <c r="CU203" s="273">
        <f t="shared" si="262"/>
        <v>0</v>
      </c>
      <c r="CV203" s="273">
        <f t="shared" si="262"/>
        <v>0</v>
      </c>
      <c r="CW203" s="273"/>
      <c r="CX203" s="273"/>
      <c r="CY203" s="273"/>
      <c r="CZ203" s="273">
        <f t="shared" ref="CZ203" si="263">+CZ201-CZ174</f>
        <v>0</v>
      </c>
    </row>
    <row r="204" spans="2:104" ht="13.15">
      <c r="B204" s="296"/>
      <c r="Q204" s="81"/>
      <c r="R204" s="81"/>
      <c r="S204" s="81"/>
      <c r="T204" s="81"/>
      <c r="U204" s="81"/>
      <c r="V204" s="81"/>
      <c r="W204" s="81"/>
      <c r="X204" s="81"/>
      <c r="Y204" s="388"/>
      <c r="AY204" s="296"/>
      <c r="BA204" s="81"/>
      <c r="BB204" s="81"/>
      <c r="BC204" s="81"/>
      <c r="BD204" s="81"/>
      <c r="BU204" s="81"/>
      <c r="BV204" s="81"/>
      <c r="BW204" s="81"/>
      <c r="BX204" s="81"/>
      <c r="BY204" s="81"/>
      <c r="BZ204" s="427"/>
      <c r="CA204" s="81"/>
      <c r="CB204" s="81"/>
      <c r="CC204" s="81"/>
      <c r="CD204" s="81"/>
      <c r="CE204" s="81"/>
      <c r="CF204" s="81"/>
      <c r="CG204" s="81"/>
      <c r="CH204" s="81"/>
      <c r="CI204" s="81"/>
      <c r="CJ204" s="81"/>
      <c r="CK204" s="81"/>
      <c r="CL204" s="81"/>
      <c r="CM204" s="81"/>
      <c r="CN204" s="81"/>
      <c r="CO204" s="81"/>
      <c r="CP204" s="81"/>
      <c r="CQ204" s="81"/>
      <c r="CR204" s="81"/>
      <c r="CS204" s="81"/>
      <c r="CT204" s="81"/>
      <c r="CU204" s="81"/>
      <c r="CV204" s="81"/>
      <c r="CW204" s="81"/>
      <c r="CX204" s="81"/>
      <c r="CY204" s="81"/>
      <c r="CZ204" s="81"/>
    </row>
    <row r="205" spans="2:104">
      <c r="B205" s="428"/>
      <c r="C205" s="60"/>
      <c r="D205" s="60"/>
      <c r="E205" s="60"/>
      <c r="F205" s="60"/>
      <c r="G205" s="60"/>
      <c r="H205" s="282"/>
      <c r="I205" s="282"/>
      <c r="J205" s="282"/>
      <c r="K205" s="282"/>
      <c r="L205" s="282"/>
      <c r="M205" s="282"/>
      <c r="N205" s="282"/>
      <c r="O205" s="282"/>
      <c r="P205" s="282"/>
      <c r="Q205" s="282"/>
      <c r="R205" s="282"/>
      <c r="S205" s="282"/>
      <c r="T205" s="282"/>
      <c r="U205" s="282"/>
      <c r="V205" s="282"/>
      <c r="W205" s="282"/>
      <c r="X205" s="282"/>
      <c r="Y205" s="283"/>
      <c r="AY205" s="428"/>
      <c r="AZ205" s="60"/>
      <c r="BA205" s="282"/>
      <c r="BB205" s="282"/>
      <c r="BC205" s="282"/>
      <c r="BD205" s="283"/>
      <c r="BE205" s="281"/>
      <c r="BF205" s="282"/>
      <c r="BG205" s="282"/>
      <c r="BH205" s="283"/>
      <c r="BI205" s="281"/>
      <c r="BJ205" s="282"/>
      <c r="BK205" s="282"/>
      <c r="BL205" s="283"/>
      <c r="BM205" s="281"/>
      <c r="BN205" s="282"/>
      <c r="BO205" s="282"/>
      <c r="BP205" s="283"/>
      <c r="BQ205" s="281"/>
      <c r="BR205" s="282"/>
      <c r="BS205" s="282"/>
      <c r="BT205" s="283"/>
      <c r="BU205" s="282"/>
      <c r="BV205" s="282"/>
      <c r="BW205" s="282"/>
      <c r="BX205" s="283"/>
      <c r="BY205" s="281"/>
      <c r="BZ205" s="282"/>
      <c r="CA205" s="282"/>
      <c r="CB205" s="283"/>
      <c r="CC205" s="282"/>
      <c r="CD205" s="282"/>
      <c r="CE205" s="282"/>
      <c r="CF205" s="283"/>
      <c r="CG205" s="282"/>
      <c r="CH205" s="282"/>
      <c r="CI205" s="282"/>
      <c r="CJ205" s="283"/>
      <c r="CK205" s="282"/>
      <c r="CL205" s="282"/>
      <c r="CM205" s="282"/>
      <c r="CN205" s="283"/>
      <c r="CO205" s="282"/>
      <c r="CP205" s="282"/>
      <c r="CQ205" s="282"/>
      <c r="CR205" s="283"/>
      <c r="CS205" s="282"/>
      <c r="CT205" s="282"/>
      <c r="CU205" s="282"/>
    </row>
    <row r="206" spans="2:104">
      <c r="B206" s="114" t="s">
        <v>271</v>
      </c>
      <c r="H206" s="53">
        <f t="shared" ref="H206:Y206" si="264">H183</f>
        <v>0</v>
      </c>
      <c r="I206" s="53">
        <f t="shared" si="264"/>
        <v>316.18200000000002</v>
      </c>
      <c r="J206" s="53">
        <f t="shared" si="264"/>
        <v>230.04400000000001</v>
      </c>
      <c r="K206" s="53">
        <f t="shared" si="264"/>
        <v>303.19900000000001</v>
      </c>
      <c r="L206" s="53">
        <f t="shared" si="264"/>
        <v>245.3</v>
      </c>
      <c r="M206" s="53">
        <f t="shared" si="264"/>
        <v>235.29400000000001</v>
      </c>
      <c r="N206" s="53">
        <f t="shared" si="264"/>
        <v>21.8</v>
      </c>
      <c r="O206" s="53">
        <f t="shared" si="264"/>
        <v>135.19999999999999</v>
      </c>
      <c r="P206" s="53">
        <f t="shared" si="264"/>
        <v>155.69999999999999</v>
      </c>
      <c r="Q206" s="53">
        <f t="shared" si="264"/>
        <v>0</v>
      </c>
      <c r="R206" s="53">
        <f t="shared" si="264"/>
        <v>89</v>
      </c>
      <c r="S206" s="53">
        <f t="shared" si="264"/>
        <v>0</v>
      </c>
      <c r="T206" s="53">
        <f t="shared" si="264"/>
        <v>15.4</v>
      </c>
      <c r="U206" s="53">
        <f t="shared" si="264"/>
        <v>0</v>
      </c>
      <c r="V206" s="53">
        <f t="shared" si="264"/>
        <v>0</v>
      </c>
      <c r="W206" s="53">
        <f t="shared" si="264"/>
        <v>0</v>
      </c>
      <c r="X206" s="53">
        <f t="shared" si="264"/>
        <v>0</v>
      </c>
      <c r="Y206" s="64">
        <f t="shared" si="264"/>
        <v>0</v>
      </c>
      <c r="AD206" s="429"/>
      <c r="AR206" s="7"/>
      <c r="AY206" s="114" t="s">
        <v>271</v>
      </c>
      <c r="BA206" s="53"/>
      <c r="BB206" s="53"/>
      <c r="BC206" s="53"/>
      <c r="BD206" s="64"/>
      <c r="BE206" s="52">
        <f t="shared" ref="BE206:CU206" si="265">BE183</f>
        <v>340.65300000000002</v>
      </c>
      <c r="BF206" s="53">
        <f t="shared" si="265"/>
        <v>433.41199999999998</v>
      </c>
      <c r="BG206" s="53">
        <f t="shared" si="265"/>
        <v>304.94099999999997</v>
      </c>
      <c r="BH206" s="64">
        <f t="shared" si="265"/>
        <v>245.3</v>
      </c>
      <c r="BI206" s="52">
        <f t="shared" si="265"/>
        <v>237.9</v>
      </c>
      <c r="BJ206" s="53">
        <f t="shared" si="265"/>
        <v>267.34800000000001</v>
      </c>
      <c r="BK206" s="53">
        <f t="shared" si="265"/>
        <v>219.4</v>
      </c>
      <c r="BL206" s="64">
        <f t="shared" si="265"/>
        <v>235.29400000000001</v>
      </c>
      <c r="BM206" s="52">
        <f t="shared" si="265"/>
        <v>280.3</v>
      </c>
      <c r="BN206" s="53">
        <f t="shared" si="265"/>
        <v>379.3</v>
      </c>
      <c r="BO206" s="53">
        <f t="shared" si="265"/>
        <v>284.7</v>
      </c>
      <c r="BP206" s="64">
        <f t="shared" si="265"/>
        <v>21.8</v>
      </c>
      <c r="BQ206" s="52">
        <f t="shared" si="265"/>
        <v>91</v>
      </c>
      <c r="BR206" s="53">
        <f t="shared" si="265"/>
        <v>141.6</v>
      </c>
      <c r="BS206" s="53">
        <f t="shared" si="265"/>
        <v>0</v>
      </c>
      <c r="BT206" s="64">
        <f t="shared" si="265"/>
        <v>135.19999999999999</v>
      </c>
      <c r="BU206" s="53">
        <f t="shared" si="265"/>
        <v>137.5</v>
      </c>
      <c r="BV206" s="53">
        <f t="shared" si="265"/>
        <v>219.6</v>
      </c>
      <c r="BW206" s="53">
        <f t="shared" si="265"/>
        <v>169.3</v>
      </c>
      <c r="BX206" s="64">
        <f t="shared" si="265"/>
        <v>155.69999999999999</v>
      </c>
      <c r="BY206" s="52">
        <f t="shared" si="265"/>
        <v>156.143</v>
      </c>
      <c r="BZ206" s="53">
        <f t="shared" si="265"/>
        <v>33.356999999999999</v>
      </c>
      <c r="CA206" s="53">
        <f t="shared" si="265"/>
        <v>0.66800000000000004</v>
      </c>
      <c r="CB206" s="64">
        <f t="shared" si="265"/>
        <v>0</v>
      </c>
      <c r="CC206" s="52">
        <f t="shared" si="265"/>
        <v>48.9</v>
      </c>
      <c r="CD206" s="53">
        <f t="shared" si="265"/>
        <v>120.33200000000001</v>
      </c>
      <c r="CE206" s="53">
        <f t="shared" si="265"/>
        <v>8.4</v>
      </c>
      <c r="CF206" s="64">
        <f t="shared" si="265"/>
        <v>89</v>
      </c>
      <c r="CG206" s="52">
        <f t="shared" si="265"/>
        <v>262.5</v>
      </c>
      <c r="CH206" s="53">
        <f t="shared" si="265"/>
        <v>203.6</v>
      </c>
      <c r="CI206" s="53">
        <f t="shared" si="265"/>
        <v>8.8000000000000007</v>
      </c>
      <c r="CJ206" s="64">
        <f t="shared" si="265"/>
        <v>0</v>
      </c>
      <c r="CK206" s="52">
        <f t="shared" si="265"/>
        <v>197.6</v>
      </c>
      <c r="CL206" s="53">
        <f t="shared" si="265"/>
        <v>342.9</v>
      </c>
      <c r="CM206" s="53">
        <f t="shared" si="265"/>
        <v>105.6</v>
      </c>
      <c r="CN206" s="64">
        <f t="shared" si="265"/>
        <v>15.4</v>
      </c>
      <c r="CO206" s="53">
        <f>CO183</f>
        <v>0</v>
      </c>
      <c r="CP206" s="53">
        <f t="shared" si="265"/>
        <v>0</v>
      </c>
      <c r="CQ206" s="53">
        <f t="shared" si="265"/>
        <v>0</v>
      </c>
      <c r="CR206" s="64">
        <f t="shared" si="265"/>
        <v>0</v>
      </c>
      <c r="CS206" s="53">
        <f t="shared" si="265"/>
        <v>0</v>
      </c>
      <c r="CT206" s="53">
        <f t="shared" si="265"/>
        <v>0</v>
      </c>
      <c r="CU206" s="53">
        <f t="shared" si="265"/>
        <v>0</v>
      </c>
      <c r="CV206" s="53"/>
      <c r="CW206" s="53"/>
      <c r="CX206" s="53"/>
      <c r="CY206" s="53"/>
      <c r="CZ206" s="53"/>
    </row>
    <row r="207" spans="2:104">
      <c r="B207" s="114" t="s">
        <v>272</v>
      </c>
      <c r="H207" s="188">
        <f t="shared" ref="H207:Y207" si="266">H206/(H208+H199)</f>
        <v>0</v>
      </c>
      <c r="I207" s="188">
        <f t="shared" si="266"/>
        <v>0.23626950903659022</v>
      </c>
      <c r="J207" s="188">
        <f t="shared" si="266"/>
        <v>0.16945614245736601</v>
      </c>
      <c r="K207" s="188">
        <f t="shared" si="266"/>
        <v>0.21122859230866231</v>
      </c>
      <c r="L207" s="188">
        <f t="shared" si="266"/>
        <v>0.16926521782632545</v>
      </c>
      <c r="M207" s="188">
        <f t="shared" si="266"/>
        <v>0.15820828083122987</v>
      </c>
      <c r="N207" s="188">
        <f t="shared" si="266"/>
        <v>1.3858683386935076E-2</v>
      </c>
      <c r="O207" s="188">
        <f t="shared" si="266"/>
        <v>7.7828224129167206E-2</v>
      </c>
      <c r="P207" s="188">
        <f t="shared" si="266"/>
        <v>8.0262365662347512E-2</v>
      </c>
      <c r="Q207" s="188">
        <f t="shared" si="266"/>
        <v>0</v>
      </c>
      <c r="R207" s="188">
        <f t="shared" si="266"/>
        <v>4.0996519441562913E-2</v>
      </c>
      <c r="S207" s="188">
        <f t="shared" si="266"/>
        <v>0</v>
      </c>
      <c r="T207" s="188">
        <f t="shared" si="266"/>
        <v>5.6371952391323843E-3</v>
      </c>
      <c r="U207" s="188">
        <f t="shared" si="266"/>
        <v>0</v>
      </c>
      <c r="V207" s="188">
        <f t="shared" si="266"/>
        <v>0</v>
      </c>
      <c r="W207" s="188">
        <f t="shared" si="266"/>
        <v>0</v>
      </c>
      <c r="X207" s="188">
        <f t="shared" si="266"/>
        <v>0</v>
      </c>
      <c r="Y207" s="189">
        <f t="shared" si="266"/>
        <v>0</v>
      </c>
      <c r="AD207" s="429"/>
      <c r="AR207" s="7"/>
      <c r="AY207" s="114" t="s">
        <v>272</v>
      </c>
      <c r="BA207" s="53"/>
      <c r="BB207" s="53"/>
      <c r="BC207" s="53"/>
      <c r="BD207" s="64"/>
      <c r="BE207" s="187">
        <f t="shared" ref="BE207:CU207" si="267">BE206/(BE208+BE199)</f>
        <v>0.23251812212469117</v>
      </c>
      <c r="BF207" s="188">
        <f t="shared" si="267"/>
        <v>0.26686123476858092</v>
      </c>
      <c r="BG207" s="188">
        <f t="shared" si="267"/>
        <v>0.19976403630251041</v>
      </c>
      <c r="BH207" s="189">
        <f t="shared" si="267"/>
        <v>0.16928671151073724</v>
      </c>
      <c r="BI207" s="187">
        <f t="shared" si="267"/>
        <v>0.16310115699668998</v>
      </c>
      <c r="BJ207" s="188">
        <f t="shared" si="267"/>
        <v>0.17353633807351476</v>
      </c>
      <c r="BK207" s="188">
        <f t="shared" si="267"/>
        <v>0.14379964004210433</v>
      </c>
      <c r="BL207" s="189">
        <f t="shared" si="267"/>
        <v>0.1582295590844105</v>
      </c>
      <c r="BM207" s="187">
        <f t="shared" si="267"/>
        <v>0.1883081024213345</v>
      </c>
      <c r="BN207" s="188">
        <f t="shared" si="267"/>
        <v>0.22854078546208262</v>
      </c>
      <c r="BO207" s="188">
        <f t="shared" si="267"/>
        <v>0.17609564956532764</v>
      </c>
      <c r="BP207" s="189">
        <f t="shared" si="267"/>
        <v>1.3860833417579226E-2</v>
      </c>
      <c r="BQ207" s="187">
        <f t="shared" si="267"/>
        <v>5.5466632858433305E-2</v>
      </c>
      <c r="BR207" s="188">
        <f t="shared" si="267"/>
        <v>8.1211566454117187E-2</v>
      </c>
      <c r="BS207" s="188">
        <f t="shared" si="267"/>
        <v>0</v>
      </c>
      <c r="BT207" s="189">
        <f t="shared" si="267"/>
        <v>7.7839246985888164E-2</v>
      </c>
      <c r="BU207" s="188">
        <f t="shared" si="267"/>
        <v>7.9170637194077451E-2</v>
      </c>
      <c r="BV207" s="188">
        <f t="shared" si="267"/>
        <v>0.11851295385442336</v>
      </c>
      <c r="BW207" s="188">
        <f t="shared" si="267"/>
        <v>8.8070572984130666E-2</v>
      </c>
      <c r="BX207" s="189">
        <f t="shared" si="267"/>
        <v>8.3241244031570724E-2</v>
      </c>
      <c r="BY207" s="187">
        <f t="shared" si="267"/>
        <v>8.4905132001724823E-2</v>
      </c>
      <c r="BZ207" s="188">
        <f t="shared" si="267"/>
        <v>1.8851737754169543E-2</v>
      </c>
      <c r="CA207" s="188">
        <f t="shared" si="267"/>
        <v>3.6893725084308795E-4</v>
      </c>
      <c r="CB207" s="189">
        <f t="shared" si="267"/>
        <v>0</v>
      </c>
      <c r="CC207" s="187">
        <f t="shared" si="267"/>
        <v>2.6493625547006683E-2</v>
      </c>
      <c r="CD207" s="188">
        <f t="shared" si="267"/>
        <v>5.8645183771836848E-2</v>
      </c>
      <c r="CE207" s="188">
        <f t="shared" si="267"/>
        <v>4.1380839193566272E-3</v>
      </c>
      <c r="CF207" s="189">
        <f t="shared" si="267"/>
        <v>4.2656901910693705E-2</v>
      </c>
      <c r="CG207" s="187">
        <f t="shared" si="267"/>
        <v>0.11202557170383427</v>
      </c>
      <c r="CH207" s="188">
        <f t="shared" si="267"/>
        <v>8.4015061639242786E-2</v>
      </c>
      <c r="CI207" s="188">
        <f t="shared" si="267"/>
        <v>3.7850227509975474E-3</v>
      </c>
      <c r="CJ207" s="189">
        <f t="shared" si="267"/>
        <v>0</v>
      </c>
      <c r="CK207" s="187">
        <f t="shared" si="267"/>
        <v>7.8853999186718371E-2</v>
      </c>
      <c r="CL207" s="188">
        <f t="shared" si="267"/>
        <v>0.12268555788117853</v>
      </c>
      <c r="CM207" s="188">
        <f t="shared" si="267"/>
        <v>3.8104008065348367E-2</v>
      </c>
      <c r="CN207" s="189">
        <f t="shared" si="267"/>
        <v>5.8519754217032285E-3</v>
      </c>
      <c r="CO207" s="191">
        <f t="shared" si="267"/>
        <v>0</v>
      </c>
      <c r="CP207" s="191">
        <f t="shared" si="267"/>
        <v>0</v>
      </c>
      <c r="CQ207" s="191">
        <f t="shared" si="267"/>
        <v>0</v>
      </c>
      <c r="CR207" s="189">
        <f t="shared" si="267"/>
        <v>0</v>
      </c>
      <c r="CS207" s="191">
        <f t="shared" si="267"/>
        <v>0</v>
      </c>
      <c r="CT207" s="191">
        <f t="shared" si="267"/>
        <v>0</v>
      </c>
      <c r="CU207" s="191">
        <f t="shared" si="267"/>
        <v>0</v>
      </c>
      <c r="CV207" s="188"/>
      <c r="CW207" s="188"/>
      <c r="CX207" s="188"/>
      <c r="CY207" s="188"/>
      <c r="CZ207" s="188"/>
    </row>
    <row r="208" spans="2:104">
      <c r="B208" s="114" t="s">
        <v>273</v>
      </c>
      <c r="H208" s="49">
        <f>H206+H177+H178</f>
        <v>20.018999999999998</v>
      </c>
      <c r="I208" s="49">
        <f t="shared" ref="I208:Y208" si="268">I206+I177+I178</f>
        <v>316.18600000000004</v>
      </c>
      <c r="J208" s="49">
        <f t="shared" si="268"/>
        <v>230.15100000000001</v>
      </c>
      <c r="K208" s="49">
        <f t="shared" si="268"/>
        <v>303.36799999999999</v>
      </c>
      <c r="L208" s="49">
        <f t="shared" si="268"/>
        <v>245.48400000000001</v>
      </c>
      <c r="M208" s="49">
        <f t="shared" si="268"/>
        <v>235.494</v>
      </c>
      <c r="N208" s="49">
        <f t="shared" si="268"/>
        <v>22.044</v>
      </c>
      <c r="O208" s="49">
        <f t="shared" si="268"/>
        <v>135.446</v>
      </c>
      <c r="P208" s="49">
        <f t="shared" si="268"/>
        <v>225.12099999999998</v>
      </c>
      <c r="Q208" s="49">
        <f t="shared" si="268"/>
        <v>71.804000000000002</v>
      </c>
      <c r="R208" s="49">
        <f t="shared" si="268"/>
        <v>173.501</v>
      </c>
      <c r="S208" s="49">
        <f t="shared" si="268"/>
        <v>146.99699999999999</v>
      </c>
      <c r="T208" s="49">
        <f t="shared" si="268"/>
        <v>115.66500000000001</v>
      </c>
      <c r="U208" s="49">
        <f t="shared" si="268"/>
        <v>110.273</v>
      </c>
      <c r="V208" s="49">
        <f t="shared" si="268"/>
        <v>117.15300000000001</v>
      </c>
      <c r="W208" s="49">
        <f t="shared" si="268"/>
        <v>117.15300000000001</v>
      </c>
      <c r="X208" s="49">
        <f t="shared" si="268"/>
        <v>117.15300000000001</v>
      </c>
      <c r="Y208" s="63">
        <f t="shared" si="268"/>
        <v>117.15300000000001</v>
      </c>
      <c r="AD208" s="430"/>
      <c r="AR208" s="7"/>
      <c r="AY208" s="114" t="s">
        <v>273</v>
      </c>
      <c r="BA208" s="49"/>
      <c r="BB208" s="49"/>
      <c r="BC208" s="49"/>
      <c r="BD208" s="63"/>
      <c r="BE208" s="62">
        <f t="shared" ref="BE208:CU208" si="269">BE205+BE206</f>
        <v>340.65300000000002</v>
      </c>
      <c r="BF208" s="49">
        <f t="shared" si="269"/>
        <v>433.41199999999998</v>
      </c>
      <c r="BG208" s="49">
        <f t="shared" si="269"/>
        <v>304.94099999999997</v>
      </c>
      <c r="BH208" s="63">
        <f t="shared" si="269"/>
        <v>245.3</v>
      </c>
      <c r="BI208" s="62">
        <f t="shared" si="269"/>
        <v>237.9</v>
      </c>
      <c r="BJ208" s="49">
        <f t="shared" si="269"/>
        <v>267.34800000000001</v>
      </c>
      <c r="BK208" s="49">
        <f t="shared" si="269"/>
        <v>219.4</v>
      </c>
      <c r="BL208" s="63">
        <f t="shared" si="269"/>
        <v>235.29400000000001</v>
      </c>
      <c r="BM208" s="62">
        <f t="shared" si="269"/>
        <v>280.3</v>
      </c>
      <c r="BN208" s="49">
        <f t="shared" si="269"/>
        <v>379.3</v>
      </c>
      <c r="BO208" s="49">
        <f t="shared" si="269"/>
        <v>284.7</v>
      </c>
      <c r="BP208" s="63">
        <f t="shared" si="269"/>
        <v>21.8</v>
      </c>
      <c r="BQ208" s="62">
        <f t="shared" si="269"/>
        <v>91</v>
      </c>
      <c r="BR208" s="49">
        <f t="shared" si="269"/>
        <v>141.6</v>
      </c>
      <c r="BS208" s="49">
        <f t="shared" si="269"/>
        <v>0</v>
      </c>
      <c r="BT208" s="63">
        <f t="shared" si="269"/>
        <v>135.19999999999999</v>
      </c>
      <c r="BU208" s="49">
        <f t="shared" si="269"/>
        <v>137.5</v>
      </c>
      <c r="BV208" s="49">
        <f t="shared" si="269"/>
        <v>219.6</v>
      </c>
      <c r="BW208" s="49">
        <f t="shared" si="269"/>
        <v>169.3</v>
      </c>
      <c r="BX208" s="63">
        <f t="shared" si="269"/>
        <v>155.69999999999999</v>
      </c>
      <c r="BY208" s="62">
        <f t="shared" si="269"/>
        <v>156.143</v>
      </c>
      <c r="BZ208" s="49">
        <f t="shared" si="269"/>
        <v>33.356999999999999</v>
      </c>
      <c r="CA208" s="49">
        <f t="shared" si="269"/>
        <v>0.66800000000000004</v>
      </c>
      <c r="CB208" s="63">
        <f t="shared" si="269"/>
        <v>0</v>
      </c>
      <c r="CC208" s="62">
        <f t="shared" si="269"/>
        <v>48.9</v>
      </c>
      <c r="CD208" s="49">
        <f t="shared" si="269"/>
        <v>120.33200000000001</v>
      </c>
      <c r="CE208" s="49">
        <f t="shared" si="269"/>
        <v>8.4</v>
      </c>
      <c r="CF208" s="63">
        <f t="shared" si="269"/>
        <v>89</v>
      </c>
      <c r="CG208" s="62">
        <f t="shared" si="269"/>
        <v>262.5</v>
      </c>
      <c r="CH208" s="49">
        <f t="shared" si="269"/>
        <v>203.6</v>
      </c>
      <c r="CI208" s="49">
        <f t="shared" si="269"/>
        <v>8.8000000000000007</v>
      </c>
      <c r="CJ208" s="63">
        <f t="shared" si="269"/>
        <v>0</v>
      </c>
      <c r="CK208" s="62">
        <f t="shared" si="269"/>
        <v>197.6</v>
      </c>
      <c r="CL208" s="49">
        <f t="shared" si="269"/>
        <v>342.9</v>
      </c>
      <c r="CM208" s="49">
        <f t="shared" si="269"/>
        <v>105.6</v>
      </c>
      <c r="CN208" s="63">
        <f t="shared" si="269"/>
        <v>15.4</v>
      </c>
      <c r="CO208" s="49">
        <f t="shared" si="269"/>
        <v>0</v>
      </c>
      <c r="CP208" s="49">
        <f t="shared" si="269"/>
        <v>0</v>
      </c>
      <c r="CQ208" s="49">
        <f t="shared" si="269"/>
        <v>0</v>
      </c>
      <c r="CR208" s="63">
        <f t="shared" si="269"/>
        <v>0</v>
      </c>
      <c r="CS208" s="49">
        <f t="shared" si="269"/>
        <v>0</v>
      </c>
      <c r="CT208" s="49">
        <f t="shared" si="269"/>
        <v>0</v>
      </c>
      <c r="CU208" s="49">
        <f t="shared" si="269"/>
        <v>0</v>
      </c>
      <c r="CV208" s="49"/>
      <c r="CW208" s="49"/>
      <c r="CX208" s="49"/>
      <c r="CY208" s="49"/>
      <c r="CZ208" s="49"/>
    </row>
    <row r="209" spans="2:114">
      <c r="B209" s="114" t="s">
        <v>272</v>
      </c>
      <c r="H209" s="188">
        <f t="shared" ref="H209:Y209" si="270">H208/(H208+H199)</f>
        <v>1.9593258094856854E-2</v>
      </c>
      <c r="I209" s="188">
        <f t="shared" si="270"/>
        <v>0.23627249806833825</v>
      </c>
      <c r="J209" s="188">
        <f t="shared" si="270"/>
        <v>0.16953496132350873</v>
      </c>
      <c r="K209" s="188">
        <f t="shared" si="270"/>
        <v>0.21134632895060426</v>
      </c>
      <c r="L209" s="188">
        <f t="shared" si="270"/>
        <v>0.16939218399053274</v>
      </c>
      <c r="M209" s="188">
        <f t="shared" si="270"/>
        <v>0.15834275793717498</v>
      </c>
      <c r="N209" s="188">
        <f t="shared" si="270"/>
        <v>1.4013798925761323E-2</v>
      </c>
      <c r="O209" s="188">
        <f t="shared" si="270"/>
        <v>7.7969834655319398E-2</v>
      </c>
      <c r="P209" s="188">
        <f t="shared" si="270"/>
        <v>0.11604845228178121</v>
      </c>
      <c r="Q209" s="188">
        <f t="shared" si="270"/>
        <v>3.8780167047875715E-2</v>
      </c>
      <c r="R209" s="188">
        <f t="shared" si="270"/>
        <v>7.9920641793602323E-2</v>
      </c>
      <c r="S209" s="188">
        <f t="shared" si="270"/>
        <v>6.1369571343582667E-2</v>
      </c>
      <c r="T209" s="188">
        <f t="shared" si="270"/>
        <v>4.2339362813912158E-2</v>
      </c>
      <c r="U209" s="188">
        <f t="shared" si="270"/>
        <v>3.4737003588899196E-2</v>
      </c>
      <c r="V209" s="188">
        <f t="shared" si="270"/>
        <v>3.5084004798734074E-2</v>
      </c>
      <c r="W209" s="188">
        <f t="shared" si="270"/>
        <v>3.4800547044385739E-2</v>
      </c>
      <c r="X209" s="188">
        <f t="shared" si="270"/>
        <v>3.462079288271553E-2</v>
      </c>
      <c r="Y209" s="189">
        <f t="shared" si="270"/>
        <v>3.4546353468530057E-2</v>
      </c>
      <c r="AD209" s="429"/>
      <c r="AR209" s="7"/>
      <c r="AY209" s="114" t="s">
        <v>272</v>
      </c>
      <c r="BA209" s="53"/>
      <c r="BB209" s="53"/>
      <c r="BC209" s="53"/>
      <c r="BD209" s="64"/>
      <c r="BE209" s="187">
        <f t="shared" ref="BE209:CU209" si="271">BE208/(BE208+BE199)</f>
        <v>0.23251812212469117</v>
      </c>
      <c r="BF209" s="188">
        <f t="shared" si="271"/>
        <v>0.26686123476858092</v>
      </c>
      <c r="BG209" s="188">
        <f t="shared" si="271"/>
        <v>0.19976403630251041</v>
      </c>
      <c r="BH209" s="189">
        <f t="shared" si="271"/>
        <v>0.16928671151073724</v>
      </c>
      <c r="BI209" s="187">
        <f t="shared" si="271"/>
        <v>0.16310115699668998</v>
      </c>
      <c r="BJ209" s="188">
        <f t="shared" si="271"/>
        <v>0.17353633807351476</v>
      </c>
      <c r="BK209" s="188">
        <f t="shared" si="271"/>
        <v>0.14379964004210433</v>
      </c>
      <c r="BL209" s="189">
        <f t="shared" si="271"/>
        <v>0.1582295590844105</v>
      </c>
      <c r="BM209" s="187">
        <f t="shared" si="271"/>
        <v>0.1883081024213345</v>
      </c>
      <c r="BN209" s="188">
        <f t="shared" si="271"/>
        <v>0.22854078546208262</v>
      </c>
      <c r="BO209" s="188">
        <f t="shared" si="271"/>
        <v>0.17609564956532764</v>
      </c>
      <c r="BP209" s="189">
        <f t="shared" si="271"/>
        <v>1.3860833417579226E-2</v>
      </c>
      <c r="BQ209" s="187">
        <f t="shared" si="271"/>
        <v>5.5466632858433305E-2</v>
      </c>
      <c r="BR209" s="188">
        <f t="shared" si="271"/>
        <v>8.1211566454117187E-2</v>
      </c>
      <c r="BS209" s="188">
        <f t="shared" si="271"/>
        <v>0</v>
      </c>
      <c r="BT209" s="189">
        <f t="shared" si="271"/>
        <v>7.7839246985888164E-2</v>
      </c>
      <c r="BU209" s="188">
        <f t="shared" si="271"/>
        <v>7.9170637194077451E-2</v>
      </c>
      <c r="BV209" s="188">
        <f t="shared" si="271"/>
        <v>0.11851295385442336</v>
      </c>
      <c r="BW209" s="188">
        <f t="shared" si="271"/>
        <v>8.8070572984130666E-2</v>
      </c>
      <c r="BX209" s="189">
        <f t="shared" si="271"/>
        <v>8.3241244031570724E-2</v>
      </c>
      <c r="BY209" s="187">
        <f t="shared" si="271"/>
        <v>8.4905132001724823E-2</v>
      </c>
      <c r="BZ209" s="188">
        <f t="shared" si="271"/>
        <v>1.8851737754169543E-2</v>
      </c>
      <c r="CA209" s="188">
        <f t="shared" si="271"/>
        <v>3.6893725084308795E-4</v>
      </c>
      <c r="CB209" s="189">
        <f t="shared" si="271"/>
        <v>0</v>
      </c>
      <c r="CC209" s="187">
        <f t="shared" si="271"/>
        <v>2.6493625547006683E-2</v>
      </c>
      <c r="CD209" s="188">
        <f t="shared" si="271"/>
        <v>5.8645183771836848E-2</v>
      </c>
      <c r="CE209" s="188">
        <f t="shared" si="271"/>
        <v>4.1380839193566272E-3</v>
      </c>
      <c r="CF209" s="189">
        <f t="shared" si="271"/>
        <v>4.2656901910693705E-2</v>
      </c>
      <c r="CG209" s="187">
        <f t="shared" si="271"/>
        <v>0.11202557170383427</v>
      </c>
      <c r="CH209" s="188">
        <f t="shared" si="271"/>
        <v>8.4015061639242786E-2</v>
      </c>
      <c r="CI209" s="188">
        <f t="shared" si="271"/>
        <v>3.7850227509975474E-3</v>
      </c>
      <c r="CJ209" s="189">
        <f t="shared" si="271"/>
        <v>0</v>
      </c>
      <c r="CK209" s="187">
        <f t="shared" si="271"/>
        <v>7.8853999186718371E-2</v>
      </c>
      <c r="CL209" s="188">
        <f t="shared" si="271"/>
        <v>0.12268555788117853</v>
      </c>
      <c r="CM209" s="188">
        <f t="shared" si="271"/>
        <v>3.8104008065348367E-2</v>
      </c>
      <c r="CN209" s="189">
        <f t="shared" si="271"/>
        <v>5.8519754217032285E-3</v>
      </c>
      <c r="CO209" s="191">
        <f t="shared" si="271"/>
        <v>0</v>
      </c>
      <c r="CP209" s="191">
        <f t="shared" si="271"/>
        <v>0</v>
      </c>
      <c r="CQ209" s="191">
        <f t="shared" si="271"/>
        <v>0</v>
      </c>
      <c r="CR209" s="189">
        <f t="shared" si="271"/>
        <v>0</v>
      </c>
      <c r="CS209" s="191">
        <f t="shared" si="271"/>
        <v>0</v>
      </c>
      <c r="CT209" s="191">
        <f t="shared" si="271"/>
        <v>0</v>
      </c>
      <c r="CU209" s="191">
        <f t="shared" si="271"/>
        <v>0</v>
      </c>
      <c r="CV209" s="188"/>
      <c r="CW209" s="188"/>
      <c r="CX209" s="188"/>
      <c r="CY209" s="188"/>
      <c r="CZ209" s="188"/>
    </row>
    <row r="210" spans="2:114">
      <c r="B210" s="114" t="s">
        <v>274</v>
      </c>
      <c r="H210" s="53">
        <f t="shared" ref="H210:Y210" si="272">H164</f>
        <v>15.673</v>
      </c>
      <c r="I210" s="53">
        <f t="shared" si="272"/>
        <v>73.77</v>
      </c>
      <c r="J210" s="53">
        <f t="shared" si="272"/>
        <v>19.478000000000002</v>
      </c>
      <c r="K210" s="53">
        <f t="shared" si="272"/>
        <v>24.446999999999999</v>
      </c>
      <c r="L210" s="53">
        <f t="shared" si="272"/>
        <v>35.228999999999999</v>
      </c>
      <c r="M210" s="53">
        <f t="shared" si="272"/>
        <v>56.01</v>
      </c>
      <c r="N210" s="53">
        <f t="shared" si="272"/>
        <v>80.495999999999995</v>
      </c>
      <c r="O210" s="53">
        <f t="shared" si="272"/>
        <v>82.894000000000005</v>
      </c>
      <c r="P210" s="53">
        <f t="shared" si="272"/>
        <v>74.453999999999994</v>
      </c>
      <c r="Q210" s="53">
        <f t="shared" si="272"/>
        <v>146.06700000000001</v>
      </c>
      <c r="R210" s="53">
        <f t="shared" si="272"/>
        <v>118.268</v>
      </c>
      <c r="S210" s="53">
        <f t="shared" si="272"/>
        <v>147.505</v>
      </c>
      <c r="T210" s="53">
        <f t="shared" si="272"/>
        <v>210.11199999999999</v>
      </c>
      <c r="U210" s="53">
        <f t="shared" si="272"/>
        <v>781.93999999999994</v>
      </c>
      <c r="V210" s="53">
        <f t="shared" si="272"/>
        <v>733.28300000000002</v>
      </c>
      <c r="W210" s="53">
        <f t="shared" si="272"/>
        <v>753.1423486380379</v>
      </c>
      <c r="X210" s="53">
        <f t="shared" si="272"/>
        <v>741.97311784829753</v>
      </c>
      <c r="Y210" s="64">
        <f t="shared" si="272"/>
        <v>721.01241741075376</v>
      </c>
      <c r="AD210" s="431"/>
      <c r="AR210" s="7"/>
      <c r="AY210" s="114" t="s">
        <v>274</v>
      </c>
      <c r="BA210" s="53"/>
      <c r="BB210" s="53"/>
      <c r="BC210" s="53"/>
      <c r="BD210" s="64"/>
      <c r="BE210" s="52">
        <f t="shared" ref="BE210:CU210" si="273">BE164</f>
        <v>16.251000000000001</v>
      </c>
      <c r="BF210" s="53">
        <f t="shared" si="273"/>
        <v>21.850999999999999</v>
      </c>
      <c r="BG210" s="53">
        <f t="shared" si="273"/>
        <v>28.504999999999999</v>
      </c>
      <c r="BH210" s="64">
        <f t="shared" si="273"/>
        <v>35.228999999999999</v>
      </c>
      <c r="BI210" s="52">
        <f t="shared" si="273"/>
        <v>32.856000000000002</v>
      </c>
      <c r="BJ210" s="53">
        <f t="shared" si="273"/>
        <v>30.544</v>
      </c>
      <c r="BK210" s="53">
        <f t="shared" si="273"/>
        <v>35.909999999999997</v>
      </c>
      <c r="BL210" s="64">
        <f t="shared" si="273"/>
        <v>56.01</v>
      </c>
      <c r="BM210" s="52">
        <f t="shared" si="273"/>
        <v>47.420999999999999</v>
      </c>
      <c r="BN210" s="53">
        <f t="shared" si="273"/>
        <v>51.033999999999999</v>
      </c>
      <c r="BO210" s="53">
        <f t="shared" si="273"/>
        <v>66.667000000000002</v>
      </c>
      <c r="BP210" s="64">
        <f t="shared" si="273"/>
        <v>80.495999999999995</v>
      </c>
      <c r="BQ210" s="52">
        <f t="shared" si="273"/>
        <v>58.073</v>
      </c>
      <c r="BR210" s="53">
        <f t="shared" si="273"/>
        <v>72</v>
      </c>
      <c r="BS210" s="53">
        <f t="shared" si="273"/>
        <v>67.611999999999995</v>
      </c>
      <c r="BT210" s="64">
        <f t="shared" si="273"/>
        <v>82.894000000000005</v>
      </c>
      <c r="BU210" s="53">
        <f t="shared" si="273"/>
        <v>77.272999999999996</v>
      </c>
      <c r="BV210" s="53">
        <f t="shared" si="273"/>
        <v>55.914999999999999</v>
      </c>
      <c r="BW210" s="53">
        <f t="shared" si="273"/>
        <v>60.15</v>
      </c>
      <c r="BX210" s="64">
        <f t="shared" si="273"/>
        <v>74.453999999999994</v>
      </c>
      <c r="BY210" s="52">
        <f t="shared" si="273"/>
        <v>51.235999999999997</v>
      </c>
      <c r="BZ210" s="53">
        <f t="shared" si="273"/>
        <v>79.572999999999993</v>
      </c>
      <c r="CA210" s="53">
        <f t="shared" si="273"/>
        <v>92.6</v>
      </c>
      <c r="CB210" s="64">
        <f t="shared" si="273"/>
        <v>146.06700000000001</v>
      </c>
      <c r="CC210" s="52">
        <f t="shared" si="273"/>
        <v>93.875</v>
      </c>
      <c r="CD210" s="53">
        <f t="shared" si="273"/>
        <v>96.787000000000006</v>
      </c>
      <c r="CE210" s="53">
        <f t="shared" si="273"/>
        <v>137.20099999999999</v>
      </c>
      <c r="CF210" s="64">
        <f t="shared" si="273"/>
        <v>118.268</v>
      </c>
      <c r="CG210" s="52">
        <f t="shared" si="273"/>
        <v>110.607</v>
      </c>
      <c r="CH210" s="53">
        <f t="shared" si="273"/>
        <v>129.04900000000001</v>
      </c>
      <c r="CI210" s="53">
        <f t="shared" si="273"/>
        <v>130.22800000000001</v>
      </c>
      <c r="CJ210" s="64">
        <f t="shared" si="273"/>
        <v>147.505</v>
      </c>
      <c r="CK210" s="52">
        <f t="shared" si="273"/>
        <v>140.95500000000001</v>
      </c>
      <c r="CL210" s="53">
        <f t="shared" si="273"/>
        <v>162.52600000000001</v>
      </c>
      <c r="CM210" s="53">
        <f t="shared" si="273"/>
        <v>175.02199999999999</v>
      </c>
      <c r="CN210" s="64">
        <f t="shared" si="273"/>
        <v>210.11199999999999</v>
      </c>
      <c r="CO210" s="53">
        <f t="shared" si="273"/>
        <v>278.86399999999998</v>
      </c>
      <c r="CP210" s="53">
        <f t="shared" si="273"/>
        <v>424.85400000000004</v>
      </c>
      <c r="CQ210" s="53">
        <f t="shared" si="273"/>
        <v>550.02300000000002</v>
      </c>
      <c r="CR210" s="64">
        <f t="shared" si="273"/>
        <v>781.93999999999994</v>
      </c>
      <c r="CS210" s="53">
        <f t="shared" si="273"/>
        <v>431.82299999999998</v>
      </c>
      <c r="CT210" s="53">
        <f t="shared" si="273"/>
        <v>292.97800000000001</v>
      </c>
      <c r="CU210" s="53">
        <f t="shared" si="273"/>
        <v>524.34799999999996</v>
      </c>
      <c r="CV210" s="53"/>
      <c r="CW210" s="53"/>
      <c r="CX210" s="53"/>
      <c r="CY210" s="53"/>
      <c r="CZ210" s="53"/>
    </row>
    <row r="211" spans="2:114">
      <c r="B211" s="114" t="s">
        <v>275</v>
      </c>
      <c r="H211" s="53">
        <f t="shared" ref="H211:Y211" si="274">H208-H210</f>
        <v>4.3459999999999983</v>
      </c>
      <c r="I211" s="53">
        <f t="shared" si="274"/>
        <v>242.41600000000005</v>
      </c>
      <c r="J211" s="53">
        <f t="shared" si="274"/>
        <v>210.673</v>
      </c>
      <c r="K211" s="53">
        <f t="shared" si="274"/>
        <v>278.92099999999999</v>
      </c>
      <c r="L211" s="53">
        <f t="shared" si="274"/>
        <v>210.255</v>
      </c>
      <c r="M211" s="53">
        <f t="shared" si="274"/>
        <v>179.48400000000001</v>
      </c>
      <c r="N211" s="53">
        <f t="shared" si="274"/>
        <v>-58.451999999999998</v>
      </c>
      <c r="O211" s="53">
        <f t="shared" si="274"/>
        <v>52.551999999999992</v>
      </c>
      <c r="P211" s="53">
        <f t="shared" si="274"/>
        <v>150.66699999999997</v>
      </c>
      <c r="Q211" s="53">
        <f t="shared" si="274"/>
        <v>-74.263000000000005</v>
      </c>
      <c r="R211" s="53">
        <f t="shared" si="274"/>
        <v>55.233000000000004</v>
      </c>
      <c r="S211" s="53">
        <f t="shared" si="274"/>
        <v>-0.50800000000000978</v>
      </c>
      <c r="T211" s="53">
        <f t="shared" si="274"/>
        <v>-94.446999999999989</v>
      </c>
      <c r="U211" s="53">
        <f t="shared" si="274"/>
        <v>-671.66699999999992</v>
      </c>
      <c r="V211" s="53">
        <f t="shared" si="274"/>
        <v>-616.13</v>
      </c>
      <c r="W211" s="53">
        <f t="shared" si="274"/>
        <v>-635.98934863803788</v>
      </c>
      <c r="X211" s="53">
        <f t="shared" si="274"/>
        <v>-624.82011784829751</v>
      </c>
      <c r="Y211" s="64">
        <f t="shared" si="274"/>
        <v>-603.85941741075374</v>
      </c>
      <c r="AD211" s="431"/>
      <c r="AR211" s="7"/>
      <c r="AY211" s="114" t="s">
        <v>275</v>
      </c>
      <c r="BA211" s="53"/>
      <c r="BB211" s="53"/>
      <c r="BC211" s="53"/>
      <c r="BD211" s="64"/>
      <c r="BE211" s="52">
        <f t="shared" ref="BE211:CU211" si="275">BE208-BE210</f>
        <v>324.40200000000004</v>
      </c>
      <c r="BF211" s="53">
        <f t="shared" si="275"/>
        <v>411.56099999999998</v>
      </c>
      <c r="BG211" s="53">
        <f t="shared" si="275"/>
        <v>276.43599999999998</v>
      </c>
      <c r="BH211" s="64">
        <f t="shared" si="275"/>
        <v>210.07100000000003</v>
      </c>
      <c r="BI211" s="52">
        <f t="shared" si="275"/>
        <v>205.04400000000001</v>
      </c>
      <c r="BJ211" s="53">
        <f t="shared" si="275"/>
        <v>236.804</v>
      </c>
      <c r="BK211" s="53">
        <f t="shared" si="275"/>
        <v>183.49</v>
      </c>
      <c r="BL211" s="64">
        <f t="shared" si="275"/>
        <v>179.28400000000002</v>
      </c>
      <c r="BM211" s="52">
        <f t="shared" si="275"/>
        <v>232.87900000000002</v>
      </c>
      <c r="BN211" s="53">
        <f t="shared" si="275"/>
        <v>328.26600000000002</v>
      </c>
      <c r="BO211" s="53">
        <f t="shared" si="275"/>
        <v>218.03299999999999</v>
      </c>
      <c r="BP211" s="64">
        <f>BP208-BP210</f>
        <v>-58.695999999999998</v>
      </c>
      <c r="BQ211" s="52">
        <f t="shared" si="275"/>
        <v>32.927</v>
      </c>
      <c r="BR211" s="53">
        <f t="shared" si="275"/>
        <v>69.599999999999994</v>
      </c>
      <c r="BS211" s="53">
        <f t="shared" si="275"/>
        <v>-67.611999999999995</v>
      </c>
      <c r="BT211" s="64">
        <f t="shared" si="275"/>
        <v>52.305999999999983</v>
      </c>
      <c r="BU211" s="53">
        <f t="shared" si="275"/>
        <v>60.227000000000004</v>
      </c>
      <c r="BV211" s="53">
        <f t="shared" si="275"/>
        <v>163.685</v>
      </c>
      <c r="BW211" s="53">
        <f t="shared" si="275"/>
        <v>109.15</v>
      </c>
      <c r="BX211" s="64">
        <f t="shared" si="275"/>
        <v>81.245999999999995</v>
      </c>
      <c r="BY211" s="52">
        <f t="shared" si="275"/>
        <v>104.90700000000001</v>
      </c>
      <c r="BZ211" s="53">
        <f t="shared" si="275"/>
        <v>-46.215999999999994</v>
      </c>
      <c r="CA211" s="53">
        <f t="shared" si="275"/>
        <v>-91.931999999999988</v>
      </c>
      <c r="CB211" s="64">
        <f t="shared" si="275"/>
        <v>-146.06700000000001</v>
      </c>
      <c r="CC211" s="52">
        <f t="shared" si="275"/>
        <v>-44.975000000000001</v>
      </c>
      <c r="CD211" s="53">
        <f t="shared" si="275"/>
        <v>23.545000000000002</v>
      </c>
      <c r="CE211" s="53">
        <f t="shared" si="275"/>
        <v>-128.80099999999999</v>
      </c>
      <c r="CF211" s="64">
        <f t="shared" si="275"/>
        <v>-29.268000000000001</v>
      </c>
      <c r="CG211" s="52">
        <f t="shared" si="275"/>
        <v>151.893</v>
      </c>
      <c r="CH211" s="53">
        <f t="shared" si="275"/>
        <v>74.550999999999988</v>
      </c>
      <c r="CI211" s="53">
        <f t="shared" si="275"/>
        <v>-121.42800000000001</v>
      </c>
      <c r="CJ211" s="64">
        <f t="shared" si="275"/>
        <v>-147.505</v>
      </c>
      <c r="CK211" s="52">
        <f t="shared" si="275"/>
        <v>56.644999999999982</v>
      </c>
      <c r="CL211" s="53">
        <f t="shared" si="275"/>
        <v>180.37399999999997</v>
      </c>
      <c r="CM211" s="53">
        <f t="shared" si="275"/>
        <v>-69.421999999999997</v>
      </c>
      <c r="CN211" s="64">
        <f t="shared" si="275"/>
        <v>-194.71199999999999</v>
      </c>
      <c r="CO211" s="53">
        <f t="shared" si="275"/>
        <v>-278.86399999999998</v>
      </c>
      <c r="CP211" s="53">
        <f t="shared" si="275"/>
        <v>-424.85400000000004</v>
      </c>
      <c r="CQ211" s="53">
        <f t="shared" si="275"/>
        <v>-550.02300000000002</v>
      </c>
      <c r="CR211" s="64">
        <f t="shared" si="275"/>
        <v>-781.93999999999994</v>
      </c>
      <c r="CS211" s="53">
        <f t="shared" si="275"/>
        <v>-431.82299999999998</v>
      </c>
      <c r="CT211" s="53">
        <f t="shared" si="275"/>
        <v>-292.97800000000001</v>
      </c>
      <c r="CU211" s="53">
        <f t="shared" si="275"/>
        <v>-524.34799999999996</v>
      </c>
      <c r="CV211" s="53"/>
      <c r="CW211" s="53"/>
      <c r="CX211" s="53"/>
      <c r="CY211" s="53"/>
      <c r="CZ211" s="53"/>
      <c r="DB211" s="7">
        <f>+BJ211-BI211</f>
        <v>31.759999999999991</v>
      </c>
      <c r="DC211" s="7">
        <f>+BK211-BJ211</f>
        <v>-53.313999999999993</v>
      </c>
    </row>
    <row r="212" spans="2:114">
      <c r="B212" s="114" t="s">
        <v>272</v>
      </c>
      <c r="H212" s="188">
        <f t="shared" ref="H212:Y212" si="276">H211/(H208+H199)</f>
        <v>4.2535740886281963E-3</v>
      </c>
      <c r="I212" s="188">
        <f t="shared" si="276"/>
        <v>0.18114728005583514</v>
      </c>
      <c r="J212" s="188">
        <f t="shared" si="276"/>
        <v>0.15518698118586299</v>
      </c>
      <c r="K212" s="188">
        <f t="shared" si="276"/>
        <v>0.19431492252719962</v>
      </c>
      <c r="L212" s="188">
        <f t="shared" si="276"/>
        <v>0.14508299377934797</v>
      </c>
      <c r="M212" s="188">
        <f t="shared" si="276"/>
        <v>0.12068244441725018</v>
      </c>
      <c r="N212" s="188">
        <f t="shared" si="276"/>
        <v>-3.7159071620785737E-2</v>
      </c>
      <c r="O212" s="188">
        <f t="shared" si="276"/>
        <v>3.0251692562396411E-2</v>
      </c>
      <c r="P212" s="188">
        <f t="shared" si="276"/>
        <v>7.766788598104632E-2</v>
      </c>
      <c r="Q212" s="188">
        <f t="shared" si="276"/>
        <v>-4.0108232765255339E-2</v>
      </c>
      <c r="R212" s="188">
        <f t="shared" si="276"/>
        <v>2.5442255711413984E-2</v>
      </c>
      <c r="S212" s="188">
        <f t="shared" si="276"/>
        <v>-2.1208420745008808E-4</v>
      </c>
      <c r="T212" s="188">
        <f t="shared" si="276"/>
        <v>-3.4572479139632226E-2</v>
      </c>
      <c r="U212" s="188">
        <f t="shared" si="276"/>
        <v>-0.21158124826154323</v>
      </c>
      <c r="V212" s="188">
        <f t="shared" si="276"/>
        <v>-0.18451348131626186</v>
      </c>
      <c r="W212" s="188">
        <f t="shared" si="276"/>
        <v>-0.18892198447334918</v>
      </c>
      <c r="X212" s="188">
        <f t="shared" si="276"/>
        <v>-0.18464544560514726</v>
      </c>
      <c r="Y212" s="189">
        <f t="shared" si="276"/>
        <v>-0.1780674919052225</v>
      </c>
      <c r="AD212" s="430"/>
      <c r="AR212" s="7"/>
      <c r="AY212" s="114" t="s">
        <v>272</v>
      </c>
      <c r="BA212" s="188"/>
      <c r="BB212" s="188"/>
      <c r="BC212" s="188"/>
      <c r="BD212" s="189"/>
      <c r="BE212" s="187">
        <f t="shared" ref="BE212:CU212" si="277">BE211/(BE208+BE199)</f>
        <v>0.22142574365554998</v>
      </c>
      <c r="BF212" s="188">
        <f t="shared" si="277"/>
        <v>0.25340709680994511</v>
      </c>
      <c r="BG212" s="188">
        <f t="shared" si="277"/>
        <v>0.1810906737346594</v>
      </c>
      <c r="BH212" s="189">
        <f t="shared" si="277"/>
        <v>0.1449744344629926</v>
      </c>
      <c r="BI212" s="187">
        <f t="shared" si="277"/>
        <v>0.14057550918549516</v>
      </c>
      <c r="BJ212" s="188">
        <f t="shared" si="277"/>
        <v>0.15371014184194604</v>
      </c>
      <c r="BK212" s="188">
        <f t="shared" si="277"/>
        <v>0.12026342730777448</v>
      </c>
      <c r="BL212" s="189">
        <f t="shared" si="277"/>
        <v>0.12056418043337039</v>
      </c>
      <c r="BM212" s="187">
        <f t="shared" si="277"/>
        <v>0.15645024111230096</v>
      </c>
      <c r="BN212" s="188">
        <f t="shared" si="277"/>
        <v>0.19779111384259429</v>
      </c>
      <c r="BO212" s="188">
        <f t="shared" si="277"/>
        <v>0.13486007292475263</v>
      </c>
      <c r="BP212" s="189">
        <f t="shared" si="277"/>
        <v>-3.7319976067808729E-2</v>
      </c>
      <c r="BQ212" s="187">
        <f t="shared" si="277"/>
        <v>2.0069778243182786E-2</v>
      </c>
      <c r="BR212" s="188">
        <f t="shared" si="277"/>
        <v>3.991754961304065E-2</v>
      </c>
      <c r="BS212" s="188">
        <f t="shared" si="277"/>
        <v>-4.0716630032218239E-2</v>
      </c>
      <c r="BT212" s="189">
        <f t="shared" si="277"/>
        <v>3.0114346544703147E-2</v>
      </c>
      <c r="BU212" s="188">
        <f t="shared" si="277"/>
        <v>3.4677890663910568E-2</v>
      </c>
      <c r="BV212" s="188">
        <f t="shared" si="277"/>
        <v>8.8336943768949405E-2</v>
      </c>
      <c r="BW212" s="188">
        <f t="shared" si="277"/>
        <v>5.6780289670513059E-2</v>
      </c>
      <c r="BX212" s="189">
        <f t="shared" si="277"/>
        <v>4.3436211384643514E-2</v>
      </c>
      <c r="BY212" s="187">
        <f t="shared" si="277"/>
        <v>5.7044777434178587E-2</v>
      </c>
      <c r="BZ212" s="188">
        <f t="shared" si="277"/>
        <v>-2.6119012862268774E-2</v>
      </c>
      <c r="CA212" s="188">
        <f t="shared" si="277"/>
        <v>-5.0774160695369393E-2</v>
      </c>
      <c r="CB212" s="189">
        <f t="shared" si="277"/>
        <v>-8.2071132022782836E-2</v>
      </c>
      <c r="CC212" s="187">
        <f t="shared" si="277"/>
        <v>-2.4367092208110952E-2</v>
      </c>
      <c r="CD212" s="188">
        <f t="shared" si="277"/>
        <v>1.1474926469333999E-2</v>
      </c>
      <c r="CE212" s="188">
        <f t="shared" si="277"/>
        <v>-6.3451112725839615E-2</v>
      </c>
      <c r="CF212" s="189">
        <f t="shared" si="277"/>
        <v>-1.4027889945193071E-2</v>
      </c>
      <c r="CG212" s="187">
        <f t="shared" si="277"/>
        <v>6.4822476810706672E-2</v>
      </c>
      <c r="CH212" s="188">
        <f t="shared" si="277"/>
        <v>3.0763294991489137E-2</v>
      </c>
      <c r="CI212" s="188">
        <f t="shared" si="277"/>
        <v>-5.2228152569105707E-2</v>
      </c>
      <c r="CJ212" s="189">
        <f t="shared" si="277"/>
        <v>-6.5607989759273538E-2</v>
      </c>
      <c r="CK212" s="187">
        <f t="shared" si="277"/>
        <v>2.2604680080625814E-2</v>
      </c>
      <c r="CL212" s="188">
        <f t="shared" si="277"/>
        <v>6.453568042362115E-2</v>
      </c>
      <c r="CM212" s="188">
        <f t="shared" si="277"/>
        <v>-2.5049776968869456E-2</v>
      </c>
      <c r="CN212" s="189">
        <f t="shared" si="277"/>
        <v>-7.3990249240953182E-2</v>
      </c>
      <c r="CO212" s="191">
        <f t="shared" si="277"/>
        <v>-9.5254328414697068E-2</v>
      </c>
      <c r="CP212" s="191">
        <f t="shared" si="277"/>
        <v>-0.13956224808569767</v>
      </c>
      <c r="CQ212" s="191">
        <f t="shared" si="277"/>
        <v>-0.1739549146691943</v>
      </c>
      <c r="CR212" s="189">
        <f t="shared" si="277"/>
        <v>-0.25518252825009019</v>
      </c>
      <c r="CS212" s="191">
        <f t="shared" si="277"/>
        <v>-0.13984539454508946</v>
      </c>
      <c r="CT212" s="191">
        <f t="shared" si="277"/>
        <v>-9.0935586387689685E-2</v>
      </c>
      <c r="CU212" s="191">
        <f t="shared" si="277"/>
        <v>-0.15881503270963074</v>
      </c>
      <c r="CV212" s="188"/>
      <c r="CW212" s="188"/>
      <c r="CX212" s="188"/>
      <c r="CY212" s="188"/>
      <c r="CZ212" s="188"/>
    </row>
    <row r="213" spans="2:114">
      <c r="B213" s="114" t="s">
        <v>276</v>
      </c>
      <c r="H213" s="432">
        <f t="shared" ref="H213:Y213" si="278">H168-H181</f>
        <v>605.13799999999992</v>
      </c>
      <c r="I213" s="432">
        <f t="shared" si="278"/>
        <v>733.09299999999985</v>
      </c>
      <c r="J213" s="432">
        <f t="shared" si="278"/>
        <v>777.596</v>
      </c>
      <c r="K213" s="432">
        <f t="shared" si="278"/>
        <v>870.31299999999999</v>
      </c>
      <c r="L213" s="432">
        <f t="shared" si="278"/>
        <v>910.96400000000017</v>
      </c>
      <c r="M213" s="432">
        <f t="shared" si="278"/>
        <v>925.26800000000003</v>
      </c>
      <c r="N213" s="432">
        <f t="shared" si="278"/>
        <v>920.92</v>
      </c>
      <c r="O213" s="432">
        <f t="shared" si="278"/>
        <v>1084.24</v>
      </c>
      <c r="P213" s="432">
        <f t="shared" si="278"/>
        <v>1085.0129999999999</v>
      </c>
      <c r="Q213" s="432">
        <f t="shared" si="278"/>
        <v>997.3</v>
      </c>
      <c r="R213" s="432">
        <f t="shared" si="278"/>
        <v>1234.6780000000003</v>
      </c>
      <c r="S213" s="432">
        <f t="shared" si="278"/>
        <v>1392.2170000000001</v>
      </c>
      <c r="T213" s="432">
        <f t="shared" si="278"/>
        <v>1679.9190000000001</v>
      </c>
      <c r="U213" s="432">
        <f t="shared" si="278"/>
        <v>2096.08</v>
      </c>
      <c r="V213" s="432">
        <f t="shared" si="278"/>
        <v>2236.7639999999997</v>
      </c>
      <c r="W213" s="432">
        <f t="shared" si="278"/>
        <v>2276.898848358851</v>
      </c>
      <c r="X213" s="432">
        <f t="shared" si="278"/>
        <v>2310.4638047681469</v>
      </c>
      <c r="Y213" s="433">
        <f t="shared" si="278"/>
        <v>2336.9915591124104</v>
      </c>
      <c r="AD213" s="434"/>
      <c r="AR213" s="7"/>
      <c r="AY213" s="114" t="s">
        <v>276</v>
      </c>
      <c r="BA213" s="432"/>
      <c r="BB213" s="432"/>
      <c r="BC213" s="432"/>
      <c r="BD213" s="433"/>
      <c r="BE213" s="435">
        <f t="shared" ref="BE213:CU213" si="279">BE168-BE181</f>
        <v>917.19499999999994</v>
      </c>
      <c r="BF213" s="432">
        <f t="shared" si="279"/>
        <v>1069.5119999999997</v>
      </c>
      <c r="BG213" s="432">
        <f t="shared" si="279"/>
        <v>983.45699999999988</v>
      </c>
      <c r="BH213" s="433">
        <f t="shared" si="279"/>
        <v>910.96400000000017</v>
      </c>
      <c r="BI213" s="435">
        <f t="shared" si="279"/>
        <v>914.67399999999998</v>
      </c>
      <c r="BJ213" s="432">
        <f t="shared" si="279"/>
        <v>1000.2760000000001</v>
      </c>
      <c r="BK213" s="432">
        <f t="shared" si="279"/>
        <v>990.88200000000006</v>
      </c>
      <c r="BL213" s="433">
        <f t="shared" si="279"/>
        <v>925.26800000000003</v>
      </c>
      <c r="BM213" s="435">
        <f t="shared" si="279"/>
        <v>921.60299999999995</v>
      </c>
      <c r="BN213" s="432">
        <f t="shared" si="279"/>
        <v>1027.3050000000001</v>
      </c>
      <c r="BO213" s="432">
        <f t="shared" si="279"/>
        <v>978.54200000000003</v>
      </c>
      <c r="BP213" s="433">
        <f t="shared" si="279"/>
        <v>920.92</v>
      </c>
      <c r="BQ213" s="435">
        <f t="shared" si="279"/>
        <v>993.99299999999994</v>
      </c>
      <c r="BR213" s="432">
        <f t="shared" si="279"/>
        <v>1098.53</v>
      </c>
      <c r="BS213" s="432">
        <f t="shared" si="279"/>
        <v>993.024</v>
      </c>
      <c r="BT213" s="433">
        <f t="shared" si="279"/>
        <v>1084.24</v>
      </c>
      <c r="BU213" s="432">
        <f t="shared" si="279"/>
        <v>1028.6669999999999</v>
      </c>
      <c r="BV213" s="432">
        <f t="shared" si="279"/>
        <v>1114.5759999999998</v>
      </c>
      <c r="BW213" s="432">
        <f t="shared" si="279"/>
        <v>1148.5390000000002</v>
      </c>
      <c r="BX213" s="433">
        <f t="shared" si="279"/>
        <v>1085.0129999999999</v>
      </c>
      <c r="BY213" s="435">
        <f t="shared" si="279"/>
        <v>1069.9050000000002</v>
      </c>
      <c r="BZ213" s="432">
        <f t="shared" si="279"/>
        <v>992.6110000000001</v>
      </c>
      <c r="CA213" s="432">
        <f t="shared" si="279"/>
        <v>1034.6209999999999</v>
      </c>
      <c r="CB213" s="433">
        <f t="shared" si="279"/>
        <v>997.3</v>
      </c>
      <c r="CC213" s="435">
        <f t="shared" si="279"/>
        <v>1064.5350000000001</v>
      </c>
      <c r="CD213" s="432">
        <f t="shared" si="279"/>
        <v>1206.7980000000002</v>
      </c>
      <c r="CE213" s="432">
        <f t="shared" si="279"/>
        <v>1184.1680000000001</v>
      </c>
      <c r="CF213" s="433">
        <f t="shared" si="279"/>
        <v>1234.6780000000003</v>
      </c>
      <c r="CG213" s="435">
        <f t="shared" si="279"/>
        <v>1483.2890000000002</v>
      </c>
      <c r="CH213" s="432">
        <f t="shared" si="279"/>
        <v>1562.588</v>
      </c>
      <c r="CI213" s="432">
        <f t="shared" si="279"/>
        <v>1470.3540000000003</v>
      </c>
      <c r="CJ213" s="433">
        <f t="shared" si="279"/>
        <v>1392.2170000000001</v>
      </c>
      <c r="CK213" s="435">
        <f t="shared" si="279"/>
        <v>1644.732</v>
      </c>
      <c r="CL213" s="432">
        <f t="shared" si="279"/>
        <v>1926.5690000000002</v>
      </c>
      <c r="CM213" s="432">
        <f t="shared" si="279"/>
        <v>1842.9439999999995</v>
      </c>
      <c r="CN213" s="433">
        <f t="shared" si="279"/>
        <v>1679.9190000000001</v>
      </c>
      <c r="CO213" s="436">
        <f t="shared" si="279"/>
        <v>1972.2459999999999</v>
      </c>
      <c r="CP213" s="436">
        <f t="shared" si="279"/>
        <v>2089.23</v>
      </c>
      <c r="CQ213" s="436">
        <f t="shared" si="279"/>
        <v>2199.8420000000001</v>
      </c>
      <c r="CR213" s="433">
        <f t="shared" si="279"/>
        <v>2096.08</v>
      </c>
      <c r="CS213" s="436">
        <f t="shared" si="279"/>
        <v>2110.2099999999996</v>
      </c>
      <c r="CT213" s="436">
        <f t="shared" si="279"/>
        <v>2228.8019999999997</v>
      </c>
      <c r="CU213" s="436">
        <f t="shared" si="279"/>
        <v>2303.8229999999994</v>
      </c>
      <c r="CV213" s="432"/>
      <c r="CW213" s="432"/>
      <c r="CX213" s="432"/>
      <c r="CY213" s="432"/>
      <c r="CZ213" s="432"/>
    </row>
    <row r="214" spans="2:114">
      <c r="B214" s="114"/>
      <c r="Y214" s="120"/>
      <c r="AD214" s="437"/>
      <c r="AR214" s="7"/>
      <c r="AY214" s="114"/>
      <c r="BA214" s="53"/>
      <c r="BB214" s="53"/>
      <c r="BC214" s="53"/>
      <c r="BD214" s="64"/>
      <c r="BE214" s="119"/>
      <c r="BH214" s="120"/>
      <c r="BI214" s="119"/>
      <c r="BL214" s="120"/>
      <c r="BM214" s="119"/>
      <c r="BP214" s="120"/>
      <c r="BQ214" s="119"/>
      <c r="BT214" s="120"/>
      <c r="BU214" s="53"/>
      <c r="BV214" s="53"/>
      <c r="BW214" s="53"/>
      <c r="BX214" s="64"/>
      <c r="BY214" s="52"/>
      <c r="BZ214" s="53"/>
      <c r="CA214" s="53"/>
      <c r="CB214" s="64"/>
      <c r="CC214" s="52"/>
      <c r="CD214" s="53"/>
      <c r="CE214" s="53"/>
      <c r="CF214" s="64"/>
      <c r="CG214" s="52"/>
      <c r="CH214" s="53"/>
      <c r="CI214" s="53"/>
      <c r="CJ214" s="64"/>
      <c r="CK214" s="52"/>
      <c r="CL214" s="53"/>
      <c r="CM214" s="53"/>
      <c r="CN214" s="64"/>
      <c r="CO214" s="53"/>
      <c r="CP214" s="53"/>
      <c r="CQ214" s="53"/>
      <c r="CR214" s="64"/>
      <c r="CS214" s="53"/>
      <c r="CT214" s="53"/>
      <c r="CU214" s="53"/>
      <c r="CV214" s="53"/>
      <c r="CW214" s="53"/>
      <c r="CX214" s="53"/>
      <c r="CY214" s="53"/>
      <c r="CZ214" s="53"/>
    </row>
    <row r="215" spans="2:114">
      <c r="B215" s="114" t="s">
        <v>277</v>
      </c>
      <c r="H215" s="9">
        <f t="shared" ref="H215:Y215" si="280">H199</f>
        <v>1001.71</v>
      </c>
      <c r="I215" s="9">
        <f t="shared" si="280"/>
        <v>1022.0400000000002</v>
      </c>
      <c r="J215" s="9">
        <f t="shared" si="280"/>
        <v>1127.3919999999998</v>
      </c>
      <c r="K215" s="9">
        <f t="shared" si="280"/>
        <v>1132.039</v>
      </c>
      <c r="L215" s="9">
        <f t="shared" si="280"/>
        <v>1203.7210000000002</v>
      </c>
      <c r="M215" s="9">
        <f t="shared" si="280"/>
        <v>1251.7480000000003</v>
      </c>
      <c r="N215" s="9">
        <f t="shared" si="280"/>
        <v>1550.9769999999999</v>
      </c>
      <c r="O215" s="9">
        <f t="shared" si="280"/>
        <v>1601.7130000000002</v>
      </c>
      <c r="P215" s="9">
        <f t="shared" si="280"/>
        <v>1714.7669999999998</v>
      </c>
      <c r="Q215" s="9">
        <f t="shared" si="280"/>
        <v>1779.761</v>
      </c>
      <c r="R215" s="9">
        <f t="shared" si="280"/>
        <v>1997.415</v>
      </c>
      <c r="S215" s="9">
        <f t="shared" si="280"/>
        <v>2248.2780000000002</v>
      </c>
      <c r="T215" s="9">
        <f t="shared" si="280"/>
        <v>2616.19</v>
      </c>
      <c r="U215" s="9">
        <f t="shared" si="280"/>
        <v>3064.2380000000003</v>
      </c>
      <c r="V215" s="9">
        <f t="shared" si="280"/>
        <v>3222.0610000000001</v>
      </c>
      <c r="W215" s="9">
        <f t="shared" si="280"/>
        <v>3249.2595983588508</v>
      </c>
      <c r="X215" s="9">
        <f t="shared" si="280"/>
        <v>3266.7383047681465</v>
      </c>
      <c r="Y215" s="120">
        <f t="shared" si="280"/>
        <v>3274.02980911241</v>
      </c>
      <c r="AD215" s="437"/>
      <c r="AR215" s="7"/>
      <c r="AY215" s="114" t="s">
        <v>277</v>
      </c>
      <c r="BA215" s="53"/>
      <c r="BB215" s="53"/>
      <c r="BC215" s="53"/>
      <c r="BD215" s="64"/>
      <c r="BE215" s="119">
        <f t="shared" ref="BE215:CU215" si="281">BE199</f>
        <v>1124.4069999999999</v>
      </c>
      <c r="BF215" s="9">
        <f t="shared" si="281"/>
        <v>1190.6980000000001</v>
      </c>
      <c r="BG215" s="9">
        <f t="shared" si="281"/>
        <v>1221.5650000000001</v>
      </c>
      <c r="BH215" s="120">
        <f t="shared" si="281"/>
        <v>1203.7210000000002</v>
      </c>
      <c r="BI215" s="119">
        <f t="shared" si="281"/>
        <v>1220.704</v>
      </c>
      <c r="BJ215" s="9">
        <f t="shared" si="281"/>
        <v>1273.2400000000002</v>
      </c>
      <c r="BK215" s="9">
        <f t="shared" si="281"/>
        <v>1306.3340000000001</v>
      </c>
      <c r="BL215" s="120">
        <f t="shared" si="281"/>
        <v>1251.7480000000003</v>
      </c>
      <c r="BM215" s="119">
        <f t="shared" si="281"/>
        <v>1208.2180000000001</v>
      </c>
      <c r="BN215" s="9">
        <f t="shared" si="281"/>
        <v>1280.3599999999999</v>
      </c>
      <c r="BO215" s="9">
        <f t="shared" si="281"/>
        <v>1332.0350000000001</v>
      </c>
      <c r="BP215" s="120">
        <f t="shared" si="281"/>
        <v>1550.9769999999999</v>
      </c>
      <c r="BQ215" s="119">
        <f t="shared" si="281"/>
        <v>1549.626</v>
      </c>
      <c r="BR215" s="9">
        <f t="shared" si="281"/>
        <v>1601.9939999999999</v>
      </c>
      <c r="BS215" s="9">
        <f t="shared" si="281"/>
        <v>1660.55</v>
      </c>
      <c r="BT215" s="120">
        <f t="shared" si="281"/>
        <v>1601.7130000000002</v>
      </c>
      <c r="BU215" s="53">
        <f t="shared" si="281"/>
        <v>1599.2550000000001</v>
      </c>
      <c r="BV215" s="53">
        <f t="shared" si="281"/>
        <v>1633.3619999999999</v>
      </c>
      <c r="BW215" s="53">
        <f t="shared" si="281"/>
        <v>1753.0219999999999</v>
      </c>
      <c r="BX215" s="64">
        <f t="shared" si="281"/>
        <v>1714.7669999999998</v>
      </c>
      <c r="BY215" s="52">
        <f t="shared" si="281"/>
        <v>1682.886</v>
      </c>
      <c r="BZ215" s="53">
        <f t="shared" si="281"/>
        <v>1736.0819999999999</v>
      </c>
      <c r="CA215" s="53">
        <f t="shared" si="281"/>
        <v>1809.9379999999999</v>
      </c>
      <c r="CB215" s="64">
        <f t="shared" si="281"/>
        <v>1779.761</v>
      </c>
      <c r="CC215" s="52">
        <f t="shared" si="281"/>
        <v>1796.8269999999998</v>
      </c>
      <c r="CD215" s="53">
        <f t="shared" si="281"/>
        <v>1931.5329999999999</v>
      </c>
      <c r="CE215" s="53">
        <f t="shared" si="281"/>
        <v>2021.5249999999999</v>
      </c>
      <c r="CF215" s="64">
        <f t="shared" si="281"/>
        <v>1997.415</v>
      </c>
      <c r="CG215" s="52">
        <f t="shared" si="281"/>
        <v>2080.7149999999997</v>
      </c>
      <c r="CH215" s="53">
        <f t="shared" si="281"/>
        <v>2219.7750000000001</v>
      </c>
      <c r="CI215" s="53">
        <f t="shared" si="281"/>
        <v>2316.1529999999998</v>
      </c>
      <c r="CJ215" s="64">
        <f t="shared" si="281"/>
        <v>2248.2780000000002</v>
      </c>
      <c r="CK215" s="52">
        <f t="shared" si="281"/>
        <v>2308.297</v>
      </c>
      <c r="CL215" s="53">
        <f t="shared" si="281"/>
        <v>2452.0500000000002</v>
      </c>
      <c r="CM215" s="53">
        <f t="shared" si="281"/>
        <v>2665.7620000000002</v>
      </c>
      <c r="CN215" s="64">
        <f t="shared" si="281"/>
        <v>2616.19</v>
      </c>
      <c r="CO215" s="53">
        <f t="shared" si="281"/>
        <v>2927.5730000000003</v>
      </c>
      <c r="CP215" s="53">
        <f t="shared" si="281"/>
        <v>3044.19</v>
      </c>
      <c r="CQ215" s="53">
        <f t="shared" si="281"/>
        <v>3161.8710000000001</v>
      </c>
      <c r="CR215" s="64">
        <f t="shared" si="281"/>
        <v>3064.2380000000003</v>
      </c>
      <c r="CS215" s="53">
        <f t="shared" si="281"/>
        <v>3087.86</v>
      </c>
      <c r="CT215" s="53">
        <f t="shared" si="281"/>
        <v>3221.819</v>
      </c>
      <c r="CU215" s="53">
        <f t="shared" si="281"/>
        <v>3301.627</v>
      </c>
      <c r="CV215" s="53"/>
      <c r="CW215" s="53"/>
      <c r="CX215" s="53"/>
      <c r="CY215" s="53"/>
      <c r="CZ215" s="53"/>
    </row>
    <row r="216" spans="2:114">
      <c r="B216" s="114" t="s">
        <v>278</v>
      </c>
      <c r="H216" s="438">
        <f t="shared" ref="H216:Y216" si="282">H215/H31</f>
        <v>32.572448912865944</v>
      </c>
      <c r="I216" s="438">
        <f t="shared" si="282"/>
        <v>32.195915884247803</v>
      </c>
      <c r="J216" s="438">
        <f t="shared" si="282"/>
        <v>34.949148225491982</v>
      </c>
      <c r="K216" s="438">
        <f t="shared" si="282"/>
        <v>34.98390270557789</v>
      </c>
      <c r="L216" s="438">
        <f t="shared" si="282"/>
        <v>37.059969416591379</v>
      </c>
      <c r="M216" s="438">
        <f t="shared" si="282"/>
        <v>38.377748884429806</v>
      </c>
      <c r="N216" s="438">
        <f t="shared" si="282"/>
        <v>47.19576182468397</v>
      </c>
      <c r="O216" s="438">
        <f t="shared" si="282"/>
        <v>46.596278163762562</v>
      </c>
      <c r="P216" s="438">
        <f t="shared" si="282"/>
        <v>49.451630901358101</v>
      </c>
      <c r="Q216" s="438">
        <f t="shared" si="282"/>
        <v>50.63249185909384</v>
      </c>
      <c r="R216" s="438">
        <f t="shared" si="282"/>
        <v>56.386182660388179</v>
      </c>
      <c r="S216" s="438">
        <f t="shared" si="282"/>
        <v>63.005858652176521</v>
      </c>
      <c r="T216" s="438">
        <f t="shared" si="282"/>
        <v>71.614275203253015</v>
      </c>
      <c r="U216" s="438">
        <f t="shared" si="282"/>
        <v>81.69050596512983</v>
      </c>
      <c r="V216" s="438">
        <f t="shared" si="282"/>
        <v>85.015118393976095</v>
      </c>
      <c r="W216" s="438">
        <f t="shared" si="282"/>
        <v>84.837065231301594</v>
      </c>
      <c r="X216" s="438">
        <f t="shared" si="282"/>
        <v>84.411842500468893</v>
      </c>
      <c r="Y216" s="439">
        <f t="shared" si="282"/>
        <v>83.734777726660099</v>
      </c>
      <c r="AD216" s="437"/>
      <c r="AR216" s="7"/>
      <c r="AY216" s="114" t="s">
        <v>278</v>
      </c>
      <c r="BA216" s="53"/>
      <c r="BB216" s="53"/>
      <c r="BC216" s="53"/>
      <c r="BD216" s="64"/>
      <c r="BE216" s="440">
        <f t="shared" ref="BE216:CU216" si="283">BE215/BE31</f>
        <v>34.67066480709228</v>
      </c>
      <c r="BF216" s="438">
        <f t="shared" si="283"/>
        <v>36.662511759765955</v>
      </c>
      <c r="BG216" s="438">
        <f t="shared" si="283"/>
        <v>37.587937323457254</v>
      </c>
      <c r="BH216" s="439">
        <f t="shared" si="283"/>
        <v>37.022622343760858</v>
      </c>
      <c r="BI216" s="440">
        <f t="shared" si="283"/>
        <v>37.517151508771875</v>
      </c>
      <c r="BJ216" s="438">
        <f t="shared" si="283"/>
        <v>39.048852345752685</v>
      </c>
      <c r="BK216" s="438">
        <f t="shared" si="283"/>
        <v>40.010042219403992</v>
      </c>
      <c r="BL216" s="439">
        <f t="shared" si="283"/>
        <v>38.323891113622274</v>
      </c>
      <c r="BM216" s="440">
        <f t="shared" si="283"/>
        <v>36.971394505830304</v>
      </c>
      <c r="BN216" s="438">
        <f t="shared" si="283"/>
        <v>39.144390140759718</v>
      </c>
      <c r="BO216" s="438">
        <f t="shared" si="283"/>
        <v>40.677338059435357</v>
      </c>
      <c r="BP216" s="439">
        <f t="shared" si="283"/>
        <v>46.561813871027084</v>
      </c>
      <c r="BQ216" s="440">
        <f t="shared" si="283"/>
        <v>45.152128008913721</v>
      </c>
      <c r="BR216" s="438">
        <f t="shared" si="283"/>
        <v>46.597775195143448</v>
      </c>
      <c r="BS216" s="438">
        <f t="shared" si="283"/>
        <v>48.272659726601539</v>
      </c>
      <c r="BT216" s="439">
        <f t="shared" si="283"/>
        <v>46.565132031878939</v>
      </c>
      <c r="BU216" s="53">
        <f t="shared" si="283"/>
        <v>46.486454716419416</v>
      </c>
      <c r="BV216" s="53">
        <f t="shared" si="283"/>
        <v>47.394710146777868</v>
      </c>
      <c r="BW216" s="53">
        <f t="shared" si="283"/>
        <v>50.390188495170371</v>
      </c>
      <c r="BX216" s="64">
        <f t="shared" si="283"/>
        <v>49.007406582620447</v>
      </c>
      <c r="BY216" s="52">
        <f t="shared" si="283"/>
        <v>48.049523999108153</v>
      </c>
      <c r="BZ216" s="53">
        <f t="shared" si="283"/>
        <v>49.510803040698093</v>
      </c>
      <c r="CA216" s="53">
        <f t="shared" si="283"/>
        <v>51.364669806659592</v>
      </c>
      <c r="CB216" s="64">
        <f t="shared" si="283"/>
        <v>50.454960745872093</v>
      </c>
      <c r="CC216" s="52">
        <f t="shared" si="283"/>
        <v>50.858631263311338</v>
      </c>
      <c r="CD216" s="53">
        <f t="shared" si="283"/>
        <v>54.520389938747961</v>
      </c>
      <c r="CE216" s="53">
        <f t="shared" si="283"/>
        <v>57.03758971917425</v>
      </c>
      <c r="CF216" s="64">
        <f t="shared" si="283"/>
        <v>56.27500470363546</v>
      </c>
      <c r="CG216" s="52">
        <f t="shared" si="283"/>
        <v>58.6044595061229</v>
      </c>
      <c r="CH216" s="53">
        <f t="shared" si="283"/>
        <v>62.491619432618236</v>
      </c>
      <c r="CI216" s="53">
        <f t="shared" si="283"/>
        <v>65.129476353951929</v>
      </c>
      <c r="CJ216" s="64">
        <f t="shared" si="283"/>
        <v>62.208435743435992</v>
      </c>
      <c r="CK216" s="52">
        <f t="shared" si="283"/>
        <v>63.586246951530924</v>
      </c>
      <c r="CL216" s="53">
        <f t="shared" si="283"/>
        <v>67.308653319933001</v>
      </c>
      <c r="CM216" s="53">
        <f t="shared" si="283"/>
        <v>72.876029048911889</v>
      </c>
      <c r="CN216" s="64">
        <f t="shared" si="283"/>
        <v>71.073860535937314</v>
      </c>
      <c r="CO216" s="53">
        <f t="shared" si="283"/>
        <v>79.124561197342203</v>
      </c>
      <c r="CP216" s="53">
        <f t="shared" si="283"/>
        <v>80.903034118246651</v>
      </c>
      <c r="CQ216" s="53">
        <f t="shared" si="283"/>
        <v>83.932146293594215</v>
      </c>
      <c r="CR216" s="64">
        <f t="shared" si="283"/>
        <v>81.197435600449879</v>
      </c>
      <c r="CS216" s="53">
        <f t="shared" si="283"/>
        <v>81.574490753833459</v>
      </c>
      <c r="CT216" s="53">
        <f t="shared" si="283"/>
        <v>85.009695396474299</v>
      </c>
      <c r="CU216" s="53">
        <f t="shared" si="283"/>
        <v>87.071914863900346</v>
      </c>
      <c r="CV216" s="53"/>
      <c r="CW216" s="53"/>
      <c r="CX216" s="53"/>
      <c r="CY216" s="53"/>
      <c r="CZ216" s="53"/>
    </row>
    <row r="217" spans="2:114">
      <c r="B217" s="114"/>
      <c r="Y217" s="120"/>
      <c r="AD217" s="437"/>
      <c r="AR217" s="7"/>
      <c r="AY217" s="114"/>
      <c r="BA217" s="53"/>
      <c r="BB217" s="53"/>
      <c r="BC217" s="53"/>
      <c r="BD217" s="64"/>
      <c r="BE217" s="119"/>
      <c r="BH217" s="120"/>
      <c r="BI217" s="119"/>
      <c r="BL217" s="120"/>
      <c r="BM217" s="119"/>
      <c r="BP217" s="120"/>
      <c r="BQ217" s="119"/>
      <c r="BT217" s="120"/>
      <c r="BU217" s="53"/>
      <c r="BV217" s="53"/>
      <c r="BW217" s="53"/>
      <c r="BX217" s="64"/>
      <c r="BY217" s="52"/>
      <c r="BZ217" s="53"/>
      <c r="CA217" s="53"/>
      <c r="CB217" s="64"/>
      <c r="CC217" s="52"/>
      <c r="CD217" s="53"/>
      <c r="CE217" s="53"/>
      <c r="CF217" s="64"/>
      <c r="CG217" s="52"/>
      <c r="CH217" s="53"/>
      <c r="CI217" s="53"/>
      <c r="CJ217" s="64"/>
      <c r="CK217" s="52"/>
      <c r="CL217" s="53"/>
      <c r="CM217" s="53"/>
      <c r="CN217" s="64"/>
      <c r="CO217" s="53"/>
      <c r="CP217" s="53"/>
      <c r="CQ217" s="53"/>
      <c r="CR217" s="64"/>
      <c r="CS217" s="53"/>
      <c r="CT217" s="53"/>
      <c r="CU217" s="53"/>
      <c r="CV217" s="53"/>
      <c r="CW217" s="53"/>
      <c r="CX217" s="53"/>
      <c r="CY217" s="53"/>
      <c r="CZ217" s="53"/>
    </row>
    <row r="218" spans="2:114">
      <c r="B218" s="114" t="s">
        <v>279</v>
      </c>
      <c r="H218" s="97">
        <f t="shared" ref="H218:V218" si="284">(H165)/(H6/360)</f>
        <v>39.613360248428428</v>
      </c>
      <c r="I218" s="97">
        <f t="shared" si="284"/>
        <v>39.617485383388811</v>
      </c>
      <c r="J218" s="97">
        <f t="shared" si="284"/>
        <v>38.426588091351817</v>
      </c>
      <c r="K218" s="97">
        <f t="shared" si="284"/>
        <v>39.630537401065773</v>
      </c>
      <c r="L218" s="97">
        <f t="shared" si="284"/>
        <v>39.479456457550853</v>
      </c>
      <c r="M218" s="97">
        <f t="shared" si="284"/>
        <v>40.59766361140872</v>
      </c>
      <c r="N218" s="97">
        <f t="shared" si="284"/>
        <v>39.642944249767673</v>
      </c>
      <c r="O218" s="97">
        <f t="shared" si="284"/>
        <v>39.740635584021916</v>
      </c>
      <c r="P218" s="97">
        <f t="shared" si="284"/>
        <v>40.284489940176442</v>
      </c>
      <c r="Q218" s="97">
        <f t="shared" si="284"/>
        <v>38.121943576644419</v>
      </c>
      <c r="R218" s="97">
        <f t="shared" si="284"/>
        <v>40.037654899722817</v>
      </c>
      <c r="S218" s="97">
        <f t="shared" si="284"/>
        <v>36.973725740767826</v>
      </c>
      <c r="T218" s="97">
        <f t="shared" si="284"/>
        <v>39.432826448182652</v>
      </c>
      <c r="U218" s="97">
        <f t="shared" si="284"/>
        <v>41.486407037144815</v>
      </c>
      <c r="V218" s="97">
        <f t="shared" si="284"/>
        <v>39.592993235524474</v>
      </c>
      <c r="W218" s="57">
        <v>40</v>
      </c>
      <c r="X218" s="57">
        <v>40</v>
      </c>
      <c r="Y218" s="123">
        <v>40</v>
      </c>
      <c r="AD218" s="441"/>
      <c r="AR218" s="7"/>
      <c r="AY218" s="114" t="s">
        <v>279</v>
      </c>
      <c r="BA218" s="97"/>
      <c r="BB218" s="97"/>
      <c r="BC218" s="97"/>
      <c r="BD218" s="98"/>
      <c r="BE218" s="99">
        <f t="shared" ref="BE218:CR218" si="285">(BE165)/(BE6/90)</f>
        <v>48.556736203477996</v>
      </c>
      <c r="BF218" s="97">
        <f t="shared" si="285"/>
        <v>44.069536772981735</v>
      </c>
      <c r="BG218" s="97">
        <f t="shared" si="285"/>
        <v>38.997359415197131</v>
      </c>
      <c r="BH218" s="98">
        <f t="shared" si="285"/>
        <v>44.917450011949356</v>
      </c>
      <c r="BI218" s="99">
        <f t="shared" si="285"/>
        <v>49.063521817566809</v>
      </c>
      <c r="BJ218" s="97">
        <f t="shared" si="285"/>
        <v>44.947568210731745</v>
      </c>
      <c r="BK218" s="97">
        <f t="shared" si="285"/>
        <v>39.734715186202095</v>
      </c>
      <c r="BL218" s="98">
        <f t="shared" si="285"/>
        <v>46.888292719768025</v>
      </c>
      <c r="BM218" s="99">
        <f t="shared" si="285"/>
        <v>49.701007344383356</v>
      </c>
      <c r="BN218" s="97">
        <f t="shared" si="285"/>
        <v>43.252866158172431</v>
      </c>
      <c r="BO218" s="97">
        <f t="shared" si="285"/>
        <v>41.608250223041651</v>
      </c>
      <c r="BP218" s="98">
        <f t="shared" si="285"/>
        <v>44.623003178323117</v>
      </c>
      <c r="BQ218" s="99">
        <f t="shared" si="285"/>
        <v>47.269239361650463</v>
      </c>
      <c r="BR218" s="97">
        <f t="shared" si="285"/>
        <v>44.562102370824682</v>
      </c>
      <c r="BS218" s="97">
        <f t="shared" si="285"/>
        <v>41.857621139391995</v>
      </c>
      <c r="BT218" s="98">
        <f t="shared" si="285"/>
        <v>45.566967879385793</v>
      </c>
      <c r="BU218" s="97">
        <f t="shared" si="285"/>
        <v>48.776745504564694</v>
      </c>
      <c r="BV218" s="97">
        <f t="shared" si="285"/>
        <v>42.998467766978116</v>
      </c>
      <c r="BW218" s="97">
        <f t="shared" si="285"/>
        <v>41.344583720154994</v>
      </c>
      <c r="BX218" s="98">
        <f t="shared" si="285"/>
        <v>44.802973006998869</v>
      </c>
      <c r="BY218" s="99">
        <f t="shared" si="285"/>
        <v>51.31589753966648</v>
      </c>
      <c r="BZ218" s="97">
        <f t="shared" si="285"/>
        <v>44.925397580761185</v>
      </c>
      <c r="CA218" s="97">
        <f t="shared" si="285"/>
        <v>37.725160427964084</v>
      </c>
      <c r="CB218" s="98">
        <f t="shared" si="285"/>
        <v>41.721011919814053</v>
      </c>
      <c r="CC218" s="99">
        <f t="shared" si="285"/>
        <v>47.254044034158426</v>
      </c>
      <c r="CD218" s="97">
        <f t="shared" si="285"/>
        <v>41.742047101057501</v>
      </c>
      <c r="CE218" s="97">
        <f t="shared" si="285"/>
        <v>38.929084933037657</v>
      </c>
      <c r="CF218" s="98">
        <f t="shared" si="285"/>
        <v>41.578474268535878</v>
      </c>
      <c r="CG218" s="99">
        <f t="shared" si="285"/>
        <v>46.667478356754209</v>
      </c>
      <c r="CH218" s="97">
        <f t="shared" si="285"/>
        <v>41.463509165766453</v>
      </c>
      <c r="CI218" s="97">
        <f t="shared" si="285"/>
        <v>38.001003047456621</v>
      </c>
      <c r="CJ218" s="98">
        <f t="shared" si="285"/>
        <v>42.523983018208064</v>
      </c>
      <c r="CK218" s="99">
        <f t="shared" si="285"/>
        <v>47.086179199440743</v>
      </c>
      <c r="CL218" s="97">
        <f t="shared" si="285"/>
        <v>44.511198731555943</v>
      </c>
      <c r="CM218" s="97">
        <f t="shared" si="285"/>
        <v>40.17148875446965</v>
      </c>
      <c r="CN218" s="98">
        <f t="shared" si="285"/>
        <v>44.788556864814495</v>
      </c>
      <c r="CO218" s="97">
        <f t="shared" si="285"/>
        <v>47.853764015256317</v>
      </c>
      <c r="CP218" s="97">
        <f t="shared" si="285"/>
        <v>42.125195388458437</v>
      </c>
      <c r="CQ218" s="97">
        <f t="shared" si="285"/>
        <v>39.353552440792654</v>
      </c>
      <c r="CR218" s="98">
        <f t="shared" si="285"/>
        <v>45.048952029747504</v>
      </c>
      <c r="CS218" s="97">
        <f>(CS165)/(CS6/90)</f>
        <v>46.691093772655492</v>
      </c>
      <c r="CT218" s="97">
        <f>(CT165)/(CT6/90)</f>
        <v>44.324359181979425</v>
      </c>
      <c r="CU218" s="97">
        <f>(CU165)/(CU6/90)</f>
        <v>41.010771623677734</v>
      </c>
      <c r="CV218" s="97"/>
      <c r="CW218" s="97"/>
      <c r="CX218" s="97"/>
      <c r="CY218" s="97"/>
      <c r="CZ218" s="97"/>
      <c r="DJ218" s="97"/>
    </row>
    <row r="219" spans="2:114">
      <c r="B219" s="114" t="s">
        <v>280</v>
      </c>
      <c r="H219" s="245">
        <f t="shared" ref="H219:V219" si="286">H12/H166</f>
        <v>4.8339310925778287</v>
      </c>
      <c r="I219" s="245">
        <f t="shared" si="286"/>
        <v>4.7928922892673826</v>
      </c>
      <c r="J219" s="245">
        <f t="shared" si="286"/>
        <v>4.8770599189922388</v>
      </c>
      <c r="K219" s="245">
        <f t="shared" si="286"/>
        <v>4.4073481909762675</v>
      </c>
      <c r="L219" s="245">
        <f t="shared" si="286"/>
        <v>4.6083591629857255</v>
      </c>
      <c r="M219" s="245">
        <f t="shared" si="286"/>
        <v>4.6511924626027907</v>
      </c>
      <c r="N219" s="245">
        <f t="shared" si="286"/>
        <v>4.3034753071662939</v>
      </c>
      <c r="O219" s="245">
        <f t="shared" si="286"/>
        <v>4.0930382294723993</v>
      </c>
      <c r="P219" s="245">
        <f t="shared" si="286"/>
        <v>3.924262532227901</v>
      </c>
      <c r="Q219" s="245">
        <f t="shared" si="286"/>
        <v>4.904789331613121</v>
      </c>
      <c r="R219" s="245">
        <f t="shared" si="286"/>
        <v>4.1351637741613612</v>
      </c>
      <c r="S219" s="245">
        <f t="shared" si="286"/>
        <v>3.8272940716245323</v>
      </c>
      <c r="T219" s="245">
        <f t="shared" si="286"/>
        <v>3.9276109283160476</v>
      </c>
      <c r="U219" s="245">
        <f t="shared" si="286"/>
        <v>4.0229963708175625</v>
      </c>
      <c r="V219" s="245">
        <f t="shared" si="286"/>
        <v>3.7573123607371177</v>
      </c>
      <c r="W219" s="442">
        <v>3.8</v>
      </c>
      <c r="X219" s="442">
        <v>3.9</v>
      </c>
      <c r="Y219" s="443">
        <v>4</v>
      </c>
      <c r="AD219" s="444"/>
      <c r="AR219" s="7"/>
      <c r="AY219" s="114" t="s">
        <v>280</v>
      </c>
      <c r="BA219" s="245"/>
      <c r="BB219" s="245"/>
      <c r="BC219" s="245"/>
      <c r="BD219" s="445"/>
      <c r="BE219" s="446">
        <f t="shared" ref="BE219:CU219" si="287">(BE12*4)/BE166</f>
        <v>3.020503061723955</v>
      </c>
      <c r="BF219" s="245">
        <f t="shared" si="287"/>
        <v>4.6465225945004276</v>
      </c>
      <c r="BG219" s="245">
        <f t="shared" si="287"/>
        <v>4.7405977040843474</v>
      </c>
      <c r="BH219" s="445">
        <f t="shared" si="287"/>
        <v>4.0463405478309786</v>
      </c>
      <c r="BI219" s="446">
        <f t="shared" si="287"/>
        <v>3.4255899169304751</v>
      </c>
      <c r="BJ219" s="245">
        <f t="shared" si="287"/>
        <v>4.9247744327288405</v>
      </c>
      <c r="BK219" s="245">
        <f t="shared" si="287"/>
        <v>5.0777620660846434</v>
      </c>
      <c r="BL219" s="445">
        <f t="shared" si="287"/>
        <v>4.003083162168199</v>
      </c>
      <c r="BM219" s="446">
        <f t="shared" si="287"/>
        <v>3.4785610208847579</v>
      </c>
      <c r="BN219" s="245">
        <f t="shared" si="287"/>
        <v>5.0162646815893783</v>
      </c>
      <c r="BO219" s="245">
        <f t="shared" si="287"/>
        <v>4.7512950731245613</v>
      </c>
      <c r="BP219" s="445">
        <f t="shared" si="287"/>
        <v>3.8008758541153829</v>
      </c>
      <c r="BQ219" s="446">
        <f t="shared" si="287"/>
        <v>3.4356837662233453</v>
      </c>
      <c r="BR219" s="245">
        <f t="shared" si="287"/>
        <v>4.6372994906644731</v>
      </c>
      <c r="BS219" s="245">
        <f t="shared" si="287"/>
        <v>4.8195109197663246</v>
      </c>
      <c r="BT219" s="445">
        <f t="shared" si="287"/>
        <v>3.5439316998933257</v>
      </c>
      <c r="BU219" s="245">
        <f t="shared" si="287"/>
        <v>3.1221431448905603</v>
      </c>
      <c r="BV219" s="245">
        <f t="shared" si="287"/>
        <v>4.3162144896495116</v>
      </c>
      <c r="BW219" s="245">
        <f t="shared" si="287"/>
        <v>4.3699178237461034</v>
      </c>
      <c r="BX219" s="445">
        <f t="shared" si="287"/>
        <v>3.5265262503991157</v>
      </c>
      <c r="BY219" s="446">
        <f t="shared" si="287"/>
        <v>3.226681798656152</v>
      </c>
      <c r="BZ219" s="245">
        <f t="shared" si="287"/>
        <v>4.8512397468069954</v>
      </c>
      <c r="CA219" s="245">
        <f t="shared" si="287"/>
        <v>5.258143023309704</v>
      </c>
      <c r="CB219" s="445">
        <f t="shared" si="287"/>
        <v>4.4667764837789372</v>
      </c>
      <c r="CC219" s="446">
        <f t="shared" si="287"/>
        <v>3.4107280408007719</v>
      </c>
      <c r="CD219" s="245">
        <f t="shared" si="287"/>
        <v>5.2524928011273131</v>
      </c>
      <c r="CE219" s="245">
        <f t="shared" si="287"/>
        <v>4.9893488807688762</v>
      </c>
      <c r="CF219" s="445">
        <f t="shared" si="287"/>
        <v>3.9436183345301394</v>
      </c>
      <c r="CG219" s="446">
        <f t="shared" si="287"/>
        <v>3.0877178849426525</v>
      </c>
      <c r="CH219" s="245">
        <f t="shared" si="287"/>
        <v>4.1558993839322564</v>
      </c>
      <c r="CI219" s="245">
        <f t="shared" si="287"/>
        <v>4.2880671329802169</v>
      </c>
      <c r="CJ219" s="445">
        <f t="shared" si="287"/>
        <v>3.3504469873512321</v>
      </c>
      <c r="CK219" s="446">
        <f t="shared" si="287"/>
        <v>2.7318047394093017</v>
      </c>
      <c r="CL219" s="245">
        <f t="shared" si="287"/>
        <v>3.4107720967567214</v>
      </c>
      <c r="CM219" s="245">
        <f t="shared" si="287"/>
        <v>4.0262237536619052</v>
      </c>
      <c r="CN219" s="445">
        <f t="shared" si="287"/>
        <v>3.5294016354323383</v>
      </c>
      <c r="CO219" s="245">
        <f t="shared" si="287"/>
        <v>2.7406185542103181</v>
      </c>
      <c r="CP219" s="245">
        <f t="shared" si="287"/>
        <v>3.9645934911814198</v>
      </c>
      <c r="CQ219" s="245">
        <f t="shared" si="287"/>
        <v>3.9924799316630692</v>
      </c>
      <c r="CR219" s="445">
        <f t="shared" si="287"/>
        <v>3.7125583570803702</v>
      </c>
      <c r="CS219" s="245">
        <f t="shared" si="287"/>
        <v>2.4806468140691069</v>
      </c>
      <c r="CT219" s="245">
        <f t="shared" si="287"/>
        <v>2.9883707949747085</v>
      </c>
      <c r="CU219" s="245">
        <f t="shared" si="287"/>
        <v>3.7410490539934793</v>
      </c>
      <c r="CV219" s="245"/>
      <c r="CW219" s="245"/>
      <c r="CX219" s="245"/>
      <c r="CY219" s="245"/>
      <c r="CZ219" s="245"/>
      <c r="DJ219" s="245"/>
    </row>
    <row r="220" spans="2:114">
      <c r="B220" s="114" t="s">
        <v>281</v>
      </c>
      <c r="H220" s="188">
        <f t="shared" ref="H220:Y220" si="288">(H165+H166)/H6</f>
        <v>0.26631201517651359</v>
      </c>
      <c r="I220" s="188">
        <f t="shared" si="288"/>
        <v>0.26917701718559134</v>
      </c>
      <c r="J220" s="188">
        <f t="shared" si="288"/>
        <v>0.26252534508044978</v>
      </c>
      <c r="K220" s="188">
        <f t="shared" si="288"/>
        <v>0.28196545097780729</v>
      </c>
      <c r="L220" s="188">
        <f t="shared" si="288"/>
        <v>0.27351826626169795</v>
      </c>
      <c r="M220" s="188">
        <f t="shared" si="288"/>
        <v>0.27506917095781691</v>
      </c>
      <c r="N220" s="188">
        <f t="shared" si="288"/>
        <v>0.28545827858648926</v>
      </c>
      <c r="O220" s="188">
        <f t="shared" si="288"/>
        <v>0.29451048936437418</v>
      </c>
      <c r="P220" s="188">
        <f t="shared" si="288"/>
        <v>0.30492360957092984</v>
      </c>
      <c r="Q220" s="188">
        <f t="shared" si="288"/>
        <v>0.26045613310417082</v>
      </c>
      <c r="R220" s="188">
        <f t="shared" si="288"/>
        <v>0.28883272995475306</v>
      </c>
      <c r="S220" s="188">
        <f t="shared" si="288"/>
        <v>0.29106170948198212</v>
      </c>
      <c r="T220" s="188">
        <f t="shared" si="288"/>
        <v>0.29450708678627419</v>
      </c>
      <c r="U220" s="188">
        <f t="shared" si="288"/>
        <v>0.29709593339316287</v>
      </c>
      <c r="V220" s="188">
        <f t="shared" si="288"/>
        <v>0.30147956498496398</v>
      </c>
      <c r="W220" s="188">
        <f t="shared" si="288"/>
        <v>0.2998890366892798</v>
      </c>
      <c r="X220" s="188">
        <f t="shared" si="288"/>
        <v>0.29462859990978385</v>
      </c>
      <c r="Y220" s="189">
        <f t="shared" si="288"/>
        <v>0.28961314327128879</v>
      </c>
      <c r="AD220" s="437"/>
      <c r="AR220" s="7"/>
      <c r="AY220" s="114" t="s">
        <v>281</v>
      </c>
      <c r="BA220" s="188"/>
      <c r="BB220" s="188"/>
      <c r="BC220" s="188"/>
      <c r="BD220" s="189"/>
      <c r="BE220" s="187">
        <f t="shared" ref="BE220:CR220" si="289">(BE165+BE166)/(BE6*4)</f>
        <v>0.382371701369145</v>
      </c>
      <c r="BF220" s="188">
        <f t="shared" si="289"/>
        <v>0.28569364716998558</v>
      </c>
      <c r="BG220" s="188">
        <f t="shared" si="289"/>
        <v>0.26804059771693067</v>
      </c>
      <c r="BH220" s="189">
        <f t="shared" si="289"/>
        <v>0.31119331810899581</v>
      </c>
      <c r="BI220" s="187">
        <f t="shared" si="289"/>
        <v>0.35536818318487612</v>
      </c>
      <c r="BJ220" s="188">
        <f t="shared" si="289"/>
        <v>0.27910983296759395</v>
      </c>
      <c r="BK220" s="188">
        <f t="shared" si="289"/>
        <v>0.25936287495004962</v>
      </c>
      <c r="BL220" s="189">
        <f t="shared" si="289"/>
        <v>0.3176912821758931</v>
      </c>
      <c r="BM220" s="187">
        <f t="shared" si="289"/>
        <v>0.3534892987575895</v>
      </c>
      <c r="BN220" s="188">
        <f t="shared" si="289"/>
        <v>0.27102025669240487</v>
      </c>
      <c r="BO220" s="188">
        <f t="shared" si="289"/>
        <v>0.27539909612220648</v>
      </c>
      <c r="BP220" s="189">
        <f t="shared" si="289"/>
        <v>0.32131835598255815</v>
      </c>
      <c r="BQ220" s="187">
        <f t="shared" si="289"/>
        <v>0.34985543565186705</v>
      </c>
      <c r="BR220" s="188">
        <f t="shared" si="289"/>
        <v>0.28752523929969998</v>
      </c>
      <c r="BS220" s="188">
        <f t="shared" si="289"/>
        <v>0.2726879561607306</v>
      </c>
      <c r="BT220" s="189">
        <f t="shared" si="289"/>
        <v>0.3376883588244432</v>
      </c>
      <c r="BU220" s="188">
        <f t="shared" si="289"/>
        <v>0.37538710245490603</v>
      </c>
      <c r="BV220" s="188">
        <f t="shared" si="289"/>
        <v>0.29573336521233307</v>
      </c>
      <c r="BW220" s="188">
        <f t="shared" si="289"/>
        <v>0.28877691472240247</v>
      </c>
      <c r="BX220" s="189">
        <f t="shared" si="289"/>
        <v>0.33912516378116503</v>
      </c>
      <c r="BY220" s="187">
        <f t="shared" si="289"/>
        <v>0.37634106229591457</v>
      </c>
      <c r="BZ220" s="188">
        <f t="shared" si="289"/>
        <v>0.28238046754243257</v>
      </c>
      <c r="CA220" s="188">
        <f t="shared" si="289"/>
        <v>0.24871573030271282</v>
      </c>
      <c r="CB220" s="189">
        <f t="shared" si="289"/>
        <v>0.28504563026752899</v>
      </c>
      <c r="CC220" s="187">
        <f t="shared" si="289"/>
        <v>0.34837072381566003</v>
      </c>
      <c r="CD220" s="188">
        <f t="shared" si="289"/>
        <v>0.2571408490300815</v>
      </c>
      <c r="CE220" s="188">
        <f t="shared" si="289"/>
        <v>0.25429394317975912</v>
      </c>
      <c r="CF220" s="189">
        <f t="shared" si="289"/>
        <v>0.29994824273331283</v>
      </c>
      <c r="CG220" s="187">
        <f t="shared" si="289"/>
        <v>0.35776350938913215</v>
      </c>
      <c r="CH220" s="188">
        <f t="shared" si="289"/>
        <v>0.28864044841136871</v>
      </c>
      <c r="CI220" s="188">
        <f t="shared" si="289"/>
        <v>0.27566268918889708</v>
      </c>
      <c r="CJ220" s="189">
        <f t="shared" si="289"/>
        <v>0.3347540163531646</v>
      </c>
      <c r="CK220" s="187">
        <f t="shared" si="289"/>
        <v>0.39105731113778108</v>
      </c>
      <c r="CL220" s="188">
        <f t="shared" si="289"/>
        <v>0.33448073071324014</v>
      </c>
      <c r="CM220" s="188">
        <f t="shared" si="289"/>
        <v>0.2937516603231547</v>
      </c>
      <c r="CN220" s="189">
        <f t="shared" si="289"/>
        <v>0.33450676991037287</v>
      </c>
      <c r="CO220" s="191">
        <f t="shared" si="289"/>
        <v>0.39740707774038314</v>
      </c>
      <c r="CP220" s="191">
        <f t="shared" si="289"/>
        <v>0.3008917987330601</v>
      </c>
      <c r="CQ220" s="191">
        <f t="shared" si="289"/>
        <v>0.29412646363301354</v>
      </c>
      <c r="CR220" s="189">
        <f t="shared" si="289"/>
        <v>0.32260832902879311</v>
      </c>
      <c r="CS220" s="191">
        <f>(CS165+CS166)/(CS6*4)</f>
        <v>0.41970242037351269</v>
      </c>
      <c r="CT220" s="191">
        <f>(CT165+CT166)/(CT6*4)</f>
        <v>0.35983799786854609</v>
      </c>
      <c r="CU220" s="191">
        <f>(CU165+CU166)/(CU6*4)</f>
        <v>0.30765152962861719</v>
      </c>
      <c r="CV220" s="188"/>
      <c r="CW220" s="188"/>
      <c r="CX220" s="188"/>
      <c r="CY220" s="188"/>
      <c r="CZ220" s="188"/>
      <c r="DJ220" s="188"/>
    </row>
    <row r="221" spans="2:114">
      <c r="B221" s="114" t="s">
        <v>282</v>
      </c>
      <c r="H221" s="97">
        <f t="shared" ref="H221:V221" si="290">H179/(H12/360)</f>
        <v>20.382286454779244</v>
      </c>
      <c r="I221" s="97">
        <f t="shared" si="290"/>
        <v>25.439990646910559</v>
      </c>
      <c r="J221" s="97">
        <f t="shared" si="290"/>
        <v>17.860782250269594</v>
      </c>
      <c r="K221" s="97">
        <f t="shared" si="290"/>
        <v>20.885782383544537</v>
      </c>
      <c r="L221" s="97">
        <f t="shared" si="290"/>
        <v>16.825597366545157</v>
      </c>
      <c r="M221" s="97">
        <f t="shared" si="290"/>
        <v>20.957641870137891</v>
      </c>
      <c r="N221" s="97">
        <f t="shared" si="290"/>
        <v>25.324744772755576</v>
      </c>
      <c r="O221" s="97">
        <f t="shared" si="290"/>
        <v>21.037362527036386</v>
      </c>
      <c r="P221" s="97">
        <f t="shared" si="290"/>
        <v>23.877682164694477</v>
      </c>
      <c r="Q221" s="97">
        <f t="shared" si="290"/>
        <v>23.631667904888879</v>
      </c>
      <c r="R221" s="97">
        <f t="shared" si="290"/>
        <v>28.423289274032893</v>
      </c>
      <c r="S221" s="97">
        <f t="shared" si="290"/>
        <v>31.31280659718481</v>
      </c>
      <c r="T221" s="97">
        <f t="shared" si="290"/>
        <v>25.130750901376839</v>
      </c>
      <c r="U221" s="97">
        <f t="shared" si="290"/>
        <v>31.70595542848039</v>
      </c>
      <c r="V221" s="97">
        <f t="shared" si="290"/>
        <v>33.926347318954413</v>
      </c>
      <c r="W221" s="102">
        <v>33</v>
      </c>
      <c r="X221" s="102">
        <v>32</v>
      </c>
      <c r="Y221" s="447">
        <v>31</v>
      </c>
      <c r="AD221" s="444"/>
      <c r="AR221" s="7"/>
      <c r="AY221" s="114" t="s">
        <v>282</v>
      </c>
      <c r="BA221" s="97"/>
      <c r="BB221" s="97"/>
      <c r="BC221" s="97"/>
      <c r="BD221" s="98"/>
      <c r="BE221" s="99">
        <f t="shared" ref="BE221:CU221" si="291">BE179/(BE12/90)</f>
        <v>35.46873320578689</v>
      </c>
      <c r="BF221" s="97">
        <f t="shared" si="291"/>
        <v>23.606293511916693</v>
      </c>
      <c r="BG221" s="97">
        <f t="shared" si="291"/>
        <v>20.262992528889118</v>
      </c>
      <c r="BH221" s="98">
        <f t="shared" si="291"/>
        <v>19.162597631183303</v>
      </c>
      <c r="BI221" s="99">
        <f t="shared" si="291"/>
        <v>31.34028298358157</v>
      </c>
      <c r="BJ221" s="97">
        <f t="shared" si="291"/>
        <v>26.662739249100884</v>
      </c>
      <c r="BK221" s="97">
        <f t="shared" si="291"/>
        <v>22.019439249947816</v>
      </c>
      <c r="BL221" s="98">
        <f t="shared" si="291"/>
        <v>24.350737157185808</v>
      </c>
      <c r="BM221" s="99">
        <f t="shared" si="291"/>
        <v>35.768837054865891</v>
      </c>
      <c r="BN221" s="97">
        <f t="shared" si="291"/>
        <v>26.692079706227748</v>
      </c>
      <c r="BO221" s="97">
        <f t="shared" si="291"/>
        <v>28.56541101172116</v>
      </c>
      <c r="BP221" s="98">
        <f t="shared" si="291"/>
        <v>28.673499996544184</v>
      </c>
      <c r="BQ221" s="99">
        <f t="shared" si="291"/>
        <v>31.745081524238799</v>
      </c>
      <c r="BR221" s="97">
        <f t="shared" si="291"/>
        <v>31.851830624609057</v>
      </c>
      <c r="BS221" s="97">
        <f t="shared" si="291"/>
        <v>21.600228454920071</v>
      </c>
      <c r="BT221" s="98">
        <f t="shared" si="291"/>
        <v>24.296949366440064</v>
      </c>
      <c r="BU221" s="97">
        <f t="shared" si="291"/>
        <v>30.923847126525764</v>
      </c>
      <c r="BV221" s="97">
        <f t="shared" si="291"/>
        <v>44.810234990947158</v>
      </c>
      <c r="BW221" s="97">
        <f t="shared" si="291"/>
        <v>40.29628644512858</v>
      </c>
      <c r="BX221" s="98">
        <f t="shared" si="291"/>
        <v>26.570706361466087</v>
      </c>
      <c r="BY221" s="99">
        <f t="shared" si="291"/>
        <v>36.872094995536067</v>
      </c>
      <c r="BZ221" s="97">
        <f t="shared" si="291"/>
        <v>32.783737668719709</v>
      </c>
      <c r="CA221" s="97">
        <f t="shared" si="291"/>
        <v>27.295762003529088</v>
      </c>
      <c r="CB221" s="98">
        <f t="shared" si="291"/>
        <v>25.948993205512611</v>
      </c>
      <c r="CC221" s="99">
        <f t="shared" si="291"/>
        <v>41.091089115972125</v>
      </c>
      <c r="CD221" s="97">
        <f t="shared" si="291"/>
        <v>32.2103391487491</v>
      </c>
      <c r="CE221" s="97">
        <f t="shared" si="291"/>
        <v>31.467545705263078</v>
      </c>
      <c r="CF221" s="98">
        <f t="shared" si="291"/>
        <v>29.803836522251501</v>
      </c>
      <c r="CG221" s="99">
        <f t="shared" si="291"/>
        <v>38.791226710100148</v>
      </c>
      <c r="CH221" s="97">
        <f t="shared" si="291"/>
        <v>36.624479431447476</v>
      </c>
      <c r="CI221" s="97">
        <f t="shared" si="291"/>
        <v>51.534168199829217</v>
      </c>
      <c r="CJ221" s="98">
        <f t="shared" si="291"/>
        <v>35.769352420070874</v>
      </c>
      <c r="CK221" s="99">
        <f t="shared" si="291"/>
        <v>70.249754191444055</v>
      </c>
      <c r="CL221" s="97">
        <f t="shared" si="291"/>
        <v>37.64179825639274</v>
      </c>
      <c r="CM221" s="97">
        <f t="shared" si="291"/>
        <v>29.385037502403996</v>
      </c>
      <c r="CN221" s="98">
        <f t="shared" si="291"/>
        <v>27.966160293611694</v>
      </c>
      <c r="CO221" s="97">
        <f t="shared" si="291"/>
        <v>54.556756813938357</v>
      </c>
      <c r="CP221" s="97">
        <f t="shared" si="291"/>
        <v>32.552206764950292</v>
      </c>
      <c r="CQ221" s="97">
        <f t="shared" si="291"/>
        <v>0</v>
      </c>
      <c r="CR221" s="98">
        <f t="shared" si="291"/>
        <v>34.357155188905949</v>
      </c>
      <c r="CS221" s="97">
        <f t="shared" si="291"/>
        <v>66.333167795922336</v>
      </c>
      <c r="CT221" s="97">
        <f t="shared" si="291"/>
        <v>58.942852207814646</v>
      </c>
      <c r="CU221" s="97">
        <f t="shared" si="291"/>
        <v>41.780079968493219</v>
      </c>
      <c r="CV221" s="97"/>
      <c r="CW221" s="97"/>
      <c r="CX221" s="97"/>
      <c r="CY221" s="97"/>
      <c r="CZ221" s="97"/>
      <c r="DJ221" s="97"/>
    </row>
    <row r="222" spans="2:114">
      <c r="B222" s="114"/>
      <c r="Y222" s="120"/>
      <c r="AR222" s="7"/>
      <c r="AY222" s="114"/>
      <c r="BD222" s="120"/>
      <c r="BE222" s="119"/>
      <c r="BH222" s="120"/>
      <c r="BI222" s="119"/>
      <c r="BL222" s="120"/>
      <c r="BM222" s="119"/>
      <c r="BP222" s="120"/>
      <c r="BQ222" s="119"/>
      <c r="BT222" s="120"/>
      <c r="BX222" s="120"/>
      <c r="BY222" s="119"/>
      <c r="CB222" s="120"/>
      <c r="CC222" s="119"/>
      <c r="CF222" s="120"/>
      <c r="CG222" s="119"/>
      <c r="CJ222" s="120"/>
      <c r="CK222" s="119"/>
      <c r="CN222" s="120"/>
      <c r="CR222" s="120"/>
      <c r="DJ222" s="9"/>
    </row>
    <row r="223" spans="2:114">
      <c r="B223" s="114" t="s">
        <v>283</v>
      </c>
      <c r="C223" s="434"/>
      <c r="D223" s="434"/>
      <c r="E223" s="434"/>
      <c r="F223" s="434"/>
      <c r="G223" s="434"/>
      <c r="H223" s="245">
        <f t="shared" ref="H223:Y223" si="292">H6/H174</f>
        <v>2.3481163081911576</v>
      </c>
      <c r="I223" s="245">
        <f t="shared" si="292"/>
        <v>2.0401901245797553</v>
      </c>
      <c r="J223" s="245">
        <f t="shared" si="292"/>
        <v>2.2421446502041587</v>
      </c>
      <c r="K223" s="245">
        <f t="shared" si="292"/>
        <v>2.2023408392874195</v>
      </c>
      <c r="L223" s="245">
        <f t="shared" si="292"/>
        <v>2.2999006956893204</v>
      </c>
      <c r="M223" s="245">
        <f t="shared" si="292"/>
        <v>2.2514625404542397</v>
      </c>
      <c r="N223" s="245">
        <f t="shared" si="292"/>
        <v>2.121258385335318</v>
      </c>
      <c r="O223" s="245">
        <f t="shared" si="292"/>
        <v>2.103925761429835</v>
      </c>
      <c r="P223" s="245">
        <f t="shared" si="292"/>
        <v>1.8662212591460401</v>
      </c>
      <c r="Q223" s="245">
        <f t="shared" si="292"/>
        <v>2.034710932087989</v>
      </c>
      <c r="R223" s="245">
        <f t="shared" si="292"/>
        <v>2.0351506435319018</v>
      </c>
      <c r="S223" s="245">
        <f t="shared" si="292"/>
        <v>2.0854064572873114</v>
      </c>
      <c r="T223" s="245">
        <f t="shared" si="292"/>
        <v>1.9531808852450749</v>
      </c>
      <c r="U223" s="245">
        <f t="shared" si="292"/>
        <v>1.700698266310944</v>
      </c>
      <c r="V223" s="245">
        <f t="shared" si="292"/>
        <v>1.6397757092329108</v>
      </c>
      <c r="W223" s="245">
        <f t="shared" si="292"/>
        <v>1.6497763711111157</v>
      </c>
      <c r="X223" s="245">
        <f t="shared" si="292"/>
        <v>1.7078863850953936</v>
      </c>
      <c r="Y223" s="445">
        <f t="shared" si="292"/>
        <v>1.7723186566290712</v>
      </c>
      <c r="AD223" s="444"/>
      <c r="AR223" s="7"/>
      <c r="AY223" s="114" t="s">
        <v>283</v>
      </c>
      <c r="AZ223" s="434"/>
      <c r="BA223" s="245"/>
      <c r="BB223" s="245"/>
      <c r="BC223" s="245"/>
      <c r="BD223" s="445"/>
      <c r="BE223" s="446">
        <f t="shared" ref="BE223:CR223" si="293">(BE6*4)/BE174</f>
        <v>1.7125585801572367</v>
      </c>
      <c r="BF223" s="245">
        <f t="shared" si="293"/>
        <v>2.3680744040202177</v>
      </c>
      <c r="BG223" s="245">
        <f t="shared" si="293"/>
        <v>2.4400870917702839</v>
      </c>
      <c r="BH223" s="445">
        <f t="shared" si="293"/>
        <v>2.0214600193911787</v>
      </c>
      <c r="BI223" s="446">
        <f t="shared" si="293"/>
        <v>1.8145421415213463</v>
      </c>
      <c r="BJ223" s="245">
        <f t="shared" si="293"/>
        <v>2.4053087976723999</v>
      </c>
      <c r="BK223" s="245">
        <f t="shared" si="293"/>
        <v>2.5362360077176249</v>
      </c>
      <c r="BL223" s="445">
        <f t="shared" si="293"/>
        <v>1.9494017280034828</v>
      </c>
      <c r="BM223" s="446">
        <f t="shared" si="293"/>
        <v>1.8025204634577239</v>
      </c>
      <c r="BN223" s="245">
        <f t="shared" si="293"/>
        <v>2.368944188175182</v>
      </c>
      <c r="BO223" s="245">
        <f t="shared" si="293"/>
        <v>2.2895077270985871</v>
      </c>
      <c r="BP223" s="445">
        <f t="shared" si="293"/>
        <v>1.8845196853548107</v>
      </c>
      <c r="BQ223" s="446">
        <f t="shared" si="293"/>
        <v>1.7850730971478772</v>
      </c>
      <c r="BR223" s="245">
        <f t="shared" si="293"/>
        <v>2.2922799081535246</v>
      </c>
      <c r="BS223" s="245">
        <f t="shared" si="293"/>
        <v>2.3238967377758488</v>
      </c>
      <c r="BT223" s="445">
        <f t="shared" si="293"/>
        <v>1.8349113595211179</v>
      </c>
      <c r="BU223" s="245">
        <f t="shared" si="293"/>
        <v>1.5850818707403536</v>
      </c>
      <c r="BV223" s="245">
        <f t="shared" si="293"/>
        <v>2.0845407710126826</v>
      </c>
      <c r="BW223" s="245">
        <f t="shared" si="293"/>
        <v>2.0718669735791155</v>
      </c>
      <c r="BX223" s="445">
        <f t="shared" si="293"/>
        <v>1.6780085448451802</v>
      </c>
      <c r="BY223" s="446">
        <f t="shared" si="293"/>
        <v>1.5619252862989763</v>
      </c>
      <c r="BZ223" s="245">
        <f t="shared" si="293"/>
        <v>2.0561628109394716</v>
      </c>
      <c r="CA223" s="245">
        <f t="shared" si="293"/>
        <v>2.3215314510600771</v>
      </c>
      <c r="CB223" s="445">
        <f t="shared" si="293"/>
        <v>1.8591863374963318</v>
      </c>
      <c r="CC223" s="446">
        <f t="shared" si="293"/>
        <v>1.6879741362659826</v>
      </c>
      <c r="CD223" s="245">
        <f t="shared" si="293"/>
        <v>2.362486125675515</v>
      </c>
      <c r="CE223" s="245">
        <f t="shared" si="293"/>
        <v>2.3068451118614806</v>
      </c>
      <c r="CF223" s="445">
        <f t="shared" si="293"/>
        <v>1.9597318220101292</v>
      </c>
      <c r="CG223" s="446">
        <f t="shared" si="293"/>
        <v>1.7543105148149523</v>
      </c>
      <c r="CH223" s="245">
        <f t="shared" si="293"/>
        <v>2.2528211008205687</v>
      </c>
      <c r="CI223" s="245">
        <f t="shared" si="293"/>
        <v>2.2717216795128699</v>
      </c>
      <c r="CJ223" s="445">
        <f t="shared" si="293"/>
        <v>1.8132178817010656</v>
      </c>
      <c r="CK223" s="446">
        <f t="shared" si="293"/>
        <v>1.6319908477897771</v>
      </c>
      <c r="CL223" s="245">
        <f t="shared" si="293"/>
        <v>1.9527941796890136</v>
      </c>
      <c r="CM223" s="245">
        <f t="shared" si="293"/>
        <v>2.1062735527784016</v>
      </c>
      <c r="CN223" s="445">
        <f t="shared" si="293"/>
        <v>1.7196232310463795</v>
      </c>
      <c r="CO223" s="245">
        <f t="shared" si="293"/>
        <v>1.43672124555727</v>
      </c>
      <c r="CP223" s="245">
        <f t="shared" si="293"/>
        <v>1.9469126735594464</v>
      </c>
      <c r="CQ223" s="245">
        <f t="shared" si="293"/>
        <v>1.9126047183437649</v>
      </c>
      <c r="CR223" s="445">
        <f t="shared" si="293"/>
        <v>1.5662042588016625</v>
      </c>
      <c r="CS223" s="245">
        <f>(CS6*4)/CS174</f>
        <v>1.3749121365100614</v>
      </c>
      <c r="CT223" s="245">
        <f>(CT6*4)/CT174</f>
        <v>1.7443165924271695</v>
      </c>
      <c r="CU223" s="245">
        <f>(CU6*4)/CU174</f>
        <v>1.8152721364744113</v>
      </c>
      <c r="CV223" s="245"/>
      <c r="CW223" s="245"/>
      <c r="CX223" s="245"/>
      <c r="CY223" s="245"/>
      <c r="CZ223" s="245"/>
      <c r="DJ223" s="245"/>
    </row>
    <row r="224" spans="2:114">
      <c r="B224" s="114" t="s">
        <v>284</v>
      </c>
      <c r="H224" s="188">
        <f t="shared" ref="H224:Y224" si="294">H21/H174</f>
        <v>7.1324482631364677E-2</v>
      </c>
      <c r="I224" s="188">
        <f t="shared" si="294"/>
        <v>6.1433187380912066E-2</v>
      </c>
      <c r="J224" s="188">
        <f t="shared" si="294"/>
        <v>7.6502323107507264E-2</v>
      </c>
      <c r="K224" s="188">
        <f t="shared" si="294"/>
        <v>8.4523359539313753E-2</v>
      </c>
      <c r="L224" s="188">
        <f t="shared" si="294"/>
        <v>9.6692540210976605E-2</v>
      </c>
      <c r="M224" s="188">
        <f t="shared" si="294"/>
        <v>9.7516921834434209E-2</v>
      </c>
      <c r="N224" s="188">
        <f t="shared" si="294"/>
        <v>0.10172619067975264</v>
      </c>
      <c r="O224" s="188">
        <f t="shared" si="294"/>
        <v>0.11241475720176415</v>
      </c>
      <c r="P224" s="188">
        <f t="shared" si="294"/>
        <v>9.6218508928037128E-2</v>
      </c>
      <c r="Q224" s="188">
        <f t="shared" si="294"/>
        <v>0.10851100913036707</v>
      </c>
      <c r="R224" s="188">
        <f t="shared" si="294"/>
        <v>0.13576275794664755</v>
      </c>
      <c r="S224" s="188">
        <f t="shared" si="294"/>
        <v>0.15991554385711429</v>
      </c>
      <c r="T224" s="188">
        <f t="shared" si="294"/>
        <v>0.14382162093456416</v>
      </c>
      <c r="U224" s="188">
        <f t="shared" si="294"/>
        <v>0.11971944334251666</v>
      </c>
      <c r="V224" s="188">
        <f t="shared" si="294"/>
        <v>0.11257439456555848</v>
      </c>
      <c r="W224" s="188">
        <f t="shared" si="294"/>
        <v>0.11795297952097968</v>
      </c>
      <c r="X224" s="188">
        <f t="shared" si="294"/>
        <v>0.12788741704059289</v>
      </c>
      <c r="Y224" s="189">
        <f t="shared" si="294"/>
        <v>0.1393497513802282</v>
      </c>
      <c r="AD224" s="444"/>
      <c r="AR224" s="7"/>
      <c r="AY224" s="114" t="s">
        <v>284</v>
      </c>
      <c r="BA224" s="188"/>
      <c r="BB224" s="188"/>
      <c r="BC224" s="188"/>
      <c r="BD224" s="189"/>
      <c r="BE224" s="187">
        <f t="shared" ref="BE224:CU224" si="295">(BE21*4)/BE174</f>
        <v>4.8791614735076136E-2</v>
      </c>
      <c r="BF224" s="188">
        <f t="shared" si="295"/>
        <v>0.12663200350341536</v>
      </c>
      <c r="BG224" s="188">
        <f t="shared" si="295"/>
        <v>0.12017461889576279</v>
      </c>
      <c r="BH224" s="189">
        <f t="shared" si="295"/>
        <v>5.9247098871530159E-2</v>
      </c>
      <c r="BI224" s="187">
        <f t="shared" si="295"/>
        <v>5.4424073866875533E-2</v>
      </c>
      <c r="BJ224" s="188">
        <f t="shared" si="295"/>
        <v>0.12798829069846321</v>
      </c>
      <c r="BK224" s="188">
        <f t="shared" si="295"/>
        <v>0.12893154208961283</v>
      </c>
      <c r="BL224" s="189">
        <f t="shared" si="295"/>
        <v>6.3058204495882245E-2</v>
      </c>
      <c r="BM224" s="187">
        <f t="shared" si="295"/>
        <v>5.4113127874585609E-2</v>
      </c>
      <c r="BN224" s="188">
        <f t="shared" si="295"/>
        <v>0.13693907124801222</v>
      </c>
      <c r="BO224" s="188">
        <f t="shared" si="295"/>
        <v>0.1210844890581451</v>
      </c>
      <c r="BP224" s="189">
        <f t="shared" si="295"/>
        <v>6.4986806730448612E-2</v>
      </c>
      <c r="BQ224" s="187">
        <f t="shared" si="295"/>
        <v>6.5923734682927781E-2</v>
      </c>
      <c r="BR224" s="188">
        <f t="shared" si="295"/>
        <v>0.15472347159037156</v>
      </c>
      <c r="BS224" s="188">
        <f t="shared" si="295"/>
        <v>0.14194879923684792</v>
      </c>
      <c r="BT224" s="189">
        <f t="shared" si="295"/>
        <v>7.3285322343527401E-2</v>
      </c>
      <c r="BU224" s="188">
        <f t="shared" si="295"/>
        <v>5.9634731524990124E-2</v>
      </c>
      <c r="BV224" s="188">
        <f t="shared" si="295"/>
        <v>0.13699108885540934</v>
      </c>
      <c r="BW224" s="188">
        <f t="shared" si="295"/>
        <v>0.12399282748725526</v>
      </c>
      <c r="BX224" s="189">
        <f t="shared" si="295"/>
        <v>5.8334353743758817E-2</v>
      </c>
      <c r="BY224" s="187">
        <f t="shared" si="295"/>
        <v>4.7256421707246914E-2</v>
      </c>
      <c r="BZ224" s="188">
        <f t="shared" si="295"/>
        <v>0.13134162163925214</v>
      </c>
      <c r="CA224" s="188">
        <f t="shared" si="295"/>
        <v>0.16087865437164942</v>
      </c>
      <c r="CB224" s="189">
        <f t="shared" si="295"/>
        <v>7.4079828622974034E-2</v>
      </c>
      <c r="CC224" s="187">
        <f t="shared" si="295"/>
        <v>8.1852299774464801E-2</v>
      </c>
      <c r="CD224" s="188">
        <f t="shared" si="295"/>
        <v>0.18405688441107085</v>
      </c>
      <c r="CE224" s="188">
        <f t="shared" si="295"/>
        <v>0.18229517998033587</v>
      </c>
      <c r="CF224" s="189">
        <f t="shared" si="295"/>
        <v>0.10225476779414228</v>
      </c>
      <c r="CG224" s="187">
        <f t="shared" si="295"/>
        <v>0.13045667262252761</v>
      </c>
      <c r="CH224" s="188">
        <f t="shared" si="295"/>
        <v>0.20330191268946365</v>
      </c>
      <c r="CI224" s="188">
        <f t="shared" si="295"/>
        <v>0.17590980495103059</v>
      </c>
      <c r="CJ224" s="189">
        <f t="shared" si="295"/>
        <v>0.10816267453774338</v>
      </c>
      <c r="CK224" s="187">
        <f t="shared" si="295"/>
        <v>0.11584765821925534</v>
      </c>
      <c r="CL224" s="188">
        <f t="shared" si="295"/>
        <v>0.16842655308503932</v>
      </c>
      <c r="CM224" s="188">
        <f t="shared" si="295"/>
        <v>0.16929949416536022</v>
      </c>
      <c r="CN224" s="189">
        <f t="shared" si="295"/>
        <v>8.8541669459951192E-2</v>
      </c>
      <c r="CO224" s="191">
        <f t="shared" si="295"/>
        <v>7.9872980258969356E-2</v>
      </c>
      <c r="CP224" s="191">
        <f t="shared" si="295"/>
        <v>0.1650936313227421</v>
      </c>
      <c r="CQ224" s="191">
        <f t="shared" si="295"/>
        <v>0.15143946563068986</v>
      </c>
      <c r="CR224" s="189">
        <f t="shared" si="295"/>
        <v>8.6474385777235707E-2</v>
      </c>
      <c r="CS224" s="191">
        <f t="shared" si="295"/>
        <v>7.1894616344955198E-2</v>
      </c>
      <c r="CT224" s="191">
        <f t="shared" si="295"/>
        <v>0.15529125303176042</v>
      </c>
      <c r="CU224" s="191">
        <f t="shared" si="295"/>
        <v>0.14189738072760028</v>
      </c>
      <c r="CV224" s="188"/>
      <c r="CW224" s="188"/>
      <c r="CX224" s="188"/>
      <c r="CY224" s="188"/>
      <c r="CZ224" s="188"/>
      <c r="DJ224" s="188"/>
    </row>
    <row r="225" spans="2:114">
      <c r="B225" s="114" t="s">
        <v>285</v>
      </c>
      <c r="H225" s="188">
        <f t="shared" ref="H225:Y225" si="296">H21/H199</f>
        <v>9.0295594533347817E-2</v>
      </c>
      <c r="I225" s="188">
        <f t="shared" si="296"/>
        <v>0.10110563187350789</v>
      </c>
      <c r="J225" s="188">
        <f t="shared" si="296"/>
        <v>0.11329067440606262</v>
      </c>
      <c r="K225" s="188">
        <f t="shared" si="296"/>
        <v>0.13372949165178943</v>
      </c>
      <c r="L225" s="188">
        <f t="shared" si="296"/>
        <v>0.14366202799485878</v>
      </c>
      <c r="M225" s="188">
        <f t="shared" si="296"/>
        <v>0.14604377238869182</v>
      </c>
      <c r="N225" s="188">
        <f t="shared" si="296"/>
        <v>0.13425150727573656</v>
      </c>
      <c r="O225" s="188">
        <f t="shared" si="296"/>
        <v>0.15167011817972381</v>
      </c>
      <c r="P225" s="188">
        <f t="shared" si="296"/>
        <v>0.143430565202153</v>
      </c>
      <c r="Q225" s="188">
        <f t="shared" si="296"/>
        <v>0.15146921412481792</v>
      </c>
      <c r="R225" s="188">
        <f t="shared" si="296"/>
        <v>0.20974359359472106</v>
      </c>
      <c r="S225" s="188">
        <f t="shared" si="296"/>
        <v>0.2481097261548616</v>
      </c>
      <c r="T225" s="188">
        <f t="shared" si="296"/>
        <v>0.20500689934599545</v>
      </c>
      <c r="U225" s="188">
        <f t="shared" si="296"/>
        <v>0.17501447341884027</v>
      </c>
      <c r="V225" s="188">
        <f t="shared" si="296"/>
        <v>0.15424723492199571</v>
      </c>
      <c r="W225" s="188">
        <f t="shared" si="296"/>
        <v>0.16088545175734417</v>
      </c>
      <c r="X225" s="188">
        <f t="shared" si="296"/>
        <v>0.17430312846859922</v>
      </c>
      <c r="Y225" s="189">
        <f t="shared" si="296"/>
        <v>0.18991785066026409</v>
      </c>
      <c r="AD225" s="448"/>
      <c r="AR225" s="7"/>
      <c r="AY225" s="114" t="s">
        <v>285</v>
      </c>
      <c r="BA225" s="188"/>
      <c r="BB225" s="188"/>
      <c r="BC225" s="188"/>
      <c r="BD225" s="189"/>
      <c r="BE225" s="187">
        <f t="shared" ref="BE225:CU225" si="297">(BE21*4)/BE199</f>
        <v>8.1991663161115183E-2</v>
      </c>
      <c r="BF225" s="188">
        <f t="shared" si="297"/>
        <v>0.21978033052881629</v>
      </c>
      <c r="BG225" s="188">
        <f t="shared" si="297"/>
        <v>0.18981552352924286</v>
      </c>
      <c r="BH225" s="189">
        <f t="shared" si="297"/>
        <v>8.80270428114132E-2</v>
      </c>
      <c r="BI225" s="187">
        <f t="shared" si="297"/>
        <v>8.3679581618475926E-2</v>
      </c>
      <c r="BJ225" s="188">
        <f t="shared" si="297"/>
        <v>0.2030127862775282</v>
      </c>
      <c r="BK225" s="188">
        <f t="shared" si="297"/>
        <v>0.19320939361602762</v>
      </c>
      <c r="BL225" s="189">
        <f t="shared" si="297"/>
        <v>9.4437538546098043E-2</v>
      </c>
      <c r="BM225" s="187">
        <f t="shared" si="297"/>
        <v>8.6676411045026755E-2</v>
      </c>
      <c r="BN225" s="188">
        <f t="shared" si="297"/>
        <v>0.23042269361742013</v>
      </c>
      <c r="BO225" s="188">
        <f t="shared" si="297"/>
        <v>0.1952771511259084</v>
      </c>
      <c r="BP225" s="189">
        <f t="shared" si="297"/>
        <v>8.5765295036612718E-2</v>
      </c>
      <c r="BQ225" s="187">
        <f t="shared" si="297"/>
        <v>8.8328409564630381E-2</v>
      </c>
      <c r="BR225" s="188">
        <f t="shared" si="297"/>
        <v>0.22461257657644154</v>
      </c>
      <c r="BS225" s="188">
        <f t="shared" si="297"/>
        <v>0.19069103610249621</v>
      </c>
      <c r="BT225" s="189">
        <f t="shared" si="297"/>
        <v>9.8876640197089E-2</v>
      </c>
      <c r="BU225" s="188">
        <f t="shared" si="297"/>
        <v>8.7633304257294778E-2</v>
      </c>
      <c r="BV225" s="188">
        <f t="shared" si="297"/>
        <v>0.2207838801196555</v>
      </c>
      <c r="BW225" s="188">
        <f t="shared" si="297"/>
        <v>0.19048249251863364</v>
      </c>
      <c r="BX225" s="189">
        <f t="shared" si="297"/>
        <v>8.6957586657546049E-2</v>
      </c>
      <c r="BY225" s="187">
        <f t="shared" si="297"/>
        <v>7.2499266141616003E-2</v>
      </c>
      <c r="BZ225" s="188">
        <f t="shared" si="297"/>
        <v>0.19947905686482573</v>
      </c>
      <c r="CA225" s="188">
        <f t="shared" si="297"/>
        <v>0.23534286809824459</v>
      </c>
      <c r="CB225" s="189">
        <f t="shared" si="297"/>
        <v>0.10340714286918282</v>
      </c>
      <c r="CC225" s="187">
        <f t="shared" si="297"/>
        <v>0.12264285877271421</v>
      </c>
      <c r="CD225" s="188">
        <f t="shared" si="297"/>
        <v>0.29841995969004931</v>
      </c>
      <c r="CE225" s="188">
        <f t="shared" si="297"/>
        <v>0.27873016658215943</v>
      </c>
      <c r="CF225" s="189">
        <f t="shared" si="297"/>
        <v>0.15797618421810175</v>
      </c>
      <c r="CG225" s="187">
        <f t="shared" si="297"/>
        <v>0.21780589845317591</v>
      </c>
      <c r="CH225" s="188">
        <f t="shared" si="297"/>
        <v>0.34698471691950783</v>
      </c>
      <c r="CI225" s="188">
        <f t="shared" si="297"/>
        <v>0.27224626352404174</v>
      </c>
      <c r="CJ225" s="189">
        <f t="shared" si="297"/>
        <v>0.16781490349503037</v>
      </c>
      <c r="CK225" s="187">
        <f t="shared" si="297"/>
        <v>0.19074321891853627</v>
      </c>
      <c r="CL225" s="188">
        <f t="shared" si="297"/>
        <v>0.28182785832262808</v>
      </c>
      <c r="CM225" s="188">
        <f t="shared" si="297"/>
        <v>0.25651652323050556</v>
      </c>
      <c r="CN225" s="189">
        <f t="shared" si="297"/>
        <v>0.12620948784300823</v>
      </c>
      <c r="CO225" s="191">
        <f t="shared" si="297"/>
        <v>0.11887525947260751</v>
      </c>
      <c r="CP225" s="191">
        <f t="shared" si="297"/>
        <v>0.23836882717570193</v>
      </c>
      <c r="CQ225" s="191">
        <f t="shared" si="297"/>
        <v>0.21636682837471885</v>
      </c>
      <c r="CR225" s="189">
        <f t="shared" si="297"/>
        <v>0.12641446258417272</v>
      </c>
      <c r="CS225" s="191">
        <f t="shared" si="297"/>
        <v>0.10371066045740419</v>
      </c>
      <c r="CT225" s="191">
        <f t="shared" si="297"/>
        <v>0.22796190599161539</v>
      </c>
      <c r="CU225" s="191">
        <f t="shared" si="297"/>
        <v>0.19575197319382262</v>
      </c>
      <c r="CV225" s="188"/>
      <c r="CW225" s="188"/>
      <c r="CX225" s="188"/>
      <c r="CY225" s="188"/>
      <c r="CZ225" s="188"/>
      <c r="DJ225" s="188"/>
    </row>
    <row r="226" spans="2:114" ht="13.15">
      <c r="B226" s="114" t="s">
        <v>286</v>
      </c>
      <c r="H226" s="9">
        <f t="shared" ref="H226:O226" si="298">H16*(1*H46/100)</f>
        <v>58.152403490379868</v>
      </c>
      <c r="I226" s="9">
        <f t="shared" si="298"/>
        <v>63.968829592767982</v>
      </c>
      <c r="J226" s="9">
        <f t="shared" si="298"/>
        <v>79.366079983721391</v>
      </c>
      <c r="K226" s="9">
        <f t="shared" si="298"/>
        <v>93.429843958062293</v>
      </c>
      <c r="L226" s="9">
        <f t="shared" si="298"/>
        <v>106.43014482444198</v>
      </c>
      <c r="M226" s="9">
        <f t="shared" si="298"/>
        <v>107.08639049599468</v>
      </c>
      <c r="N226" s="9">
        <f t="shared" si="298"/>
        <v>91.872965615476929</v>
      </c>
      <c r="O226" s="9">
        <f t="shared" si="298"/>
        <v>73.353170411163632</v>
      </c>
      <c r="P226" s="9">
        <f t="shared" ref="P226:V226" si="299">P16*(1-(1*P46/100))</f>
        <v>299.0616424878466</v>
      </c>
      <c r="Q226" s="9">
        <f t="shared" si="299"/>
        <v>324.17353855851127</v>
      </c>
      <c r="R226" s="9">
        <f t="shared" si="299"/>
        <v>499.52657725821132</v>
      </c>
      <c r="S226" s="9">
        <f t="shared" si="299"/>
        <v>662.06481022151706</v>
      </c>
      <c r="T226" s="9">
        <f t="shared" si="299"/>
        <v>638.08887134917507</v>
      </c>
      <c r="U226" s="49">
        <f t="shared" si="299"/>
        <v>619.21055723334405</v>
      </c>
      <c r="V226" s="49">
        <f t="shared" si="299"/>
        <v>573.78476870062252</v>
      </c>
      <c r="W226" s="49">
        <f>W16*(1-(1*W46/100))</f>
        <v>601.95859835885028</v>
      </c>
      <c r="X226" s="49">
        <f>X16*(1-(1*X46/100))</f>
        <v>648.60270640929627</v>
      </c>
      <c r="Y226" s="63">
        <f>Y16*(1-(1*Y46/100))</f>
        <v>700.99670434426366</v>
      </c>
      <c r="AD226" s="449"/>
      <c r="AR226" s="7"/>
      <c r="AY226" s="114" t="s">
        <v>286</v>
      </c>
      <c r="BA226" s="49"/>
      <c r="BB226" s="49"/>
      <c r="BC226" s="49"/>
      <c r="BD226" s="63"/>
      <c r="BE226" s="119">
        <f t="shared" ref="BE226:CU226" si="300">BE16*(1*BE46/100)</f>
        <v>14.763464486862</v>
      </c>
      <c r="BF226" s="9">
        <f t="shared" si="300"/>
        <v>39.503710100706812</v>
      </c>
      <c r="BG226" s="9">
        <f t="shared" si="300"/>
        <v>34.997311860462993</v>
      </c>
      <c r="BH226" s="120">
        <f t="shared" si="300"/>
        <v>17.164329465964652</v>
      </c>
      <c r="BI226" s="119">
        <f t="shared" si="300"/>
        <v>15.815775210337748</v>
      </c>
      <c r="BJ226" s="9">
        <f t="shared" si="300"/>
        <v>35.429567515617499</v>
      </c>
      <c r="BK226" s="9">
        <f t="shared" si="300"/>
        <v>38.104119894509061</v>
      </c>
      <c r="BL226" s="120">
        <f t="shared" si="300"/>
        <v>17.73676707841874</v>
      </c>
      <c r="BM226" s="119">
        <f t="shared" si="300"/>
        <v>14.03776081274766</v>
      </c>
      <c r="BN226" s="9">
        <f t="shared" si="300"/>
        <v>37.329317640425685</v>
      </c>
      <c r="BO226" s="9">
        <f t="shared" si="300"/>
        <v>32.934129325998725</v>
      </c>
      <c r="BP226" s="120">
        <f t="shared" si="300"/>
        <v>17.754855819532839</v>
      </c>
      <c r="BQ226" s="119">
        <f t="shared" si="300"/>
        <v>11.111393895675635</v>
      </c>
      <c r="BR226" s="9">
        <f t="shared" si="300"/>
        <v>28.477199753995741</v>
      </c>
      <c r="BS226" s="9">
        <f t="shared" si="300"/>
        <v>24.57438439587629</v>
      </c>
      <c r="BT226" s="120">
        <f t="shared" si="300"/>
        <v>9.1923520305485322</v>
      </c>
      <c r="BU226" s="49">
        <f t="shared" si="300"/>
        <v>10.702643020089779</v>
      </c>
      <c r="BV226" s="49">
        <f t="shared" si="300"/>
        <v>25.508027750247766</v>
      </c>
      <c r="BW226" s="49">
        <f t="shared" si="300"/>
        <v>24.510468337571137</v>
      </c>
      <c r="BX226" s="63">
        <f t="shared" si="300"/>
        <v>7.1002384341637015</v>
      </c>
      <c r="BY226" s="62">
        <f t="shared" si="300"/>
        <v>8.3518335770364214</v>
      </c>
      <c r="BZ226" s="49">
        <f t="shared" si="300"/>
        <v>24.778253772312084</v>
      </c>
      <c r="CA226" s="49">
        <f t="shared" si="300"/>
        <v>30.48800193396437</v>
      </c>
      <c r="CB226" s="63">
        <f t="shared" si="300"/>
        <v>13.2370053799693</v>
      </c>
      <c r="CC226" s="62">
        <f t="shared" si="300"/>
        <v>15.681853971048511</v>
      </c>
      <c r="CD226" s="49">
        <f t="shared" si="300"/>
        <v>44.293536256269206</v>
      </c>
      <c r="CE226" s="49">
        <f t="shared" si="300"/>
        <v>41.77864761010369</v>
      </c>
      <c r="CF226" s="63">
        <f t="shared" si="300"/>
        <v>27.248918690515936</v>
      </c>
      <c r="CG226" s="62">
        <f t="shared" si="300"/>
        <v>35.717518514173761</v>
      </c>
      <c r="CH226" s="49">
        <f t="shared" si="300"/>
        <v>60.715744621259013</v>
      </c>
      <c r="CI226" s="49">
        <f t="shared" si="300"/>
        <v>49.701610891970994</v>
      </c>
      <c r="CJ226" s="63">
        <f t="shared" si="300"/>
        <v>27.021047565688459</v>
      </c>
      <c r="CK226" s="62">
        <f t="shared" si="300"/>
        <v>33.880481096725063</v>
      </c>
      <c r="CL226" s="49">
        <f t="shared" si="300"/>
        <v>57.627665313202947</v>
      </c>
      <c r="CM226" s="49">
        <f t="shared" si="300"/>
        <v>54.504428470480164</v>
      </c>
      <c r="CN226" s="63">
        <f t="shared" si="300"/>
        <v>10.905784345459226</v>
      </c>
      <c r="CO226" s="49">
        <f t="shared" si="300"/>
        <v>24.271226096258342</v>
      </c>
      <c r="CP226" s="49">
        <f t="shared" si="300"/>
        <v>58.004826882608249</v>
      </c>
      <c r="CQ226" s="49">
        <f t="shared" si="300"/>
        <v>53.913808773636291</v>
      </c>
      <c r="CR226" s="63">
        <f t="shared" si="300"/>
        <v>26.418762275981276</v>
      </c>
      <c r="CS226" s="49">
        <f t="shared" si="300"/>
        <v>22.002603800858807</v>
      </c>
      <c r="CT226" s="49">
        <f t="shared" si="300"/>
        <v>56.942197499617066</v>
      </c>
      <c r="CU226" s="49">
        <f t="shared" si="300"/>
        <v>48.493888467263467</v>
      </c>
      <c r="CV226" s="49"/>
      <c r="CW226" s="49"/>
      <c r="CX226" s="49"/>
      <c r="CY226" s="49"/>
      <c r="CZ226" s="49"/>
      <c r="DJ226" s="9"/>
    </row>
    <row r="227" spans="2:114" ht="13.15">
      <c r="B227" s="424" t="s">
        <v>287</v>
      </c>
      <c r="C227" s="387"/>
      <c r="D227" s="387"/>
      <c r="E227" s="387"/>
      <c r="F227" s="387"/>
      <c r="G227" s="387"/>
      <c r="H227" s="450">
        <f t="shared" ref="H227:Y227" si="301">H226/(H199+H208)</f>
        <v>5.6915682622671826E-2</v>
      </c>
      <c r="I227" s="450">
        <f t="shared" si="301"/>
        <v>4.7801215633807723E-2</v>
      </c>
      <c r="J227" s="450">
        <f t="shared" si="301"/>
        <v>5.8463032098225544E-2</v>
      </c>
      <c r="K227" s="450">
        <f t="shared" si="301"/>
        <v>6.5089444288666767E-2</v>
      </c>
      <c r="L227" s="450">
        <f t="shared" si="301"/>
        <v>7.3440365458607978E-2</v>
      </c>
      <c r="M227" s="450">
        <f t="shared" si="301"/>
        <v>7.200333940004025E-2</v>
      </c>
      <c r="N227" s="450">
        <f t="shared" si="301"/>
        <v>5.8405428545122366E-2</v>
      </c>
      <c r="O227" s="450">
        <f t="shared" si="301"/>
        <v>4.2225939255510651E-2</v>
      </c>
      <c r="P227" s="450">
        <f t="shared" si="301"/>
        <v>0.15416438603045465</v>
      </c>
      <c r="Q227" s="450">
        <f t="shared" si="301"/>
        <v>0.17508083084229356</v>
      </c>
      <c r="R227" s="450">
        <f t="shared" si="301"/>
        <v>0.23009944984431055</v>
      </c>
      <c r="S227" s="450">
        <f t="shared" si="301"/>
        <v>0.27640450896933216</v>
      </c>
      <c r="T227" s="450">
        <f t="shared" si="301"/>
        <v>0.23357347712421597</v>
      </c>
      <c r="U227" s="450">
        <f t="shared" si="301"/>
        <v>0.19505698900817919</v>
      </c>
      <c r="V227" s="450">
        <f t="shared" si="301"/>
        <v>0.17183228409458709</v>
      </c>
      <c r="W227" s="450">
        <f t="shared" si="301"/>
        <v>0.178813077949004</v>
      </c>
      <c r="X227" s="450">
        <f t="shared" si="301"/>
        <v>0.191673623055022</v>
      </c>
      <c r="Y227" s="451">
        <f t="shared" si="301"/>
        <v>0.20671156460826093</v>
      </c>
      <c r="AR227" s="7"/>
      <c r="AY227" s="424" t="s">
        <v>287</v>
      </c>
      <c r="AZ227" s="387"/>
      <c r="BA227" s="452"/>
      <c r="BB227" s="452"/>
      <c r="BC227" s="452"/>
      <c r="BD227" s="453"/>
      <c r="BE227" s="454">
        <f t="shared" ref="BE227:CU227" si="302">(BE226*4)/(BE199+BE208)</f>
        <v>4.0308149800996548E-2</v>
      </c>
      <c r="BF227" s="450">
        <f t="shared" si="302"/>
        <v>9.7293188517297E-2</v>
      </c>
      <c r="BG227" s="450">
        <f t="shared" si="302"/>
        <v>9.170566472837445E-2</v>
      </c>
      <c r="BH227" s="451">
        <f t="shared" si="302"/>
        <v>4.7381865317244261E-2</v>
      </c>
      <c r="BI227" s="454">
        <f t="shared" si="302"/>
        <v>4.3372362095092973E-2</v>
      </c>
      <c r="BJ227" s="450">
        <f t="shared" si="302"/>
        <v>9.1989727339476857E-2</v>
      </c>
      <c r="BK227" s="450">
        <f t="shared" si="302"/>
        <v>9.9897150865115567E-2</v>
      </c>
      <c r="BL227" s="451">
        <f t="shared" si="302"/>
        <v>4.771019803991746E-2</v>
      </c>
      <c r="BM227" s="454">
        <f t="shared" si="302"/>
        <v>3.7722784172573416E-2</v>
      </c>
      <c r="BN227" s="450">
        <f t="shared" si="302"/>
        <v>8.9968590290603348E-2</v>
      </c>
      <c r="BO227" s="450">
        <f t="shared" si="302"/>
        <v>8.1483061419462613E-2</v>
      </c>
      <c r="BP227" s="451">
        <f t="shared" si="302"/>
        <v>4.5155430984895738E-2</v>
      </c>
      <c r="BQ227" s="454">
        <f t="shared" si="302"/>
        <v>2.7090620033269338E-2</v>
      </c>
      <c r="BR227" s="450">
        <f t="shared" si="302"/>
        <v>6.532988701267782E-2</v>
      </c>
      <c r="BS227" s="450">
        <f t="shared" si="302"/>
        <v>5.91957710297824E-2</v>
      </c>
      <c r="BT227" s="451">
        <f t="shared" si="302"/>
        <v>2.1169401186008813E-2</v>
      </c>
      <c r="BU227" s="450">
        <f t="shared" si="302"/>
        <v>2.4649747419963734E-2</v>
      </c>
      <c r="BV227" s="450">
        <f t="shared" si="302"/>
        <v>5.5064329976001171E-2</v>
      </c>
      <c r="BW227" s="450">
        <f t="shared" si="302"/>
        <v>5.1001795406952918E-2</v>
      </c>
      <c r="BX227" s="451">
        <f t="shared" si="302"/>
        <v>1.5183883883893599E-2</v>
      </c>
      <c r="BY227" s="454">
        <f t="shared" si="302"/>
        <v>1.8165746330343721E-2</v>
      </c>
      <c r="BZ227" s="450">
        <f t="shared" si="302"/>
        <v>5.6013807251478205E-2</v>
      </c>
      <c r="CA227" s="450">
        <f t="shared" si="302"/>
        <v>6.7354249204883615E-2</v>
      </c>
      <c r="CB227" s="451">
        <f t="shared" si="302"/>
        <v>2.9750074037961951E-2</v>
      </c>
      <c r="CC227" s="454">
        <f t="shared" si="302"/>
        <v>3.398520793388949E-2</v>
      </c>
      <c r="CD227" s="450">
        <f t="shared" si="302"/>
        <v>8.6347856718193866E-2</v>
      </c>
      <c r="CE227" s="450">
        <f t="shared" si="302"/>
        <v>8.232549992754154E-2</v>
      </c>
      <c r="CF227" s="451">
        <f t="shared" si="302"/>
        <v>5.2240649517025013E-2</v>
      </c>
      <c r="CG227" s="454">
        <f t="shared" si="302"/>
        <v>6.0971816097411063E-2</v>
      </c>
      <c r="CH227" s="450">
        <f t="shared" si="302"/>
        <v>0.10021683746223183</v>
      </c>
      <c r="CI227" s="450">
        <f t="shared" si="302"/>
        <v>8.5509876357880779E-2</v>
      </c>
      <c r="CJ227" s="451">
        <f t="shared" si="302"/>
        <v>4.8074210690472366E-2</v>
      </c>
      <c r="CK227" s="454">
        <f t="shared" si="302"/>
        <v>5.408120301309282E-2</v>
      </c>
      <c r="CL227" s="450">
        <f t="shared" si="302"/>
        <v>8.247398388264969E-2</v>
      </c>
      <c r="CM227" s="450">
        <f t="shared" si="302"/>
        <v>7.8668075077135594E-2</v>
      </c>
      <c r="CN227" s="451">
        <f t="shared" si="302"/>
        <v>1.6576722582863176E-2</v>
      </c>
      <c r="CO227" s="455">
        <f t="shared" si="302"/>
        <v>3.3162248861098718E-2</v>
      </c>
      <c r="CP227" s="455">
        <f t="shared" si="302"/>
        <v>7.6217091420191577E-2</v>
      </c>
      <c r="CQ227" s="455">
        <f t="shared" si="302"/>
        <v>6.8204944191127714E-2</v>
      </c>
      <c r="CR227" s="451">
        <f t="shared" si="302"/>
        <v>3.448656700423567E-2</v>
      </c>
      <c r="CS227" s="455">
        <f t="shared" si="302"/>
        <v>2.8502074317953284E-2</v>
      </c>
      <c r="CT227" s="455">
        <f t="shared" si="302"/>
        <v>7.0695712576798464E-2</v>
      </c>
      <c r="CU227" s="455">
        <f t="shared" si="302"/>
        <v>5.8751504597295175E-2</v>
      </c>
      <c r="CV227" s="456"/>
      <c r="CW227" s="456"/>
      <c r="CX227" s="456"/>
      <c r="CY227" s="456"/>
      <c r="CZ227" s="456"/>
      <c r="DJ227" s="456"/>
    </row>
    <row r="228" spans="2:114">
      <c r="AC228" s="7"/>
      <c r="AD228" s="7"/>
      <c r="AR228" s="7"/>
    </row>
    <row r="229" spans="2:114" ht="13.15">
      <c r="B229" s="457" t="s">
        <v>288</v>
      </c>
      <c r="C229" s="60"/>
      <c r="D229" s="60"/>
      <c r="E229" s="60"/>
      <c r="F229" s="60"/>
      <c r="G229" s="60"/>
      <c r="H229" s="282"/>
      <c r="I229" s="282"/>
      <c r="J229" s="282"/>
      <c r="K229" s="282"/>
      <c r="L229" s="282"/>
      <c r="M229" s="282"/>
      <c r="N229" s="282"/>
      <c r="O229" s="282"/>
      <c r="P229" s="282"/>
      <c r="Q229" s="282"/>
      <c r="R229" s="282"/>
      <c r="S229" s="282"/>
      <c r="T229" s="282"/>
      <c r="U229" s="282"/>
      <c r="V229" s="282"/>
      <c r="W229" s="282"/>
      <c r="X229" s="282"/>
      <c r="Y229" s="283"/>
      <c r="AC229" s="7"/>
      <c r="AD229" s="7"/>
      <c r="AR229" s="7"/>
    </row>
    <row r="230" spans="2:114" ht="13.15">
      <c r="B230" s="131" t="s">
        <v>179</v>
      </c>
      <c r="C230" s="429"/>
      <c r="D230" s="429"/>
      <c r="E230" s="429"/>
      <c r="F230" s="429"/>
      <c r="G230" s="429"/>
      <c r="H230" s="53"/>
      <c r="I230" s="53"/>
      <c r="J230" s="53"/>
      <c r="K230" s="53"/>
      <c r="L230" s="53"/>
      <c r="M230" s="53"/>
      <c r="N230" s="53"/>
      <c r="O230" s="53"/>
      <c r="P230" s="53">
        <f t="shared" ref="P230:Y230" si="303">O237</f>
        <v>222.76500000000001</v>
      </c>
      <c r="Q230" s="53">
        <f t="shared" si="303"/>
        <v>240.57000000000002</v>
      </c>
      <c r="R230" s="53">
        <f t="shared" si="303"/>
        <v>257.00600000000003</v>
      </c>
      <c r="S230" s="53">
        <f t="shared" si="303"/>
        <v>321.28500000000003</v>
      </c>
      <c r="T230" s="53">
        <f t="shared" si="303"/>
        <v>367.37300000000005</v>
      </c>
      <c r="U230" s="53">
        <f t="shared" si="303"/>
        <v>413.26900000000001</v>
      </c>
      <c r="V230" s="53">
        <f t="shared" si="303"/>
        <v>458.39599999999996</v>
      </c>
      <c r="W230" s="53">
        <f t="shared" si="303"/>
        <v>497.625</v>
      </c>
      <c r="X230" s="53">
        <f t="shared" si="303"/>
        <v>532.625</v>
      </c>
      <c r="Y230" s="64">
        <f t="shared" si="303"/>
        <v>567.625</v>
      </c>
      <c r="AC230" s="7"/>
      <c r="AD230" s="7"/>
      <c r="AR230" s="7"/>
      <c r="AY230" s="6" t="s">
        <v>289</v>
      </c>
      <c r="CG230" s="231">
        <f>CG166/SUM(CD6:CG6)</f>
        <v>0.208514131828274</v>
      </c>
      <c r="CH230" s="231">
        <f>CH166/SUM(CE6:CH6)</f>
        <v>0.21297041511364245</v>
      </c>
      <c r="CI230" s="231">
        <f>CI166/SUM(CF6:CI6)</f>
        <v>0.19225450264580665</v>
      </c>
      <c r="CJ230" s="231">
        <f>CJ166/SUM(CG6:CJ6)</f>
        <v>0.18835691575762709</v>
      </c>
      <c r="CK230" s="231">
        <f>$CK$166/SUM($CH$6:$CK$6)</f>
        <v>0.22109330862579377</v>
      </c>
      <c r="CL230" s="231">
        <f t="shared" ref="CL230:CU230" si="304">CL166/SUM(CI6:CL6)</f>
        <v>0.23558350430582936</v>
      </c>
      <c r="CM230" s="231">
        <f t="shared" si="304"/>
        <v>0.21341010408861835</v>
      </c>
      <c r="CN230" s="231">
        <f t="shared" si="304"/>
        <v>0.18497145776354459</v>
      </c>
      <c r="CO230" s="231">
        <f t="shared" si="304"/>
        <v>0.22685783195857231</v>
      </c>
      <c r="CP230" s="231">
        <f t="shared" si="304"/>
        <v>0.21165181513246401</v>
      </c>
      <c r="CQ230" s="231">
        <f t="shared" si="304"/>
        <v>0.21383098504034523</v>
      </c>
      <c r="CR230" s="231">
        <f t="shared" si="304"/>
        <v>0.18185591384553834</v>
      </c>
      <c r="CS230" s="231">
        <f t="shared" si="304"/>
        <v>0.23417636067238964</v>
      </c>
      <c r="CT230" s="231">
        <f t="shared" si="304"/>
        <v>0.26011791367755505</v>
      </c>
      <c r="CU230" s="231">
        <f t="shared" si="304"/>
        <v>0.21603440288246201</v>
      </c>
    </row>
    <row r="231" spans="2:114">
      <c r="B231" s="458" t="s">
        <v>290</v>
      </c>
      <c r="C231" s="429"/>
      <c r="D231" s="429"/>
      <c r="E231" s="429"/>
      <c r="F231" s="429"/>
      <c r="G231" s="429"/>
      <c r="H231" s="53"/>
      <c r="I231" s="53">
        <v>1.131</v>
      </c>
      <c r="J231" s="53">
        <v>1.131</v>
      </c>
      <c r="K231" s="53">
        <v>0.85299999999999998</v>
      </c>
      <c r="L231" s="53">
        <v>0.82</v>
      </c>
      <c r="M231" s="53">
        <v>0.82</v>
      </c>
      <c r="N231" s="53">
        <v>0.82</v>
      </c>
      <c r="O231" s="53">
        <v>0.82</v>
      </c>
      <c r="P231" s="53"/>
      <c r="Q231" s="53"/>
      <c r="R231" s="53"/>
      <c r="S231" s="53"/>
      <c r="T231" s="53"/>
      <c r="U231" s="53"/>
      <c r="V231" s="53"/>
      <c r="W231" s="53"/>
      <c r="X231" s="53"/>
      <c r="Y231" s="64"/>
      <c r="AC231" s="7"/>
      <c r="AD231" s="7"/>
      <c r="AR231" s="7"/>
      <c r="AY231" s="6" t="s">
        <v>291</v>
      </c>
      <c r="CK231" s="231">
        <f>CK$166/SUM(CL$6:CO$6)</f>
        <v>0.22119322011417467</v>
      </c>
      <c r="CL231" s="231">
        <f>CL$166/SUM(CM$6:CP$6)</f>
        <v>0.22722988566199573</v>
      </c>
      <c r="CM231" s="231">
        <f>CM$166/SUM(CN$6:CQ$6)</f>
        <v>0.20752985717407793</v>
      </c>
      <c r="CN231" s="231">
        <f>CN$166/SUM(CO$6:CR$6)</f>
        <v>0.17684863992926525</v>
      </c>
      <c r="CO231" s="231">
        <f t="shared" ref="CO231:CU231" si="305">CO$166/SUM(CP$6:DA$6)</f>
        <v>8.0353862465080056E-2</v>
      </c>
      <c r="CP231" s="231">
        <f t="shared" si="305"/>
        <v>8.5187115945742575E-2</v>
      </c>
      <c r="CQ231" s="231">
        <f t="shared" si="305"/>
        <v>9.786933019980476E-2</v>
      </c>
      <c r="CR231" s="231">
        <f t="shared" si="305"/>
        <v>9.5118878307389118E-2</v>
      </c>
      <c r="CS231" s="231">
        <f t="shared" si="305"/>
        <v>0.13623135237487941</v>
      </c>
      <c r="CT231" s="231">
        <f t="shared" si="305"/>
        <v>0.17785263371952537</v>
      </c>
      <c r="CU231" s="231">
        <f t="shared" si="305"/>
        <v>0.179726116486711</v>
      </c>
    </row>
    <row r="232" spans="2:114">
      <c r="B232" s="458" t="s">
        <v>292</v>
      </c>
      <c r="C232" s="429"/>
      <c r="D232" s="429"/>
      <c r="E232" s="429"/>
      <c r="F232" s="429"/>
      <c r="G232" s="429"/>
      <c r="H232" s="53"/>
      <c r="I232" s="53">
        <v>48.457000000000001</v>
      </c>
      <c r="J232" s="53">
        <v>49.942</v>
      </c>
      <c r="K232" s="53">
        <v>58.914999999999999</v>
      </c>
      <c r="L232" s="53">
        <v>69.674999999999997</v>
      </c>
      <c r="M232" s="53">
        <v>71.081999999999994</v>
      </c>
      <c r="N232" s="53">
        <v>74.486000000000004</v>
      </c>
      <c r="O232" s="53">
        <v>75.308000000000007</v>
      </c>
      <c r="P232" s="53"/>
      <c r="Q232" s="53"/>
      <c r="R232" s="53"/>
      <c r="S232" s="53"/>
      <c r="T232" s="53"/>
      <c r="U232" s="53"/>
      <c r="V232" s="53"/>
      <c r="W232" s="53"/>
      <c r="X232" s="53"/>
      <c r="Y232" s="64"/>
      <c r="AC232" s="7"/>
      <c r="AD232" s="7"/>
      <c r="AR232" s="7"/>
    </row>
    <row r="233" spans="2:114">
      <c r="B233" s="458" t="s">
        <v>293</v>
      </c>
      <c r="C233" s="429"/>
      <c r="D233" s="429"/>
      <c r="E233" s="429"/>
      <c r="F233" s="429"/>
      <c r="G233" s="429"/>
      <c r="H233" s="53"/>
      <c r="I233" s="53">
        <v>57.13</v>
      </c>
      <c r="J233" s="53">
        <v>64.012</v>
      </c>
      <c r="K233" s="53">
        <v>43.124000000000002</v>
      </c>
      <c r="L233" s="53">
        <v>43.15</v>
      </c>
      <c r="M233" s="53">
        <v>74.64</v>
      </c>
      <c r="N233" s="53">
        <v>76.117000000000004</v>
      </c>
      <c r="O233" s="53">
        <v>79.001999999999995</v>
      </c>
      <c r="P233" s="53"/>
      <c r="Q233" s="53"/>
      <c r="R233" s="53"/>
      <c r="S233" s="53"/>
      <c r="T233" s="53"/>
      <c r="U233" s="53"/>
      <c r="V233" s="53"/>
      <c r="W233" s="53"/>
      <c r="X233" s="53"/>
      <c r="Y233" s="64"/>
      <c r="AC233" s="7"/>
      <c r="AD233" s="7"/>
      <c r="AR233" s="7"/>
    </row>
    <row r="234" spans="2:114">
      <c r="B234" s="458" t="s">
        <v>294</v>
      </c>
      <c r="C234" s="429"/>
      <c r="D234" s="429"/>
      <c r="E234" s="429"/>
      <c r="F234" s="429"/>
      <c r="G234" s="429"/>
      <c r="H234" s="53"/>
      <c r="I234" s="53">
        <v>18.251000000000001</v>
      </c>
      <c r="J234" s="53">
        <v>20.523</v>
      </c>
      <c r="K234" s="53">
        <v>14.000999999999999</v>
      </c>
      <c r="L234" s="53">
        <v>14.311</v>
      </c>
      <c r="M234" s="53">
        <v>15.09</v>
      </c>
      <c r="N234" s="53">
        <v>15.282</v>
      </c>
      <c r="O234" s="53">
        <v>16.782</v>
      </c>
      <c r="P234" s="53"/>
      <c r="Q234" s="53"/>
      <c r="R234" s="53"/>
      <c r="S234" s="53"/>
      <c r="T234" s="53"/>
      <c r="U234" s="53"/>
      <c r="V234" s="53"/>
      <c r="W234" s="53"/>
      <c r="X234" s="53"/>
      <c r="Y234" s="64"/>
      <c r="AC234" s="7"/>
      <c r="AD234" s="7"/>
      <c r="AR234" s="7"/>
    </row>
    <row r="235" spans="2:114">
      <c r="B235" s="458" t="s">
        <v>295</v>
      </c>
      <c r="C235" s="429"/>
      <c r="D235" s="429"/>
      <c r="E235" s="429"/>
      <c r="F235" s="429"/>
      <c r="G235" s="429"/>
      <c r="H235" s="53"/>
      <c r="I235" s="53"/>
      <c r="J235" s="53"/>
      <c r="K235" s="53">
        <v>33.314</v>
      </c>
      <c r="L235" s="53">
        <v>38.875999999999998</v>
      </c>
      <c r="M235" s="53">
        <v>42.515000000000001</v>
      </c>
      <c r="N235" s="53">
        <v>47.377000000000002</v>
      </c>
      <c r="O235" s="53">
        <v>50.853000000000002</v>
      </c>
      <c r="P235" s="53"/>
      <c r="Q235" s="53"/>
      <c r="R235" s="53"/>
      <c r="S235" s="53"/>
      <c r="T235" s="53"/>
      <c r="U235" s="53"/>
      <c r="V235" s="53"/>
      <c r="W235" s="53"/>
      <c r="X235" s="53"/>
      <c r="Y235" s="64"/>
      <c r="AC235" s="7"/>
      <c r="AD235" s="7"/>
      <c r="AR235" s="7"/>
    </row>
    <row r="236" spans="2:114" ht="13.15">
      <c r="B236" s="230" t="s">
        <v>296</v>
      </c>
      <c r="C236" s="429"/>
      <c r="D236" s="429"/>
      <c r="E236" s="429"/>
      <c r="F236" s="429"/>
      <c r="G236" s="429"/>
      <c r="H236" s="53"/>
      <c r="I236" s="53"/>
      <c r="J236" s="53"/>
      <c r="K236" s="53"/>
      <c r="L236" s="53"/>
      <c r="M236" s="53"/>
      <c r="N236" s="53"/>
      <c r="O236" s="53"/>
      <c r="P236" s="53">
        <f t="shared" ref="P236:V236" si="306">-P129</f>
        <v>17.805</v>
      </c>
      <c r="Q236" s="53">
        <f t="shared" si="306"/>
        <v>16.436</v>
      </c>
      <c r="R236" s="103">
        <f t="shared" si="306"/>
        <v>25.463999999999999</v>
      </c>
      <c r="S236" s="103">
        <f>-S129</f>
        <v>35.652000000000001</v>
      </c>
      <c r="T236" s="103">
        <f>-T129</f>
        <v>35.478000000000002</v>
      </c>
      <c r="U236" s="53">
        <f t="shared" si="306"/>
        <v>30.09</v>
      </c>
      <c r="V236" s="53">
        <f t="shared" si="306"/>
        <v>34.093000000000004</v>
      </c>
      <c r="W236" s="53">
        <f>-W129</f>
        <v>35</v>
      </c>
      <c r="X236" s="53">
        <f>-X129</f>
        <v>35</v>
      </c>
      <c r="Y236" s="64">
        <f>-Y129</f>
        <v>35</v>
      </c>
      <c r="AC236" s="7"/>
      <c r="AD236" s="7"/>
      <c r="AR236" s="7"/>
    </row>
    <row r="237" spans="2:114">
      <c r="B237" s="48" t="s">
        <v>297</v>
      </c>
      <c r="C237" s="429"/>
      <c r="D237" s="429"/>
      <c r="E237" s="429"/>
      <c r="F237" s="429"/>
      <c r="G237" s="429"/>
      <c r="H237" s="54"/>
      <c r="I237" s="54">
        <f>SUM(I231:I235)</f>
        <v>124.96900000000001</v>
      </c>
      <c r="J237" s="54">
        <f>SUM(J231:J235)</f>
        <v>135.608</v>
      </c>
      <c r="K237" s="54">
        <f>SUM(K231:K235)</f>
        <v>150.20699999999999</v>
      </c>
      <c r="L237" s="54">
        <f>SUM(L231:L235)</f>
        <v>166.83199999999999</v>
      </c>
      <c r="M237" s="54">
        <f>SUM(M231:M235)</f>
        <v>204.14699999999999</v>
      </c>
      <c r="N237" s="54">
        <f t="shared" ref="N237:Y237" si="307">SUM(N230:N236)</f>
        <v>214.08200000000002</v>
      </c>
      <c r="O237" s="54">
        <f t="shared" si="307"/>
        <v>222.76500000000001</v>
      </c>
      <c r="P237" s="54">
        <f t="shared" si="307"/>
        <v>240.57000000000002</v>
      </c>
      <c r="Q237" s="54">
        <f t="shared" si="307"/>
        <v>257.00600000000003</v>
      </c>
      <c r="R237" s="54">
        <f>+R239-R238</f>
        <v>321.28500000000003</v>
      </c>
      <c r="S237" s="54">
        <f>+S239-S238</f>
        <v>367.37300000000005</v>
      </c>
      <c r="T237" s="54">
        <f>+T239-T238</f>
        <v>413.26900000000001</v>
      </c>
      <c r="U237" s="54">
        <f>+U239-U238</f>
        <v>458.39599999999996</v>
      </c>
      <c r="V237" s="54">
        <f>+V239-V238</f>
        <v>497.625</v>
      </c>
      <c r="W237" s="54">
        <f t="shared" si="307"/>
        <v>532.625</v>
      </c>
      <c r="X237" s="54">
        <f t="shared" si="307"/>
        <v>567.625</v>
      </c>
      <c r="Y237" s="55">
        <f t="shared" si="307"/>
        <v>602.625</v>
      </c>
      <c r="AC237" s="7"/>
      <c r="AD237" s="7"/>
      <c r="AR237" s="7"/>
    </row>
    <row r="238" spans="2:114">
      <c r="B238" s="48" t="s">
        <v>298</v>
      </c>
      <c r="C238" s="429"/>
      <c r="D238" s="429"/>
      <c r="E238" s="429"/>
      <c r="F238" s="429"/>
      <c r="G238" s="429"/>
      <c r="H238" s="53"/>
      <c r="I238" s="53">
        <v>-82.126999999999995</v>
      </c>
      <c r="J238" s="53">
        <v>-90.19</v>
      </c>
      <c r="K238" s="53">
        <v>6.7270000000000003</v>
      </c>
      <c r="L238" s="53">
        <v>-104.117</v>
      </c>
      <c r="M238" s="53">
        <v>-109.381</v>
      </c>
      <c r="N238" s="53">
        <v>-122.861</v>
      </c>
      <c r="O238" s="53">
        <v>-131.71899999999999</v>
      </c>
      <c r="P238" s="53">
        <f t="shared" ref="P238:Y238" si="308">O238-P241</f>
        <v>-156.23099999999999</v>
      </c>
      <c r="Q238" s="53">
        <f t="shared" si="308"/>
        <v>-182.13900000000001</v>
      </c>
      <c r="R238" s="53">
        <f t="shared" si="308"/>
        <v>-210.26600000000002</v>
      </c>
      <c r="S238" s="53">
        <f t="shared" si="308"/>
        <v>-241.94900000000001</v>
      </c>
      <c r="T238" s="53">
        <f t="shared" si="308"/>
        <v>-277.03899999999999</v>
      </c>
      <c r="U238" s="53">
        <f t="shared" si="308"/>
        <v>-317.86099999999999</v>
      </c>
      <c r="V238" s="53">
        <f t="shared" si="308"/>
        <v>-361.613</v>
      </c>
      <c r="W238" s="53">
        <f t="shared" si="308"/>
        <v>-409.54925000000003</v>
      </c>
      <c r="X238" s="53">
        <f t="shared" si="308"/>
        <v>-460.63550000000004</v>
      </c>
      <c r="Y238" s="64">
        <f t="shared" si="308"/>
        <v>-514.87175000000002</v>
      </c>
      <c r="AC238" s="7"/>
      <c r="AD238" s="7"/>
      <c r="AR238" s="7"/>
    </row>
    <row r="239" spans="2:114" s="402" customFormat="1" ht="13.15">
      <c r="B239" s="401" t="s">
        <v>243</v>
      </c>
      <c r="H239" s="403"/>
      <c r="I239" s="403">
        <f>I170</f>
        <v>42.841999999999999</v>
      </c>
      <c r="J239" s="403">
        <f>J170</f>
        <v>45.417999999999999</v>
      </c>
      <c r="K239" s="403">
        <f>K170</f>
        <v>53.48</v>
      </c>
      <c r="L239" s="403">
        <f>L170</f>
        <v>62.715000000000003</v>
      </c>
      <c r="M239" s="403">
        <f t="shared" ref="M239:Y239" si="309">M237+M238</f>
        <v>94.765999999999991</v>
      </c>
      <c r="N239" s="403">
        <f t="shared" si="309"/>
        <v>91.221000000000018</v>
      </c>
      <c r="O239" s="403">
        <f t="shared" si="309"/>
        <v>91.046000000000021</v>
      </c>
      <c r="P239" s="403">
        <f t="shared" si="309"/>
        <v>84.339000000000027</v>
      </c>
      <c r="Q239" s="403">
        <f t="shared" si="309"/>
        <v>74.867000000000019</v>
      </c>
      <c r="R239" s="403">
        <f>+R170</f>
        <v>111.01900000000001</v>
      </c>
      <c r="S239" s="403">
        <f t="shared" ref="S239:V239" si="310">+S170</f>
        <v>125.42400000000001</v>
      </c>
      <c r="T239" s="403">
        <f t="shared" si="310"/>
        <v>136.22999999999999</v>
      </c>
      <c r="U239" s="403">
        <f t="shared" si="310"/>
        <v>140.535</v>
      </c>
      <c r="V239" s="403">
        <f t="shared" si="310"/>
        <v>136.012</v>
      </c>
      <c r="W239" s="403">
        <f t="shared" si="309"/>
        <v>123.07574999999997</v>
      </c>
      <c r="X239" s="403">
        <f t="shared" si="309"/>
        <v>106.98949999999996</v>
      </c>
      <c r="Y239" s="404">
        <f t="shared" si="309"/>
        <v>87.75324999999998</v>
      </c>
      <c r="AC239" s="81"/>
      <c r="AD239" s="81"/>
      <c r="AE239" s="81"/>
      <c r="AF239" s="81"/>
      <c r="AG239" s="81"/>
      <c r="AH239" s="81"/>
      <c r="AI239" s="81"/>
      <c r="AJ239" s="81"/>
      <c r="AK239" s="81"/>
      <c r="AL239" s="81"/>
      <c r="AM239" s="81"/>
      <c r="AN239" s="81"/>
      <c r="AO239" s="81"/>
      <c r="AP239" s="81"/>
      <c r="AQ239" s="81"/>
      <c r="AS239" s="81"/>
      <c r="AT239" s="81"/>
      <c r="AU239" s="81"/>
      <c r="AV239" s="81"/>
      <c r="AW239" s="81"/>
      <c r="AY239" s="459"/>
      <c r="BA239" s="81"/>
      <c r="BB239" s="81"/>
      <c r="BC239" s="81"/>
      <c r="BD239" s="81"/>
      <c r="BE239" s="81"/>
      <c r="BF239" s="81"/>
      <c r="BG239" s="81"/>
      <c r="BH239" s="81"/>
      <c r="BI239" s="81"/>
      <c r="BJ239" s="81"/>
      <c r="BK239" s="81"/>
      <c r="BL239" s="81"/>
      <c r="BM239" s="81"/>
      <c r="BN239" s="81"/>
      <c r="BO239" s="81"/>
      <c r="BP239" s="81"/>
      <c r="BQ239" s="81"/>
      <c r="BR239" s="81"/>
      <c r="BS239" s="81"/>
      <c r="BT239" s="81"/>
      <c r="BU239" s="81"/>
      <c r="BV239" s="81"/>
      <c r="BW239" s="81"/>
      <c r="BX239" s="81"/>
      <c r="BY239" s="81"/>
      <c r="BZ239" s="81"/>
      <c r="CA239" s="81"/>
      <c r="CB239" s="81"/>
      <c r="CC239" s="81"/>
      <c r="CD239" s="81"/>
      <c r="CE239" s="81"/>
      <c r="CF239" s="81"/>
      <c r="CG239" s="81"/>
      <c r="CH239" s="81"/>
      <c r="CI239" s="81"/>
      <c r="CJ239" s="81"/>
      <c r="CK239" s="81"/>
      <c r="CL239" s="81"/>
      <c r="CM239" s="81"/>
      <c r="CN239" s="81"/>
      <c r="CO239" s="81"/>
      <c r="CP239" s="81"/>
      <c r="CQ239" s="81"/>
      <c r="CR239" s="81"/>
      <c r="CS239" s="81"/>
      <c r="CT239" s="81"/>
      <c r="CU239" s="81"/>
      <c r="CV239" s="81"/>
      <c r="CW239" s="81"/>
      <c r="CX239" s="81"/>
      <c r="CY239" s="81"/>
      <c r="CZ239" s="81"/>
    </row>
    <row r="240" spans="2:114">
      <c r="B240" s="355"/>
      <c r="Y240" s="120"/>
      <c r="AR240" s="7"/>
    </row>
    <row r="241" spans="2:44">
      <c r="B241" s="355" t="s">
        <v>191</v>
      </c>
      <c r="I241" s="9">
        <f t="shared" ref="I241:V241" si="311">I111</f>
        <v>15.911</v>
      </c>
      <c r="J241" s="9">
        <f t="shared" si="311"/>
        <v>17.706</v>
      </c>
      <c r="K241" s="9">
        <f t="shared" si="311"/>
        <v>17.927</v>
      </c>
      <c r="L241" s="9">
        <f t="shared" si="311"/>
        <v>19.117000000000001</v>
      </c>
      <c r="M241" s="9">
        <f t="shared" si="311"/>
        <v>20.065999999999999</v>
      </c>
      <c r="N241" s="9">
        <f t="shared" si="311"/>
        <v>22.033000000000001</v>
      </c>
      <c r="O241" s="9">
        <f t="shared" si="311"/>
        <v>22.094999999999999</v>
      </c>
      <c r="P241" s="9">
        <f t="shared" si="311"/>
        <v>24.512</v>
      </c>
      <c r="Q241" s="9">
        <f t="shared" si="311"/>
        <v>25.908000000000001</v>
      </c>
      <c r="R241" s="9">
        <f t="shared" si="311"/>
        <v>28.126999999999999</v>
      </c>
      <c r="S241" s="9">
        <f t="shared" si="311"/>
        <v>31.683</v>
      </c>
      <c r="T241" s="9">
        <f t="shared" si="311"/>
        <v>35.090000000000003</v>
      </c>
      <c r="U241" s="9">
        <f t="shared" si="311"/>
        <v>40.822000000000003</v>
      </c>
      <c r="V241" s="9">
        <f t="shared" si="311"/>
        <v>43.752000000000002</v>
      </c>
      <c r="W241" s="9">
        <f>W237*W242</f>
        <v>47.936250000000001</v>
      </c>
      <c r="X241" s="9">
        <f>X237*X242</f>
        <v>51.08625</v>
      </c>
      <c r="Y241" s="120">
        <f>Y237*Y242</f>
        <v>54.236249999999998</v>
      </c>
      <c r="AR241" s="7"/>
    </row>
    <row r="242" spans="2:44">
      <c r="B242" s="460" t="s">
        <v>299</v>
      </c>
      <c r="C242" s="258"/>
      <c r="D242" s="258"/>
      <c r="E242" s="258"/>
      <c r="F242" s="258"/>
      <c r="G242" s="258"/>
      <c r="H242" s="461"/>
      <c r="I242" s="461">
        <f t="shared" ref="I242:V242" si="312">I241/I237</f>
        <v>0.12731957525466314</v>
      </c>
      <c r="J242" s="461">
        <f t="shared" si="312"/>
        <v>0.13056751814052267</v>
      </c>
      <c r="K242" s="461">
        <f t="shared" si="312"/>
        <v>0.11934863222086854</v>
      </c>
      <c r="L242" s="461">
        <f t="shared" si="312"/>
        <v>0.11458832837824878</v>
      </c>
      <c r="M242" s="461">
        <f t="shared" si="312"/>
        <v>9.8291917098953199E-2</v>
      </c>
      <c r="N242" s="461">
        <f t="shared" si="312"/>
        <v>0.10291850786147363</v>
      </c>
      <c r="O242" s="461">
        <f t="shared" si="312"/>
        <v>9.9185240051174989E-2</v>
      </c>
      <c r="P242" s="461">
        <f t="shared" si="312"/>
        <v>0.10189134139751423</v>
      </c>
      <c r="Q242" s="461">
        <f t="shared" si="312"/>
        <v>0.10080698505093266</v>
      </c>
      <c r="R242" s="461">
        <f t="shared" si="312"/>
        <v>8.7545325801080029E-2</v>
      </c>
      <c r="S242" s="461">
        <f t="shared" si="312"/>
        <v>8.624204827246422E-2</v>
      </c>
      <c r="T242" s="461">
        <f t="shared" si="312"/>
        <v>8.4908376868335161E-2</v>
      </c>
      <c r="U242" s="461">
        <f t="shared" si="312"/>
        <v>8.9054005706856093E-2</v>
      </c>
      <c r="V242" s="461">
        <f t="shared" si="312"/>
        <v>8.7921627731725696E-2</v>
      </c>
      <c r="W242" s="462">
        <v>0.09</v>
      </c>
      <c r="X242" s="462">
        <v>0.09</v>
      </c>
      <c r="Y242" s="463">
        <v>0.09</v>
      </c>
      <c r="AR242" s="7"/>
    </row>
    <row r="245" spans="2:44">
      <c r="B245" s="6" t="s">
        <v>300</v>
      </c>
    </row>
    <row r="246" spans="2:44">
      <c r="B246" s="300" t="s">
        <v>301</v>
      </c>
      <c r="J246" s="9">
        <f t="shared" ref="J246:Y246" si="313">J14</f>
        <v>628.04399999999998</v>
      </c>
      <c r="K246" s="9">
        <f t="shared" si="313"/>
        <v>650.65499999999997</v>
      </c>
      <c r="L246" s="9">
        <f t="shared" si="313"/>
        <v>670.60900000000004</v>
      </c>
      <c r="M246" s="9">
        <f t="shared" si="313"/>
        <v>688.952</v>
      </c>
      <c r="N246" s="9">
        <f t="shared" si="313"/>
        <v>715.67100000000005</v>
      </c>
      <c r="O246" s="9">
        <f t="shared" si="313"/>
        <v>757.452</v>
      </c>
      <c r="P246" s="9">
        <f t="shared" si="313"/>
        <v>800.32799999999997</v>
      </c>
      <c r="Q246" s="53">
        <f t="shared" si="313"/>
        <v>833.05099999999993</v>
      </c>
      <c r="R246" s="53">
        <f t="shared" si="313"/>
        <v>1058.316</v>
      </c>
      <c r="S246" s="53">
        <f t="shared" si="313"/>
        <v>1217.7459999999999</v>
      </c>
      <c r="T246" s="53">
        <f t="shared" si="313"/>
        <v>1223.5070000000001</v>
      </c>
      <c r="U246" s="53">
        <f t="shared" si="313"/>
        <v>1293.4390000000001</v>
      </c>
      <c r="V246" s="53">
        <f t="shared" si="313"/>
        <v>1337.8820000000001</v>
      </c>
      <c r="W246" s="53">
        <f t="shared" si="313"/>
        <v>1329.6295353649998</v>
      </c>
      <c r="X246" s="53">
        <f t="shared" si="313"/>
        <v>1365.7053787936002</v>
      </c>
      <c r="Y246" s="53">
        <f t="shared" si="313"/>
        <v>1399.3765559500482</v>
      </c>
    </row>
    <row r="247" spans="2:44">
      <c r="B247" s="300" t="s">
        <v>302</v>
      </c>
      <c r="L247" s="9">
        <v>21.15</v>
      </c>
      <c r="M247" s="9">
        <v>22.242000000000001</v>
      </c>
      <c r="N247" s="9">
        <v>24.677</v>
      </c>
      <c r="O247" s="9">
        <v>16.52</v>
      </c>
      <c r="P247" s="9">
        <v>16.587</v>
      </c>
    </row>
    <row r="248" spans="2:44">
      <c r="B248" s="300" t="s">
        <v>303</v>
      </c>
      <c r="L248" s="9">
        <v>41.344999999999999</v>
      </c>
      <c r="M248" s="9">
        <v>42.808999999999997</v>
      </c>
      <c r="N248" s="9">
        <v>47.67</v>
      </c>
      <c r="O248" s="9">
        <v>51.741</v>
      </c>
      <c r="P248" s="9">
        <v>54.783000000000001</v>
      </c>
    </row>
    <row r="250" spans="2:44">
      <c r="B250" s="6" t="s">
        <v>304</v>
      </c>
      <c r="L250" s="12">
        <f>L247/L$246</f>
        <v>3.1538497097414436E-2</v>
      </c>
      <c r="M250" s="12">
        <f>M247/M$246</f>
        <v>3.2283816579384339E-2</v>
      </c>
      <c r="N250" s="12">
        <f t="shared" ref="N250:P251" si="314">N247/N$246</f>
        <v>3.4480927688840257E-2</v>
      </c>
      <c r="O250" s="12">
        <f t="shared" si="314"/>
        <v>2.1809962875535348E-2</v>
      </c>
      <c r="P250" s="12">
        <f t="shared" si="314"/>
        <v>2.072525264641497E-2</v>
      </c>
    </row>
    <row r="251" spans="2:44">
      <c r="B251" s="6" t="s">
        <v>305</v>
      </c>
      <c r="L251" s="12">
        <f>L248/L$246</f>
        <v>6.1652915484283685E-2</v>
      </c>
      <c r="M251" s="12">
        <f>M248/M$246</f>
        <v>6.2136404277801642E-2</v>
      </c>
      <c r="N251" s="12">
        <f t="shared" si="314"/>
        <v>6.6608818856709301E-2</v>
      </c>
      <c r="O251" s="12">
        <f t="shared" si="314"/>
        <v>6.8309279003818058E-2</v>
      </c>
      <c r="P251" s="12">
        <f t="shared" si="314"/>
        <v>6.8450685219060184E-2</v>
      </c>
      <c r="U251" s="15">
        <v>0.62</v>
      </c>
    </row>
    <row r="252" spans="2:44">
      <c r="B252" s="6" t="s">
        <v>306</v>
      </c>
      <c r="U252" s="15">
        <v>0.09</v>
      </c>
    </row>
    <row r="254" spans="2:44">
      <c r="B254" s="300"/>
      <c r="S254" s="464"/>
      <c r="T254" s="464"/>
    </row>
    <row r="255" spans="2:44">
      <c r="B255" s="300"/>
      <c r="S255" s="464"/>
      <c r="T255" s="464"/>
    </row>
    <row r="256" spans="2:44">
      <c r="B256" s="300"/>
      <c r="S256" s="464"/>
      <c r="T256" s="464"/>
    </row>
  </sheetData>
  <mergeCells count="24">
    <mergeCell ref="ET4:EW4"/>
    <mergeCell ref="DB4:DE4"/>
    <mergeCell ref="DF4:DI4"/>
    <mergeCell ref="DJ4:DM4"/>
    <mergeCell ref="DN4:DQ4"/>
    <mergeCell ref="DR4:DU4"/>
    <mergeCell ref="DV4:DY4"/>
    <mergeCell ref="DZ4:EC4"/>
    <mergeCell ref="ED4:EG4"/>
    <mergeCell ref="EH4:EK4"/>
    <mergeCell ref="EL4:EO4"/>
    <mergeCell ref="EP4:ES4"/>
    <mergeCell ref="ET66:EW66"/>
    <mergeCell ref="DB66:DE66"/>
    <mergeCell ref="DF66:DI66"/>
    <mergeCell ref="DJ66:DM66"/>
    <mergeCell ref="DN66:DQ66"/>
    <mergeCell ref="DR66:DU66"/>
    <mergeCell ref="DV66:DY66"/>
    <mergeCell ref="DZ66:EC66"/>
    <mergeCell ref="ED66:EG66"/>
    <mergeCell ref="EH66:EK66"/>
    <mergeCell ref="EL66:EO66"/>
    <mergeCell ref="EP66:ES66"/>
  </mergeCells>
  <pageMargins left="0.75000000000001465" right="0.75000000000001465" top="1" bottom="1" header="0.3" footer="0.3"/>
  <pageSetup scale="19" orientation="portrait" r:id="rId1"/>
  <colBreaks count="2" manualBreakCount="2">
    <brk id="25" max="1048575" man="1"/>
    <brk id="50" max="1048575" man="1"/>
  </col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dsFormulaCache xmlns="urn:fdsformulacache" version="2" timestamp="1771362881"><![CDATA[{"WSO-US^FE_ESTIMATE(EBITDA,MEAN,QUARTERLY,2026/4F,NOW,,,'')":144.21701,"WSO-US^FE_ESTIMATE(EBITDA,MEAN,QUARTERLY,2026/3F,NOW,,,'')":267.85742,"WSO-US^FE_ESTIMATE(EBITDA,MEAN,QUARTERLY,2026/2F,NOW,,,'')":276.88943,"WSO-US^FE_ESTIMATE(EBITDA,MEAN,QUARTERLY,2026/1F,NOW,,,'')":128.4825,"WSO-US^FE_ESTIMATE(EPS,MEAN,QUARTERLY,2026/4F,NOW,,,'')":2.1993496,"WSO-US^FE_ESTIMATE(EPS,MEAN,QUARTERLY,2026/3F,NOW,,,'')":4.335524,"WSO-US^FE_ESTIMATE(EPS,MEAN,QUARTERLY,2026/2F,NOW,,,'')":4.564804,"WSO-US^FE_ESTIMATE(EPS,MEAN,QUARTERLY,2026/1F,NOW,,,'')":1.8780636,"WSO-US^FE_ESTIMATE(EBIT,MEAN,QUARTERLY,2026/4F,NOW,,,'')":134.29889,"WSO-US^FE_ESTIMATE(EBIT,MEAN,QUARTERLY,2026/3F,NOW,,,'')":254.58241,"WSO-US^FE_ESTIMATE(EBIT,MEAN,QUARTERLY,2026/2F,NOW,,,'')":266.42337,"WSO-US^FE_ESTIMATE(EBIT,MEAN,QUARTERLY,2026/1F,NOW,,,'')":116.60648,"WSO-US^FE_ESTIMATE(SALES,MEAN,QUARTERLY,2026/4F,NOW,,,'')":1705.5393,"WSO-US^FE_ESTIMATE(SALES,MEAN,QUARTERLY,2026/3F,NOW,,,'')":2161.8975,"WSO-US^FE_ESTIMATE(SALES,MEAN,QUARTERLY,2026/2F,NOW,,,'')":2140.0337,"WSO-US^FE_ESTIMATE(SALES,MEAN,QUARTERLY,2026/1F,NOW,,,'')":1556.0923,"WSO-US^FE_ESTIMATE(EBITDA,MEAN,ANNUAL,2028,0,,,'')":null,"WSO-US^FE_ESTIMATE(EBITDA,MEAN,ANNUAL,2027,0,,,'')":888.32227,"WSO-US^FE_ESTIMATE(EBITDA,MEAN,ANNUAL,2026,0,,,'')":807.8309,"WSO-US^FE_ESTIMATE(EPS,MEAN,ANNUAL,2028,0,,,'')":16.313334,"WSO-US^FE_ESTIMATE(EPS,MEAN,ANNUAL,2027,0,,,'')":14.0813055,"WSO-US^FE_ESTIMATE(EPS,MEAN,ANNUAL,2026,0,,,'')":13.012967,"WSO-US^FE_ESTIMATE(EBIT,MEAN,ANNUAL,2028,0,,,'')":902.0,"WSO-US^FE_ESTIMATE(EBIT,MEAN,ANNUAL,2027,0,,,'')":839.7291,"WSO-US^FE_ESTIMATE(EBIT,MEAN,ANNUAL,2026,0,,,'')":771.32385,"WSO-US^FE_ESTIMATE(SALES,MEAN,ANNUAL,2028,0,,,'')":8249.544,"WSO-US^FE_ESTIMATE(SALES,MEAN,ANNUAL,2027,0,,,'')":7902.747,"WSO-US^FE_ESTIMATE(SALES,MEAN,ANNUAL,2026,0,,,'')":7529.9478}]]></FdsFormulaCache>
</file>

<file path=customXml/itemProps1.xml><?xml version="1.0" encoding="utf-8"?>
<ds:datastoreItem xmlns:ds="http://schemas.openxmlformats.org/officeDocument/2006/customXml" ds:itemID="{794AA8A5-AFA1-4D76-9326-2769183FFD80}">
  <ds:schemaRefs>
    <ds:schemaRef ds:uri="urn:fdsformulacach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JEF Disclaimer</vt:lpstr>
      <vt:lpstr>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Simonson</dc:creator>
  <cp:lastModifiedBy>Yuuji Anderson</cp:lastModifiedBy>
  <dcterms:created xsi:type="dcterms:W3CDTF">2015-06-05T18:17:20Z</dcterms:created>
  <dcterms:modified xsi:type="dcterms:W3CDTF">2026-03-27T01:40:09Z</dcterms:modified>
</cp:coreProperties>
</file>