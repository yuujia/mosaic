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jiAnderson\Dropbox\Kaissa Consumer\Mosaic\buckets\DRIVE\"/>
    </mc:Choice>
  </mc:AlternateContent>
  <xr:revisionPtr revIDLastSave="0" documentId="13_ncr:1_{669A1612-4CB1-4E2B-BF70-8262DBAC8EE6}" xr6:coauthVersionLast="47" xr6:coauthVersionMax="47" xr10:uidLastSave="{00000000-0000-0000-0000-000000000000}"/>
  <bookViews>
    <workbookView xWindow="-120" yWindow="-120" windowWidth="29040" windowHeight="15720" activeTab="4" xr2:uid="{30DE43AD-F492-43CF-BD64-FB4AD4D1959C}"/>
  </bookViews>
  <sheets>
    <sheet name="AZO" sheetId="1" r:id="rId1"/>
    <sheet name="CASY" sheetId="8" r:id="rId2"/>
    <sheet name="MUSA" sheetId="9" r:id="rId3"/>
    <sheet name="ORLY" sheetId="10" r:id="rId4"/>
    <sheet name="VVV" sheetId="11" r:id="rId5"/>
  </sheets>
  <definedNames>
    <definedName name="KPI_BLOCK" localSheetId="1">_xlfn.LET(   _xlpm.d, CASY!$L$5:$O$5,   _xlpm.v, CASY!$L$7:$O$7,   _xlpm.yy,CASY!$L$8:$O$8,   _xlpm.qq,CASY!$L$9:$O$9,   _xlpm.dyy,CASY!$L$10:$O$10,   _xlpm.dqq,CASY!$L$11:$O$11,   _xlpm.dd, TRANSPOSE(_xlpm.d),    _xlpm.block, _xlfn.HSTACK(     _xlfn.MAKEARRAY(ROWS(_xlpm.dd),1, _xlfn.LAMBDA(_xlpm.r,_xlpm.c,CASY!$B$2)),     _xlpm.dd,     _xlfn.MAKEARRAY(ROWS(_xlpm.dd),1, _xlfn.LAMBDA(_xlpm.r,_xlpm.c,CASY!$A$7)),     _xlfn.MAKEARRAY(ROWS(_xlpm.dd),1, _xlfn.LAMBDA(_xlpm.r,_xlpm.c,CASY!$B$7)),     TRANSPOSE(_xlpm.v),     TRANSPOSE(_xlpm.yy),     TRANSPOSE(_xlpm.qq),     TRANSPOSE(_xlpm.dyy),     TRANSPOSE(_xlpm.dqq)   ),    _xlfn._xlws.FILTER(_xlpm.block, INDEX(_xlpm.block,,5) &lt;&gt; "") )</definedName>
    <definedName name="KPI_BLOCK" localSheetId="2">_xlfn.LET(   _xlpm.d, MUSA!$L$5:$O$5,   _xlpm.v, MUSA!$L$7:$O$7,   _xlpm.yy,MUSA!$L$8:$O$8,   _xlpm.qq,MUSA!$L$9:$O$9,   _xlpm.dyy,MUSA!$L$10:$O$10,   _xlpm.dqq,MUSA!$L$11:$O$11,   _xlpm.dd, TRANSPOSE(_xlpm.d),    _xlpm.block, _xlfn.HSTACK(     _xlfn.MAKEARRAY(ROWS(_xlpm.dd),1, _xlfn.LAMBDA(_xlpm.r,_xlpm.c,MUSA!$B$2)),     _xlpm.dd,     _xlfn.MAKEARRAY(ROWS(_xlpm.dd),1, _xlfn.LAMBDA(_xlpm.r,_xlpm.c,MUSA!$A$7)),     _xlfn.MAKEARRAY(ROWS(_xlpm.dd),1, _xlfn.LAMBDA(_xlpm.r,_xlpm.c,MUSA!$B$7)),     TRANSPOSE(_xlpm.v),     TRANSPOSE(_xlpm.yy),     TRANSPOSE(_xlpm.qq),     TRANSPOSE(_xlpm.dyy),     TRANSPOSE(_xlpm.dqq)   ),    _xlfn._xlws.FILTER(_xlpm.block, INDEX(_xlpm.block,,5) &lt;&gt; "") )</definedName>
    <definedName name="KPI_BLOCK" localSheetId="3">_xlfn.LET(   _xlpm.d, ORLY!$L$5:$O$5,   _xlpm.v, ORLY!$L$7:$O$7,   _xlpm.yy,ORLY!$L$8:$O$8,   _xlpm.qq,ORLY!$L$9:$O$9,   _xlpm.dyy,ORLY!$L$10:$O$10,   _xlpm.dqq,ORLY!$L$11:$O$11,   _xlpm.dd, TRANSPOSE(_xlpm.d),    _xlpm.block, _xlfn.HSTACK(     _xlfn.MAKEARRAY(ROWS(_xlpm.dd),1, _xlfn.LAMBDA(_xlpm.r,_xlpm.c,ORLY!$B$2)),     _xlpm.dd,     _xlfn.MAKEARRAY(ROWS(_xlpm.dd),1, _xlfn.LAMBDA(_xlpm.r,_xlpm.c,ORLY!$A$7)),     _xlfn.MAKEARRAY(ROWS(_xlpm.dd),1, _xlfn.LAMBDA(_xlpm.r,_xlpm.c,ORLY!$B$7)),     TRANSPOSE(_xlpm.v),     TRANSPOSE(_xlpm.yy),     TRANSPOSE(_xlpm.qq),     TRANSPOSE(_xlpm.dyy),     TRANSPOSE(_xlpm.dqq)   ),    _xlfn._xlws.FILTER(_xlpm.block, INDEX(_xlpm.block,,5) &lt;&gt; "") )</definedName>
    <definedName name="KPI_BLOCK" localSheetId="4">_xlfn.LET(   _xlpm.d, VVV!$L$5:$O$5,   _xlpm.v, VVV!$L$8:$O$8,   _xlpm.yy,VVV!$L$9:$O$9,   _xlpm.qq,VVV!$L$10:$O$10,   _xlpm.dyy,VVV!$L$11:$O$11,   _xlpm.dqq,VVV!$L$12:$O$12,   _xlpm.dd, TRANSPOSE(_xlpm.d),    _xlpm.block, _xlfn.HSTACK(     _xlfn.MAKEARRAY(ROWS(_xlpm.dd),1, _xlfn.LAMBDA(_xlpm.r,_xlpm.c,VVV!$B$2)),     _xlpm.dd,     _xlfn.MAKEARRAY(ROWS(_xlpm.dd),1, _xlfn.LAMBDA(_xlpm.r,_xlpm.c,VVV!$A$8)),     _xlfn.MAKEARRAY(ROWS(_xlpm.dd),1, _xlfn.LAMBDA(_xlpm.r,_xlpm.c,VVV!$B$8)),     TRANSPOSE(_xlpm.v),     TRANSPOSE(_xlpm.yy),     TRANSPOSE(_xlpm.qq),     TRANSPOSE(_xlpm.dyy),     TRANSPOSE(_xlpm.dqq)   ),    _xlfn._xlws.FILTER(_xlpm.block, INDEX(_xlpm.block,,5) &lt;&gt; "") )</definedName>
    <definedName name="KPI_BLOCK">_xlfn.LET(   _xlpm.d, AZO!$L$5:$O$5,   _xlpm.v, AZO!$L$7:$O$7,   _xlpm.yy,AZO!$L$8:$O$8,   _xlpm.qq,AZO!$L$9:$O$9,   _xlpm.dyy,AZO!$L$10:$O$10,   _xlpm.dqq,AZO!$L$11:$O$11,   _xlpm.dd, TRANSPOSE(_xlpm.d),    _xlpm.block, _xlfn.HSTACK(     _xlfn.MAKEARRAY(ROWS(_xlpm.dd),1, _xlfn.LAMBDA(_xlpm.r,_xlpm.c,AZO!$B$2)),     _xlpm.dd,     _xlfn.MAKEARRAY(ROWS(_xlpm.dd),1, _xlfn.LAMBDA(_xlpm.r,_xlpm.c,AZO!$A$7)),     _xlfn.MAKEARRAY(ROWS(_xlpm.dd),1, _xlfn.LAMBDA(_xlpm.r,_xlpm.c,AZO!$B$7)),     TRANSPOSE(_xlpm.v),     TRANSPOSE(_xlpm.yy),     TRANSPOSE(_xlpm.qq),     TRANSPOSE(_xlpm.dyy),     TRANSPOSE(_xlpm.dqq)   ),    _xlfn._xlws.FILTER(_xlpm.block, INDEX(_xlpm.block,,5) &lt;&gt; "") 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11" l="1"/>
  <c r="U48" i="11"/>
  <c r="T48" i="11"/>
  <c r="S48" i="11"/>
  <c r="R48" i="11"/>
  <c r="Q48" i="11"/>
  <c r="P48" i="11"/>
  <c r="O48" i="11"/>
  <c r="N48" i="11"/>
  <c r="M48" i="11"/>
  <c r="L48" i="11"/>
  <c r="V47" i="11"/>
  <c r="N47" i="11"/>
  <c r="M47" i="11"/>
  <c r="L47" i="11"/>
  <c r="V45" i="11"/>
  <c r="U45" i="11"/>
  <c r="U47" i="11" s="1"/>
  <c r="T45" i="11"/>
  <c r="T47" i="11" s="1"/>
  <c r="S45" i="11"/>
  <c r="S47" i="11" s="1"/>
  <c r="R45" i="11"/>
  <c r="R47" i="11" s="1"/>
  <c r="Q45" i="11"/>
  <c r="Q47" i="11" s="1"/>
  <c r="P45" i="11"/>
  <c r="P46" i="11" s="1"/>
  <c r="O45" i="11"/>
  <c r="N45" i="11"/>
  <c r="O46" i="11" s="1"/>
  <c r="M45" i="11"/>
  <c r="L45" i="11"/>
  <c r="M46" i="11" s="1"/>
  <c r="K45" i="11"/>
  <c r="L46" i="11" s="1"/>
  <c r="J45" i="11"/>
  <c r="I45" i="11"/>
  <c r="H45" i="11"/>
  <c r="V43" i="11"/>
  <c r="U43" i="11"/>
  <c r="T43" i="11"/>
  <c r="T41" i="11" s="1"/>
  <c r="S43" i="11"/>
  <c r="S41" i="11" s="1"/>
  <c r="R43" i="11"/>
  <c r="R41" i="11" s="1"/>
  <c r="Q43" i="11"/>
  <c r="Q41" i="11" s="1"/>
  <c r="P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V41" i="11"/>
  <c r="U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S36" i="11"/>
  <c r="T36" i="11"/>
  <c r="T37" i="11" s="1"/>
  <c r="U36" i="11"/>
  <c r="U37" i="11" s="1"/>
  <c r="V36" i="11"/>
  <c r="S39" i="11"/>
  <c r="T39" i="11"/>
  <c r="U39" i="11"/>
  <c r="V39" i="11"/>
  <c r="L36" i="11"/>
  <c r="M36" i="11"/>
  <c r="M37" i="11" s="1"/>
  <c r="N36" i="11"/>
  <c r="O36" i="11"/>
  <c r="P36" i="11"/>
  <c r="Q36" i="11"/>
  <c r="R36" i="11"/>
  <c r="V38" i="11" s="1"/>
  <c r="K36" i="11"/>
  <c r="I39" i="11"/>
  <c r="J39" i="11"/>
  <c r="K39" i="11"/>
  <c r="L39" i="11"/>
  <c r="M39" i="11"/>
  <c r="N39" i="11"/>
  <c r="O39" i="11"/>
  <c r="P39" i="11"/>
  <c r="Q39" i="11"/>
  <c r="R39" i="11"/>
  <c r="H39" i="11"/>
  <c r="V34" i="11"/>
  <c r="V32" i="11" s="1"/>
  <c r="U34" i="11"/>
  <c r="U32" i="11" s="1"/>
  <c r="T34" i="11"/>
  <c r="T32" i="11" s="1"/>
  <c r="S34" i="11"/>
  <c r="S32" i="11" s="1"/>
  <c r="R34" i="11"/>
  <c r="R32" i="11" s="1"/>
  <c r="Q34" i="11"/>
  <c r="Q32" i="11" s="1"/>
  <c r="P34" i="11"/>
  <c r="P32" i="11"/>
  <c r="V30" i="11"/>
  <c r="U30" i="11"/>
  <c r="T30" i="11"/>
  <c r="S30" i="11"/>
  <c r="R30" i="11"/>
  <c r="Q30" i="11"/>
  <c r="V27" i="11"/>
  <c r="U27" i="11"/>
  <c r="T27" i="11"/>
  <c r="V25" i="11"/>
  <c r="V23" i="11" s="1"/>
  <c r="U25" i="11"/>
  <c r="U23" i="11" s="1"/>
  <c r="T25" i="11"/>
  <c r="S25" i="11"/>
  <c r="S23" i="11" s="1"/>
  <c r="R25" i="11"/>
  <c r="R23" i="11" s="1"/>
  <c r="Q25" i="11"/>
  <c r="Q23" i="11" s="1"/>
  <c r="P25" i="11"/>
  <c r="P23" i="11" s="1"/>
  <c r="T23" i="11"/>
  <c r="T18" i="11"/>
  <c r="U18" i="11"/>
  <c r="V19" i="11" s="1"/>
  <c r="V18" i="11"/>
  <c r="S21" i="11"/>
  <c r="T21" i="11"/>
  <c r="U21" i="11"/>
  <c r="V21" i="11"/>
  <c r="R21" i="11"/>
  <c r="Q21" i="11"/>
  <c r="V16" i="11"/>
  <c r="V14" i="11" s="1"/>
  <c r="U16" i="11"/>
  <c r="U14" i="11" s="1"/>
  <c r="T16" i="11"/>
  <c r="T14" i="11" s="1"/>
  <c r="S16" i="11"/>
  <c r="S14" i="11" s="1"/>
  <c r="R16" i="11"/>
  <c r="R14" i="11" s="1"/>
  <c r="Q16" i="11"/>
  <c r="Q14" i="11" s="1"/>
  <c r="P16" i="11"/>
  <c r="P14" i="11" s="1"/>
  <c r="T9" i="11"/>
  <c r="U9" i="11"/>
  <c r="V9" i="11"/>
  <c r="Q12" i="11"/>
  <c r="R12" i="11"/>
  <c r="S12" i="11"/>
  <c r="T12" i="11"/>
  <c r="U12" i="11"/>
  <c r="V12" i="11"/>
  <c r="D7" i="11" a="1"/>
  <c r="D25" i="11" a="1"/>
  <c r="D16" i="11" a="1"/>
  <c r="R46" i="11" l="1"/>
  <c r="U46" i="11"/>
  <c r="V46" i="11"/>
  <c r="O47" i="11"/>
  <c r="P47" i="11"/>
  <c r="Q46" i="11"/>
  <c r="S46" i="11"/>
  <c r="T46" i="11"/>
  <c r="N46" i="11"/>
  <c r="D16" i="11"/>
  <c r="D25" i="11"/>
  <c r="D7" i="11"/>
  <c r="S38" i="11"/>
  <c r="P37" i="11"/>
  <c r="V28" i="11"/>
  <c r="N37" i="11"/>
  <c r="T38" i="11"/>
  <c r="U38" i="11"/>
  <c r="V37" i="11"/>
  <c r="U19" i="11"/>
  <c r="R38" i="11"/>
  <c r="S37" i="11"/>
  <c r="P38" i="11"/>
  <c r="O37" i="11"/>
  <c r="R37" i="11"/>
  <c r="Q38" i="11"/>
  <c r="Q37" i="11"/>
  <c r="O38" i="11"/>
  <c r="L37" i="11"/>
  <c r="U28" i="11"/>
  <c r="V10" i="11"/>
  <c r="U10" i="11"/>
  <c r="V5" i="11" l="1"/>
  <c r="U5" i="11"/>
  <c r="T5" i="11"/>
  <c r="S5" i="11"/>
  <c r="R5" i="11"/>
  <c r="Q5" i="11"/>
  <c r="P5" i="11"/>
  <c r="O32" i="11"/>
  <c r="N32" i="11"/>
  <c r="M32" i="11"/>
  <c r="L32" i="11"/>
  <c r="Y35" i="11" s="1" a="1"/>
  <c r="Y35" i="11" s="1"/>
  <c r="K32" i="11"/>
  <c r="J32" i="11"/>
  <c r="I32" i="11"/>
  <c r="H32" i="11"/>
  <c r="G32" i="11"/>
  <c r="F32" i="11"/>
  <c r="E32" i="11"/>
  <c r="D32" i="11"/>
  <c r="B3" i="11"/>
  <c r="O35" i="10"/>
  <c r="N35" i="10"/>
  <c r="M35" i="10"/>
  <c r="L35" i="10"/>
  <c r="K35" i="10"/>
  <c r="J35" i="10"/>
  <c r="I35" i="10"/>
  <c r="H35" i="10"/>
  <c r="G35" i="10"/>
  <c r="O32" i="10"/>
  <c r="N32" i="10"/>
  <c r="M32" i="10"/>
  <c r="L32" i="10"/>
  <c r="K32" i="10"/>
  <c r="Q30" i="10" a="1"/>
  <c r="Q30" i="10" s="1"/>
  <c r="O29" i="10"/>
  <c r="N29" i="10"/>
  <c r="M29" i="10"/>
  <c r="L29" i="10"/>
  <c r="Q14" i="10" s="1" a="1"/>
  <c r="Q14" i="10" s="1"/>
  <c r="K29" i="10"/>
  <c r="J29" i="10"/>
  <c r="I29" i="10"/>
  <c r="H29" i="10"/>
  <c r="G29" i="10"/>
  <c r="F29" i="10"/>
  <c r="E29" i="10"/>
  <c r="D29" i="10"/>
  <c r="Q26" i="10" a="1"/>
  <c r="Q26" i="10" s="1"/>
  <c r="Q22" i="10" a="1"/>
  <c r="Q22" i="10" s="1"/>
  <c r="Q18" i="10" a="1"/>
  <c r="Q18" i="10" s="1"/>
  <c r="B4" i="10"/>
  <c r="B3" i="10" s="1"/>
  <c r="H40" i="9"/>
  <c r="I40" i="9"/>
  <c r="J40" i="9"/>
  <c r="K40" i="9"/>
  <c r="O42" i="9" s="1"/>
  <c r="O43" i="9"/>
  <c r="N43" i="9"/>
  <c r="M43" i="9"/>
  <c r="L43" i="9"/>
  <c r="O40" i="9"/>
  <c r="N40" i="9"/>
  <c r="N42" i="9" s="1"/>
  <c r="M40" i="9"/>
  <c r="M41" i="9" s="1"/>
  <c r="L40" i="9"/>
  <c r="L42" i="9" s="1"/>
  <c r="Q22" i="9" a="1"/>
  <c r="Q22" i="9" s="1"/>
  <c r="O37" i="9"/>
  <c r="N37" i="9"/>
  <c r="M37" i="9"/>
  <c r="L37" i="9"/>
  <c r="K37" i="9"/>
  <c r="J37" i="9"/>
  <c r="I37" i="9"/>
  <c r="H37" i="9"/>
  <c r="G37" i="9"/>
  <c r="F37" i="9"/>
  <c r="E37" i="9"/>
  <c r="D37" i="9"/>
  <c r="O35" i="9"/>
  <c r="N35" i="9"/>
  <c r="M35" i="9"/>
  <c r="L35" i="9"/>
  <c r="Q14" i="9" s="1" a="1"/>
  <c r="Q14" i="9" s="1"/>
  <c r="K35" i="9"/>
  <c r="J35" i="9"/>
  <c r="I35" i="9"/>
  <c r="H35" i="9"/>
  <c r="G35" i="9"/>
  <c r="O32" i="9"/>
  <c r="N32" i="9"/>
  <c r="M32" i="9"/>
  <c r="L32" i="9"/>
  <c r="K32" i="9"/>
  <c r="J32" i="9"/>
  <c r="Q30" i="9" a="1"/>
  <c r="Q30" i="9" s="1"/>
  <c r="O29" i="9"/>
  <c r="N29" i="9"/>
  <c r="M29" i="9"/>
  <c r="L29" i="9"/>
  <c r="K29" i="9"/>
  <c r="J29" i="9"/>
  <c r="I29" i="9"/>
  <c r="H29" i="9"/>
  <c r="G29" i="9"/>
  <c r="F29" i="9"/>
  <c r="E29" i="9"/>
  <c r="Q26" i="9" a="1"/>
  <c r="Q26" i="9" s="1"/>
  <c r="B4" i="9"/>
  <c r="B3" i="9" s="1"/>
  <c r="O32" i="1"/>
  <c r="O35" i="1"/>
  <c r="O29" i="1"/>
  <c r="O32" i="8"/>
  <c r="O35" i="8"/>
  <c r="O37" i="8"/>
  <c r="O40" i="8"/>
  <c r="O43" i="8"/>
  <c r="O48" i="8"/>
  <c r="O51" i="8"/>
  <c r="O45" i="8"/>
  <c r="Q22" i="8" s="1" a="1"/>
  <c r="Q22" i="8" s="1"/>
  <c r="O29" i="8"/>
  <c r="N51" i="8"/>
  <c r="M51" i="8"/>
  <c r="L51" i="8"/>
  <c r="K51" i="8"/>
  <c r="J51" i="8"/>
  <c r="I51" i="8"/>
  <c r="H51" i="8"/>
  <c r="G51" i="8"/>
  <c r="N48" i="8"/>
  <c r="M48" i="8"/>
  <c r="L48" i="8"/>
  <c r="K48" i="8"/>
  <c r="J48" i="8"/>
  <c r="N45" i="8"/>
  <c r="M45" i="8"/>
  <c r="L45" i="8"/>
  <c r="K45" i="8"/>
  <c r="J45" i="8"/>
  <c r="I45" i="8"/>
  <c r="H45" i="8"/>
  <c r="G45" i="8"/>
  <c r="F45" i="8"/>
  <c r="E45" i="8"/>
  <c r="N43" i="8"/>
  <c r="M43" i="8"/>
  <c r="L43" i="8"/>
  <c r="K43" i="8"/>
  <c r="J43" i="8"/>
  <c r="I43" i="8"/>
  <c r="H43" i="8"/>
  <c r="G43" i="8"/>
  <c r="N40" i="8"/>
  <c r="M40" i="8"/>
  <c r="L40" i="8"/>
  <c r="K40" i="8"/>
  <c r="J40" i="8"/>
  <c r="N37" i="8"/>
  <c r="M37" i="8"/>
  <c r="L37" i="8"/>
  <c r="K37" i="8"/>
  <c r="J37" i="8"/>
  <c r="I37" i="8"/>
  <c r="H37" i="8"/>
  <c r="G37" i="8"/>
  <c r="F37" i="8"/>
  <c r="E37" i="8"/>
  <c r="D37" i="8"/>
  <c r="N35" i="8"/>
  <c r="M35" i="8"/>
  <c r="L35" i="8"/>
  <c r="K35" i="8"/>
  <c r="J35" i="8"/>
  <c r="I35" i="8"/>
  <c r="H35" i="8"/>
  <c r="G35" i="8"/>
  <c r="N32" i="8"/>
  <c r="M32" i="8"/>
  <c r="L32" i="8"/>
  <c r="K32" i="8"/>
  <c r="J32" i="8"/>
  <c r="Q30" i="8" a="1"/>
  <c r="Q30" i="8" s="1"/>
  <c r="N29" i="8"/>
  <c r="M29" i="8"/>
  <c r="L29" i="8"/>
  <c r="K29" i="8"/>
  <c r="J29" i="8"/>
  <c r="I29" i="8"/>
  <c r="H29" i="8"/>
  <c r="G29" i="8"/>
  <c r="F29" i="8"/>
  <c r="E29" i="8"/>
  <c r="Q26" i="8" a="1"/>
  <c r="Q26" i="8" s="1"/>
  <c r="Q18" i="8" a="1"/>
  <c r="Q18" i="8" s="1"/>
  <c r="B4" i="8"/>
  <c r="B3" i="8" s="1"/>
  <c r="K35" i="1"/>
  <c r="J35" i="1"/>
  <c r="I35" i="1"/>
  <c r="H35" i="1"/>
  <c r="G35" i="1"/>
  <c r="K32" i="1"/>
  <c r="N35" i="1"/>
  <c r="M35" i="1"/>
  <c r="L35" i="1"/>
  <c r="N32" i="1"/>
  <c r="M32" i="1"/>
  <c r="L32" i="1"/>
  <c r="D6" i="8" a="1"/>
  <c r="D14" i="8" a="1"/>
  <c r="D22" i="8" a="1"/>
  <c r="D6" i="9" a="1"/>
  <c r="D22" i="9" a="1"/>
  <c r="D14" i="9" a="1"/>
  <c r="D6" i="10" a="1"/>
  <c r="D22" i="10" a="1"/>
  <c r="D14" i="10" a="1"/>
  <c r="D14" i="10" l="1"/>
  <c r="D13" i="10" s="1"/>
  <c r="D22" i="10"/>
  <c r="D21" i="10" s="1"/>
  <c r="D6" i="10"/>
  <c r="D5" i="10" s="1"/>
  <c r="D14" i="9"/>
  <c r="D13" i="9" s="1"/>
  <c r="D22" i="9"/>
  <c r="D6" i="9"/>
  <c r="D5" i="9" s="1"/>
  <c r="D22" i="8"/>
  <c r="D21" i="8" s="1"/>
  <c r="D14" i="8"/>
  <c r="D13" i="8" s="1"/>
  <c r="D6" i="8"/>
  <c r="D5" i="8" s="1"/>
  <c r="N30" i="11"/>
  <c r="L27" i="11"/>
  <c r="L30" i="11"/>
  <c r="J27" i="11"/>
  <c r="K30" i="11"/>
  <c r="I27" i="11"/>
  <c r="G30" i="11"/>
  <c r="N27" i="11"/>
  <c r="M30" i="11"/>
  <c r="K27" i="11"/>
  <c r="K28" i="11" s="1"/>
  <c r="J30" i="11"/>
  <c r="H27" i="11"/>
  <c r="P30" i="11"/>
  <c r="O30" i="11"/>
  <c r="I30" i="11"/>
  <c r="H30" i="11"/>
  <c r="F30" i="11"/>
  <c r="R27" i="11"/>
  <c r="M27" i="11"/>
  <c r="E30" i="11"/>
  <c r="S27" i="11"/>
  <c r="Q27" i="11"/>
  <c r="P27" i="11"/>
  <c r="O27" i="11"/>
  <c r="J18" i="11"/>
  <c r="S18" i="11"/>
  <c r="O21" i="11"/>
  <c r="K21" i="11"/>
  <c r="G21" i="11"/>
  <c r="M18" i="11"/>
  <c r="L18" i="11"/>
  <c r="I18" i="11"/>
  <c r="H18" i="11"/>
  <c r="N21" i="11"/>
  <c r="M21" i="11"/>
  <c r="L21" i="11"/>
  <c r="J21" i="11"/>
  <c r="R18" i="11"/>
  <c r="P18" i="11"/>
  <c r="F21" i="11"/>
  <c r="E21" i="11"/>
  <c r="K18" i="11"/>
  <c r="I21" i="11"/>
  <c r="Q18" i="11"/>
  <c r="H21" i="11"/>
  <c r="O18" i="11"/>
  <c r="N18" i="11"/>
  <c r="P21" i="11"/>
  <c r="R9" i="11"/>
  <c r="P9" i="11"/>
  <c r="S9" i="11"/>
  <c r="P12" i="11"/>
  <c r="Q9" i="11"/>
  <c r="D23" i="11"/>
  <c r="D14" i="11"/>
  <c r="D5" i="11"/>
  <c r="D21" i="9"/>
  <c r="O27" i="10"/>
  <c r="N27" i="10"/>
  <c r="M27" i="10"/>
  <c r="L27" i="10"/>
  <c r="O19" i="10"/>
  <c r="N19" i="10"/>
  <c r="M19" i="10"/>
  <c r="L19" i="10"/>
  <c r="O27" i="8"/>
  <c r="N27" i="8"/>
  <c r="M27" i="8"/>
  <c r="L27" i="8"/>
  <c r="O19" i="8"/>
  <c r="N19" i="8"/>
  <c r="M19" i="8"/>
  <c r="L19" i="8"/>
  <c r="O27" i="9"/>
  <c r="N27" i="9"/>
  <c r="M27" i="9"/>
  <c r="L27" i="9"/>
  <c r="M19" i="9"/>
  <c r="N19" i="9"/>
  <c r="O19" i="9"/>
  <c r="L19" i="9"/>
  <c r="G14" i="11"/>
  <c r="F14" i="11"/>
  <c r="E14" i="11"/>
  <c r="N14" i="11"/>
  <c r="L14" i="11"/>
  <c r="J14" i="11"/>
  <c r="O14" i="11"/>
  <c r="K14" i="11"/>
  <c r="I14" i="11"/>
  <c r="M14" i="11"/>
  <c r="H14" i="11"/>
  <c r="E23" i="11"/>
  <c r="G23" i="11"/>
  <c r="F23" i="11"/>
  <c r="I23" i="11"/>
  <c r="J23" i="11"/>
  <c r="H23" i="11"/>
  <c r="O23" i="11"/>
  <c r="M23" i="11"/>
  <c r="K23" i="11"/>
  <c r="L23" i="11"/>
  <c r="N23" i="11"/>
  <c r="L5" i="11"/>
  <c r="O5" i="11"/>
  <c r="M5" i="11"/>
  <c r="K5" i="11"/>
  <c r="L12" i="11"/>
  <c r="H5" i="11"/>
  <c r="H9" i="11"/>
  <c r="N5" i="11"/>
  <c r="N12" i="11"/>
  <c r="E5" i="11"/>
  <c r="O12" i="11"/>
  <c r="M12" i="11"/>
  <c r="J5" i="11"/>
  <c r="O9" i="11"/>
  <c r="N9" i="11"/>
  <c r="M9" i="11"/>
  <c r="I5" i="11"/>
  <c r="G5" i="11"/>
  <c r="F5" i="11"/>
  <c r="L9" i="11"/>
  <c r="K9" i="11"/>
  <c r="J9" i="11"/>
  <c r="I9" i="11"/>
  <c r="E13" i="10"/>
  <c r="J16" i="10"/>
  <c r="I16" i="10"/>
  <c r="G13" i="10"/>
  <c r="F13" i="10"/>
  <c r="M16" i="10"/>
  <c r="K16" i="10"/>
  <c r="O16" i="10"/>
  <c r="N16" i="10"/>
  <c r="L16" i="10"/>
  <c r="O13" i="10"/>
  <c r="N13" i="10"/>
  <c r="M13" i="10"/>
  <c r="L13" i="10"/>
  <c r="J13" i="10"/>
  <c r="I13" i="10"/>
  <c r="H16" i="10"/>
  <c r="K13" i="10"/>
  <c r="H13" i="10"/>
  <c r="M24" i="10"/>
  <c r="L24" i="10"/>
  <c r="I24" i="10"/>
  <c r="K24" i="10"/>
  <c r="H24" i="10"/>
  <c r="O21" i="10"/>
  <c r="N21" i="10"/>
  <c r="M21" i="10"/>
  <c r="L21" i="10"/>
  <c r="K21" i="10"/>
  <c r="I21" i="10"/>
  <c r="G21" i="10"/>
  <c r="E21" i="10"/>
  <c r="O24" i="10"/>
  <c r="N24" i="10"/>
  <c r="J24" i="10"/>
  <c r="H21" i="10"/>
  <c r="J21" i="10"/>
  <c r="F21" i="10"/>
  <c r="O5" i="10"/>
  <c r="N11" i="10"/>
  <c r="L5" i="10"/>
  <c r="J5" i="10"/>
  <c r="N5" i="10"/>
  <c r="H5" i="10"/>
  <c r="G5" i="10"/>
  <c r="F5" i="10"/>
  <c r="E5" i="10"/>
  <c r="O11" i="10"/>
  <c r="M5" i="10"/>
  <c r="I5" i="10"/>
  <c r="N8" i="10"/>
  <c r="M8" i="10"/>
  <c r="L8" i="10"/>
  <c r="K8" i="10"/>
  <c r="I8" i="10"/>
  <c r="H8" i="10"/>
  <c r="M11" i="10"/>
  <c r="K5" i="10"/>
  <c r="L11" i="10"/>
  <c r="O8" i="10"/>
  <c r="J8" i="10"/>
  <c r="N41" i="9"/>
  <c r="M42" i="9"/>
  <c r="Q18" i="9" a="1"/>
  <c r="Q18" i="9" s="1"/>
  <c r="L41" i="9"/>
  <c r="O41" i="9"/>
  <c r="N5" i="9"/>
  <c r="M5" i="9"/>
  <c r="N11" i="9"/>
  <c r="L5" i="9"/>
  <c r="M11" i="9"/>
  <c r="K5" i="9"/>
  <c r="O11" i="9"/>
  <c r="O5" i="9"/>
  <c r="L11" i="9"/>
  <c r="J5" i="9"/>
  <c r="I5" i="9"/>
  <c r="H5" i="9"/>
  <c r="G5" i="9"/>
  <c r="M8" i="9"/>
  <c r="L8" i="9"/>
  <c r="K8" i="9"/>
  <c r="I8" i="9"/>
  <c r="H8" i="9"/>
  <c r="F5" i="9"/>
  <c r="E5" i="9"/>
  <c r="O8" i="9"/>
  <c r="N8" i="9"/>
  <c r="J8" i="9"/>
  <c r="N13" i="9"/>
  <c r="O16" i="9"/>
  <c r="N16" i="9"/>
  <c r="M16" i="9"/>
  <c r="I16" i="9"/>
  <c r="M13" i="9"/>
  <c r="K13" i="9"/>
  <c r="J13" i="9"/>
  <c r="E13" i="9"/>
  <c r="L16" i="9"/>
  <c r="K16" i="9"/>
  <c r="J16" i="9"/>
  <c r="H16" i="9"/>
  <c r="L13" i="9"/>
  <c r="I13" i="9"/>
  <c r="O13" i="9"/>
  <c r="H13" i="9"/>
  <c r="G13" i="9"/>
  <c r="F13" i="9"/>
  <c r="O24" i="9"/>
  <c r="N24" i="9"/>
  <c r="M24" i="9"/>
  <c r="L24" i="9"/>
  <c r="K24" i="9"/>
  <c r="N21" i="9"/>
  <c r="M21" i="9"/>
  <c r="K21" i="9"/>
  <c r="I21" i="9"/>
  <c r="H21" i="9"/>
  <c r="G21" i="9"/>
  <c r="E21" i="9"/>
  <c r="J24" i="9"/>
  <c r="I24" i="9"/>
  <c r="H24" i="9"/>
  <c r="O21" i="9"/>
  <c r="J21" i="9"/>
  <c r="L21" i="9"/>
  <c r="F21" i="9"/>
  <c r="O8" i="8"/>
  <c r="O11" i="8"/>
  <c r="O16" i="8"/>
  <c r="O24" i="8"/>
  <c r="Q14" i="8" a="1"/>
  <c r="Q14" i="8" s="1"/>
  <c r="O21" i="8"/>
  <c r="O13" i="8"/>
  <c r="O5" i="8"/>
  <c r="E21" i="8"/>
  <c r="N24" i="8"/>
  <c r="M24" i="8"/>
  <c r="N21" i="8"/>
  <c r="L21" i="8"/>
  <c r="K21" i="8"/>
  <c r="J21" i="8"/>
  <c r="I21" i="8"/>
  <c r="H21" i="8"/>
  <c r="G21" i="8"/>
  <c r="F21" i="8"/>
  <c r="L24" i="8"/>
  <c r="J24" i="8"/>
  <c r="K24" i="8"/>
  <c r="I24" i="8"/>
  <c r="H24" i="8"/>
  <c r="M21" i="8"/>
  <c r="N16" i="8"/>
  <c r="M16" i="8"/>
  <c r="L16" i="8"/>
  <c r="M13" i="8"/>
  <c r="K13" i="8"/>
  <c r="J13" i="8"/>
  <c r="I13" i="8"/>
  <c r="H13" i="8"/>
  <c r="G13" i="8"/>
  <c r="F13" i="8"/>
  <c r="E13" i="8"/>
  <c r="I16" i="8"/>
  <c r="N13" i="8"/>
  <c r="K16" i="8"/>
  <c r="J16" i="8"/>
  <c r="H16" i="8"/>
  <c r="L13" i="8"/>
  <c r="I5" i="8"/>
  <c r="H5" i="8"/>
  <c r="M11" i="8"/>
  <c r="G5" i="8"/>
  <c r="L11" i="8"/>
  <c r="F5" i="8"/>
  <c r="M8" i="8"/>
  <c r="N5" i="8"/>
  <c r="M5" i="8"/>
  <c r="L5" i="8"/>
  <c r="K5" i="8"/>
  <c r="J5" i="8"/>
  <c r="N11" i="8"/>
  <c r="E5" i="8"/>
  <c r="L8" i="8"/>
  <c r="J8" i="8"/>
  <c r="H8" i="8"/>
  <c r="N8" i="8"/>
  <c r="K8" i="8"/>
  <c r="I8" i="8"/>
  <c r="F29" i="1"/>
  <c r="E29" i="1"/>
  <c r="D29" i="1"/>
  <c r="J29" i="1"/>
  <c r="I29" i="1"/>
  <c r="H29" i="1"/>
  <c r="G29" i="1"/>
  <c r="L29" i="1"/>
  <c r="K29" i="1"/>
  <c r="N29" i="1"/>
  <c r="M29" i="1"/>
  <c r="I19" i="11" l="1"/>
  <c r="K19" i="11"/>
  <c r="N20" i="11"/>
  <c r="N19" i="11"/>
  <c r="O20" i="11"/>
  <c r="O19" i="11"/>
  <c r="M20" i="11"/>
  <c r="M19" i="11"/>
  <c r="U20" i="11"/>
  <c r="Q20" i="11"/>
  <c r="Q19" i="11"/>
  <c r="L20" i="11"/>
  <c r="L19" i="11"/>
  <c r="S19" i="11"/>
  <c r="S20" i="11"/>
  <c r="T19" i="11"/>
  <c r="J19" i="11"/>
  <c r="O28" i="11"/>
  <c r="O29" i="11"/>
  <c r="N28" i="11"/>
  <c r="N29" i="11"/>
  <c r="P20" i="11"/>
  <c r="P19" i="11"/>
  <c r="T20" i="11"/>
  <c r="P28" i="11"/>
  <c r="T29" i="11"/>
  <c r="P29" i="11"/>
  <c r="R20" i="11"/>
  <c r="V20" i="11"/>
  <c r="R19" i="11"/>
  <c r="Q28" i="11"/>
  <c r="U29" i="11"/>
  <c r="Q29" i="11"/>
  <c r="I28" i="11"/>
  <c r="Q10" i="11"/>
  <c r="Q11" i="11"/>
  <c r="U11" i="11"/>
  <c r="S28" i="11"/>
  <c r="S29" i="11"/>
  <c r="T28" i="11"/>
  <c r="J28" i="11"/>
  <c r="S11" i="11"/>
  <c r="S10" i="11"/>
  <c r="T10" i="11"/>
  <c r="M28" i="11"/>
  <c r="M29" i="11"/>
  <c r="P11" i="11"/>
  <c r="P10" i="11"/>
  <c r="T11" i="11"/>
  <c r="R28" i="11"/>
  <c r="R29" i="11"/>
  <c r="V29" i="11"/>
  <c r="L28" i="11"/>
  <c r="L29" i="11"/>
  <c r="Y24" i="11" s="1" a="1"/>
  <c r="Y24" i="11" s="1"/>
  <c r="R11" i="11"/>
  <c r="Y2" i="11" s="1" a="1"/>
  <c r="Y2" i="11" s="1"/>
  <c r="R10" i="11"/>
  <c r="V11" i="11"/>
  <c r="L11" i="11"/>
  <c r="L10" i="11"/>
  <c r="M11" i="11"/>
  <c r="M10" i="11"/>
  <c r="O10" i="11"/>
  <c r="O11" i="11"/>
  <c r="N11" i="11"/>
  <c r="N10" i="11"/>
  <c r="Q6" i="10" a="1"/>
  <c r="Q6" i="10" s="1"/>
  <c r="Q10" i="10" a="1"/>
  <c r="Q10" i="10" s="1"/>
  <c r="O9" i="10"/>
  <c r="O10" i="10"/>
  <c r="M10" i="10"/>
  <c r="M9" i="10"/>
  <c r="L9" i="10"/>
  <c r="L10" i="10"/>
  <c r="N10" i="10"/>
  <c r="N9" i="10"/>
  <c r="Q6" i="9" a="1"/>
  <c r="Q6" i="9" s="1"/>
  <c r="M9" i="9"/>
  <c r="M10" i="9"/>
  <c r="O9" i="9"/>
  <c r="O10" i="9"/>
  <c r="Q10" i="9" a="1"/>
  <c r="Q10" i="9" s="1"/>
  <c r="N10" i="9"/>
  <c r="N9" i="9"/>
  <c r="L9" i="9"/>
  <c r="L10" i="9"/>
  <c r="O9" i="8"/>
  <c r="O10" i="8"/>
  <c r="M10" i="8"/>
  <c r="M9" i="8"/>
  <c r="Q10" i="8" a="1"/>
  <c r="Q10" i="8" s="1"/>
  <c r="N9" i="8"/>
  <c r="N10" i="8"/>
  <c r="Q6" i="8" a="1"/>
  <c r="Q6" i="8" s="1"/>
  <c r="L10" i="8"/>
  <c r="L9" i="8"/>
  <c r="Q26" i="1" a="1"/>
  <c r="Q26" i="1" s="1"/>
  <c r="Q30" i="1" a="1"/>
  <c r="Q30" i="1" s="1"/>
  <c r="Q22" i="1" a="1"/>
  <c r="Q22" i="1" s="1"/>
  <c r="Q18" i="1" a="1"/>
  <c r="Q18" i="1" s="1"/>
  <c r="Y13" i="11" l="1" a="1"/>
  <c r="Y13" i="11" s="1"/>
  <c r="Q2" i="10" a="1"/>
  <c r="Q2" i="10" s="1"/>
  <c r="Q2" i="8" a="1"/>
  <c r="Q2" i="8" s="1"/>
  <c r="Q2" i="9" a="1"/>
  <c r="Q2" i="9" s="1"/>
  <c r="Q14" i="1" a="1"/>
  <c r="Q14" i="1" s="1"/>
  <c r="B4" i="1" l="1"/>
  <c r="B3" i="1" s="1"/>
  <c r="D6" i="1" a="1"/>
  <c r="D22" i="1" a="1"/>
  <c r="D14" i="1" a="1"/>
  <c r="D14" i="1" l="1"/>
  <c r="D22" i="1"/>
  <c r="D21" i="1" s="1"/>
  <c r="D6" i="1"/>
  <c r="D13" i="1"/>
  <c r="N27" i="1"/>
  <c r="M27" i="1"/>
  <c r="L27" i="1"/>
  <c r="O27" i="1"/>
  <c r="O19" i="1"/>
  <c r="L19" i="1"/>
  <c r="N19" i="1"/>
  <c r="M19" i="1"/>
  <c r="O24" i="1"/>
  <c r="O21" i="1"/>
  <c r="O16" i="1"/>
  <c r="O13" i="1"/>
  <c r="O8" i="1"/>
  <c r="O11" i="1"/>
  <c r="O5" i="1"/>
  <c r="G21" i="1"/>
  <c r="H21" i="1"/>
  <c r="I21" i="1"/>
  <c r="J21" i="1"/>
  <c r="K21" i="1"/>
  <c r="K24" i="1"/>
  <c r="J24" i="1"/>
  <c r="I24" i="1"/>
  <c r="H24" i="1"/>
  <c r="M24" i="1"/>
  <c r="N24" i="1"/>
  <c r="L24" i="1"/>
  <c r="J16" i="1"/>
  <c r="I16" i="1"/>
  <c r="H16" i="1"/>
  <c r="K16" i="1"/>
  <c r="N16" i="1"/>
  <c r="M16" i="1"/>
  <c r="L16" i="1"/>
  <c r="G13" i="1"/>
  <c r="H13" i="1"/>
  <c r="I13" i="1"/>
  <c r="J13" i="1"/>
  <c r="K13" i="1"/>
  <c r="N11" i="1"/>
  <c r="M11" i="1"/>
  <c r="L11" i="1"/>
  <c r="N8" i="1"/>
  <c r="M8" i="1"/>
  <c r="L8" i="1"/>
  <c r="K8" i="1"/>
  <c r="J8" i="1"/>
  <c r="I8" i="1"/>
  <c r="H8" i="1"/>
  <c r="G5" i="1"/>
  <c r="H5" i="1"/>
  <c r="I5" i="1"/>
  <c r="J5" i="1"/>
  <c r="K5" i="1"/>
  <c r="M21" i="1"/>
  <c r="F21" i="1"/>
  <c r="E21" i="1"/>
  <c r="N21" i="1"/>
  <c r="L21" i="1"/>
  <c r="N13" i="1"/>
  <c r="M13" i="1"/>
  <c r="L13" i="1"/>
  <c r="F13" i="1"/>
  <c r="E13" i="1"/>
  <c r="L5" i="1"/>
  <c r="M5" i="1"/>
  <c r="N5" i="1"/>
  <c r="F5" i="1"/>
  <c r="E5" i="1"/>
  <c r="O10" i="1" l="1"/>
  <c r="O9" i="1"/>
  <c r="N10" i="1"/>
  <c r="M10" i="1"/>
  <c r="L10" i="1"/>
  <c r="L9" i="1"/>
  <c r="D5" i="1"/>
  <c r="M9" i="1"/>
  <c r="N9" i="1"/>
  <c r="Q2" i="1" l="1" a="1"/>
  <c r="Q2" i="1" s="1"/>
  <c r="Q6" i="1" a="1"/>
  <c r="Q6" i="1" s="1"/>
  <c r="Q10" i="1" a="1"/>
  <c r="Q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<sst xmlns="http://schemas.openxmlformats.org/spreadsheetml/2006/main" count="359" uniqueCount="48">
  <si>
    <t>IS_COMP_SALES</t>
  </si>
  <si>
    <t>Stock:</t>
  </si>
  <si>
    <t>End Day</t>
  </si>
  <si>
    <t>Beg. Day</t>
  </si>
  <si>
    <t>Y/Y</t>
  </si>
  <si>
    <t>Q/Q</t>
  </si>
  <si>
    <t>GROSS_MARGIN</t>
  </si>
  <si>
    <t>OPER_MARGIN</t>
  </si>
  <si>
    <t>revenue</t>
  </si>
  <si>
    <t>canonical</t>
  </si>
  <si>
    <t>value</t>
  </si>
  <si>
    <t>calendar_quarter</t>
  </si>
  <si>
    <t>Calendar Quarter</t>
  </si>
  <si>
    <t>company</t>
  </si>
  <si>
    <t>gross_margin_gaap</t>
  </si>
  <si>
    <t>operating_margin_gaap</t>
  </si>
  <si>
    <t>yoy</t>
  </si>
  <si>
    <t>kpi</t>
  </si>
  <si>
    <t>type</t>
  </si>
  <si>
    <t>Y/Y vs last Q</t>
  </si>
  <si>
    <t>yoy_vs_last_q</t>
  </si>
  <si>
    <t>custom</t>
  </si>
  <si>
    <t>ignore</t>
  </si>
  <si>
    <t>Y/Y vs last Y</t>
  </si>
  <si>
    <t>yoy_vs_last_y</t>
  </si>
  <si>
    <t>Qoq</t>
  </si>
  <si>
    <t>AZO US EQUITY</t>
  </si>
  <si>
    <t>CASY US EQUITY</t>
  </si>
  <si>
    <t>MUSA US EQUITY</t>
  </si>
  <si>
    <t>ORLY US EQUITY</t>
  </si>
  <si>
    <t>VVV US EQUITY</t>
  </si>
  <si>
    <t>Same Store Sales Growth</t>
  </si>
  <si>
    <t>sss_growth</t>
  </si>
  <si>
    <t>prepared_foods_sss_growth</t>
  </si>
  <si>
    <t>Prepared Foods Same Store Sales</t>
  </si>
  <si>
    <t>grocery_sss_growth</t>
  </si>
  <si>
    <t>fuel_sss_growth</t>
  </si>
  <si>
    <t>Fuel Same Store Sales</t>
  </si>
  <si>
    <t>Grocery and General Merch Same Store Sales</t>
  </si>
  <si>
    <t>petroleum_sss_growth</t>
  </si>
  <si>
    <t>Petroleum SSS</t>
  </si>
  <si>
    <t>Merchandise SSS</t>
  </si>
  <si>
    <t>merchandise_sss</t>
  </si>
  <si>
    <t>forecast</t>
  </si>
  <si>
    <t>actual</t>
  </si>
  <si>
    <t>2 YR Stack</t>
  </si>
  <si>
    <t>system_wide_stores</t>
  </si>
  <si>
    <t>System Wide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</si>
</sst>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164" formatCode="0&quot; bps&quot;"/>
    <numFmt numFmtId="165" formatCode="0.0%"/>
    <numFmt numFmtId="166" formatCode="_(&quot;$&quot;* #,##0.0_);_(&quot;$&quot;* \(#,##0.0\);_(&quot;$&quot;* &quot;-&quot;?_);_(@_)"/>
    <numFmt numFmtId="167" formatCode="0.0"/>
    <numFmt numFmtId="168" formatCode="0.0_);\(0.0\)"/>
    <numFmt numFmtId="169" formatCode="&quot;$&quot;#,##0.0_);\(&quot;$&quot;#,##0.0\)"/>
  </numFmts>
  <fonts count="10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F3F7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6">
    <xf numFmtId="0" fontId="0" fillId="0" borderId="0"/>
    <xf numFmtId="0" fontId="1" fillId="2" borderId="1" applyNumberFormat="0" applyAlignment="0" applyProtection="0"/>
    <xf numFmtId="0" fontId="5" fillId="3" borderId="2" applyNumberFormat="0" applyAlignment="0" applyProtection="0"/>
    <xf numFmtId="0" fontId="6" fillId="3" borderId="1" applyNumberFormat="0" applyAlignment="0" applyProtection="0"/>
    <xf numFmtId="0" fontId="7" fillId="0" borderId="0" applyNumberFormat="0" applyFill="0" applyBorder="0" applyAlignment="0" applyProtection="0"/>
    <xf numFmtId="0" fontId="4" fillId="4" borderId="3" applyNumberFormat="0" applyFont="0" applyAlignment="0" applyProtection="0"/>
  </cellStyleXfs>
  <cellXfs count="37">
    <xf numFmtId="0" fontId="0" fillId="0" borderId="0" xfId="0"/>
    <xf numFmtId="14" fontId="0" fillId="0" borderId="0" xfId="0" applyNumberFormat="1"/>
    <xf numFmtId="14" fontId="1" fillId="2" borderId="1" xfId="1" applyNumberFormat="1"/>
    <xf numFmtId="4" fontId="0" fillId="0" borderId="0" xfId="0" applyNumberFormat="1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164" fontId="2" fillId="0" borderId="0" xfId="0" applyNumberFormat="1" applyFont="1"/>
    <xf numFmtId="10" fontId="3" fillId="2" borderId="1" xfId="1" applyNumberFormat="1" applyFont="1"/>
    <xf numFmtId="14" fontId="3" fillId="2" borderId="1" xfId="1" applyNumberFormat="1" applyFont="1"/>
    <xf numFmtId="42" fontId="1" fillId="2" borderId="1" xfId="1" applyNumberFormat="1"/>
    <xf numFmtId="166" fontId="0" fillId="0" borderId="0" xfId="0" applyNumberFormat="1"/>
    <xf numFmtId="165" fontId="2" fillId="0" borderId="0" xfId="0" applyNumberFormat="1" applyFont="1"/>
    <xf numFmtId="14" fontId="5" fillId="3" borderId="2" xfId="2" applyNumberFormat="1"/>
    <xf numFmtId="14" fontId="8" fillId="0" borderId="0" xfId="0" applyNumberFormat="1" applyFont="1"/>
    <xf numFmtId="14" fontId="6" fillId="3" borderId="1" xfId="3" applyNumberFormat="1"/>
    <xf numFmtId="0" fontId="8" fillId="4" borderId="3" xfId="5" applyFo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1" fillId="2" borderId="8" xfId="1" applyNumberFormat="1" applyBorder="1"/>
    <xf numFmtId="0" fontId="7" fillId="0" borderId="0" xfId="0" applyFont="1"/>
    <xf numFmtId="0" fontId="7" fillId="0" borderId="0" xfId="4"/>
    <xf numFmtId="14" fontId="7" fillId="0" borderId="0" xfId="4" applyNumberFormat="1"/>
    <xf numFmtId="49" fontId="7" fillId="0" borderId="0" xfId="4" applyNumberFormat="1"/>
    <xf numFmtId="166" fontId="7" fillId="0" borderId="0" xfId="4" applyNumberFormat="1"/>
    <xf numFmtId="166" fontId="7" fillId="0" borderId="0" xfId="0" applyNumberFormat="1" applyFont="1"/>
    <xf numFmtId="165" fontId="9" fillId="0" borderId="0" xfId="0" applyNumberFormat="1" applyFont="1"/>
    <xf numFmtId="10" fontId="7" fillId="0" borderId="0" xfId="4" applyNumberFormat="1"/>
    <xf numFmtId="167" fontId="7" fillId="0" borderId="0" xfId="4" applyNumberFormat="1"/>
    <xf numFmtId="0" fontId="1" fillId="2" borderId="1" xfId="1"/>
    <xf numFmtId="168" fontId="1" fillId="2" borderId="1" xfId="1" applyNumberFormat="1"/>
    <xf numFmtId="169" fontId="1" fillId="2" borderId="1" xfId="1" applyNumberFormat="1"/>
    <xf numFmtId="4" fontId="1" fillId="2" borderId="1" xfId="1" applyNumberFormat="1"/>
    <xf numFmtId="10" fontId="1" fillId="2" borderId="1" xfId="1" applyNumberFormat="1"/>
    <xf numFmtId="41" fontId="1" fillId="2" borderId="1" xfId="1" applyNumberFormat="1"/>
  </cellXfs>
  <cellStyles count="6">
    <cellStyle name="Calculation" xfId="3" builtinId="22"/>
    <cellStyle name="Input" xfId="1" builtinId="20"/>
    <cellStyle name="Normal" xfId="0" builtinId="0"/>
    <cellStyle name="Note" xfId="5" builtinId="10"/>
    <cellStyle name="Output" xfId="2" builtinId="21"/>
    <cellStyle name="Warning Text" xfId="4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BDH|15451694243662340938</stp>
        <tr r="D7" s="11"/>
      </tp>
      <tp t="s">
        <v>#N/A N/A</v>
        <stp/>
        <stp>BDH|18444005544411093043</stp>
        <tr r="D6" s="1"/>
      </tp>
      <tp t="s">
        <v>#N/A N/A</v>
        <stp/>
        <stp>BDH|13067439001480681238</stp>
        <tr r="D22" s="10"/>
      </tp>
      <tp t="s">
        <v>#N/A N/A</v>
        <stp/>
        <stp>BDH|14596077106249161882</stp>
        <tr r="D14" s="10"/>
      </tp>
    </main>
    <main first="bofaddin.rtdserver">
      <tp t="s">
        <v>#N/A N/A</v>
        <stp/>
        <stp>BDH|3076321258361659838</stp>
        <tr r="D22" s="9"/>
      </tp>
      <tp t="s">
        <v>#N/A N/A</v>
        <stp/>
        <stp>BDH|2233389006818856595</stp>
        <tr r="D14" s="1"/>
      </tp>
      <tp t="s">
        <v>#N/A N/A</v>
        <stp/>
        <stp>BDH|5482893114925152140</stp>
        <tr r="D22" s="8"/>
      </tp>
      <tp t="s">
        <v>#N/A N/A</v>
        <stp/>
        <stp>BDH|5869560841019809863</stp>
        <tr r="D14" s="9"/>
      </tp>
      <tp t="e">
        <v>#N/A</v>
        <stp/>
        <stp>BDH|7149055316765690457</stp>
        <tr r="D25" s="11"/>
      </tp>
      <tp t="s">
        <v>#N/A N/A</v>
        <stp/>
        <stp>BDH|5407238636835901043</stp>
        <tr r="D14" s="8"/>
      </tp>
      <tp t="s">
        <v>#N/A N/A</v>
        <stp/>
        <stp>BDH|9427364414782985886</stp>
        <tr r="D6" s="9"/>
      </tp>
      <tp t="e">
        <v>#N/A</v>
        <stp/>
        <stp>BDH|6964380606843981428</stp>
        <tr r="D16" s="11"/>
      </tp>
      <tp t="s">
        <v>#N/A N/A</v>
        <stp/>
        <stp>BDH|6586939685594135002</stp>
        <tr r="D6" s="10"/>
      </tp>
      <tp t="s">
        <v>#N/A N/A</v>
        <stp/>
        <stp>BDH|1870355918236277644</stp>
        <tr r="D22" s="1"/>
      </tp>
      <tp t="s">
        <v>#N/A N/A</v>
        <stp/>
        <stp>BDH|382063675360167907</stp>
        <tr r="D6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7270-31E4-4E68-AE45-8CC1C1FAF7FB}">
  <dimension ref="A1:Y67"/>
  <sheetViews>
    <sheetView topLeftCell="A5" zoomScale="85" zoomScaleNormal="85" workbookViewId="0">
      <selection activeCell="L27" sqref="L27:O27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26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AZO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3952.012</v>
      </c>
      <c r="V2" s="28" t="str">
        <f ca="1"/>
        <v>0.0240691804310096</v>
      </c>
      <c r="W2" s="29" t="str">
        <f ca="1"/>
        <v>27.4266669456691</v>
      </c>
      <c r="X2" s="28" t="str">
        <f ca="1"/>
        <v>-214.861758400315</v>
      </c>
      <c r="Y2" s="29" t="str">
        <f ca="1"/>
        <v>-0.076555253115857</v>
      </c>
    </row>
    <row r="3" spans="1:25" x14ac:dyDescent="0.25">
      <c r="A3" s="18" t="s">
        <v>3</v>
      </c>
      <c r="B3" s="19">
        <f ca="1">+B4-365*3.25</f>
        <v>44934.75</v>
      </c>
      <c r="Q3" s="24" t="str">
        <f ca="1"/>
        <v>AZO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4464.339</v>
      </c>
      <c r="V3" s="28" t="str">
        <f ca="1"/>
        <v>0.0540325370057975</v>
      </c>
      <c r="W3" s="29" t="str">
        <f ca="1"/>
        <v>299.633565747879</v>
      </c>
      <c r="X3" s="29" t="str">
        <f ca="1"/>
        <v>185.985931827188</v>
      </c>
      <c r="Y3" s="29" t="str">
        <f ca="1"/>
        <v>0.129637005150794</v>
      </c>
    </row>
    <row r="4" spans="1:25" x14ac:dyDescent="0.25">
      <c r="A4" s="20" t="s">
        <v>2</v>
      </c>
      <c r="B4" s="21">
        <f ca="1">TODAY()</f>
        <v>46121</v>
      </c>
      <c r="Q4" s="24" t="str">
        <f ca="1"/>
        <v>AZO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6242.726</v>
      </c>
      <c r="V4" s="28" t="str">
        <f ca="1"/>
        <v>0.00601832603321628</v>
      </c>
      <c r="W4" s="29" t="str">
        <f ca="1"/>
        <v>-480.142109725812</v>
      </c>
      <c r="X4" s="29" t="str">
        <f ca="1"/>
        <v>-844.396874900952</v>
      </c>
      <c r="Y4" s="29" t="str">
        <f ca="1"/>
        <v>0.398353933247453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AZO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4628.63</v>
      </c>
      <c r="V5" s="28" t="str">
        <f ca="1"/>
        <v>0.0815463259651921</v>
      </c>
      <c r="W5" s="29" t="str">
        <f ca="1"/>
        <v>755.279999319758</v>
      </c>
      <c r="X5" s="29" t="str">
        <f ca="1"/>
        <v>602.198122287494</v>
      </c>
      <c r="Y5" s="29" t="str">
        <f ca="1"/>
        <v>-0.258556278138749</v>
      </c>
    </row>
    <row r="6" spans="1:25" x14ac:dyDescent="0.25">
      <c r="D6" s="15" cm="1">
        <f t="array" aca="1" ref="D6:P7" ca="1">+_xll.BDH($B$2,C7,$B$3,$B$4,"DIR=H")</f>
        <v>44968</v>
      </c>
      <c r="E6" s="1">
        <f ca="1"/>
        <v>45052</v>
      </c>
      <c r="F6" s="1">
        <f ca="1"/>
        <v>45164</v>
      </c>
      <c r="G6" s="1">
        <f ca="1"/>
        <v>45248</v>
      </c>
      <c r="H6" s="1">
        <f ca="1"/>
        <v>45332</v>
      </c>
      <c r="I6" s="1">
        <f ca="1"/>
        <v>45416</v>
      </c>
      <c r="J6" s="1">
        <f ca="1"/>
        <v>45535</v>
      </c>
      <c r="K6" s="1">
        <f ca="1"/>
        <v>45619</v>
      </c>
      <c r="L6" s="1">
        <f ca="1"/>
        <v>45703</v>
      </c>
      <c r="M6" s="1">
        <f ca="1"/>
        <v>45787</v>
      </c>
      <c r="N6" s="1">
        <f ca="1"/>
        <v>45899</v>
      </c>
      <c r="O6" s="1">
        <f ca="1"/>
        <v>45983</v>
      </c>
      <c r="P6" s="1">
        <f ca="1"/>
        <v>46067</v>
      </c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AZO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53.8561</v>
      </c>
      <c r="V6" s="29" t="str">
        <f ca="1"/>
        <v>-3.31000000000046</v>
      </c>
      <c r="W6" s="29" t="str">
        <f ca="1"/>
        <v/>
      </c>
      <c r="X6" s="29" t="str">
        <f ca="1"/>
        <v/>
      </c>
      <c r="Y6" s="29" t="str">
        <f ca="1"/>
        <v>85.9699999999997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3690.982</v>
      </c>
      <c r="E7" s="11">
        <f ca="1"/>
        <v>4090.5410000000002</v>
      </c>
      <c r="F7" s="11">
        <f ca="1"/>
        <v>5690.6180000000004</v>
      </c>
      <c r="G7" s="11">
        <f ca="1"/>
        <v>4190.277</v>
      </c>
      <c r="H7" s="11">
        <f ca="1"/>
        <v>3859.1260000000002</v>
      </c>
      <c r="I7" s="11">
        <f ca="1"/>
        <v>4235.4849999999997</v>
      </c>
      <c r="J7" s="11">
        <f ca="1"/>
        <v>6205.38</v>
      </c>
      <c r="K7" s="11">
        <f ca="1"/>
        <v>4279.6409999999996</v>
      </c>
      <c r="L7" s="11">
        <f ca="1"/>
        <v>3952.0120000000002</v>
      </c>
      <c r="M7" s="11">
        <f ca="1"/>
        <v>4464.3389999999999</v>
      </c>
      <c r="N7" s="11">
        <f ca="1"/>
        <v>6242.7259999999997</v>
      </c>
      <c r="O7" s="3">
        <f ca="1"/>
        <v>4628.63</v>
      </c>
      <c r="P7" s="1">
        <f ca="1"/>
        <v>4274.098</v>
      </c>
      <c r="Q7" s="24" t="str">
        <f ca="1"/>
        <v>AZO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52.7183</v>
      </c>
      <c r="V7" s="29" t="str">
        <f ca="1"/>
        <v>-77.0800000000001</v>
      </c>
      <c r="W7" s="29" t="str">
        <f ca="1"/>
        <v/>
      </c>
      <c r="X7" s="29" t="str">
        <f ca="1"/>
        <v/>
      </c>
      <c r="Y7" s="29" t="str">
        <f ca="1"/>
        <v>-113.78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4.5555356271041125E-2</v>
      </c>
      <c r="I8" s="12">
        <f t="shared" ca="1" si="1"/>
        <v>3.5433943823078629E-2</v>
      </c>
      <c r="J8" s="12">
        <f t="shared" ca="1" si="1"/>
        <v>9.0458013523311509E-2</v>
      </c>
      <c r="K8" s="12">
        <f t="shared" ca="1" si="1"/>
        <v>2.1326513736442676E-2</v>
      </c>
      <c r="L8" s="12">
        <f t="shared" ca="1" si="1"/>
        <v>2.4069180431009585E-2</v>
      </c>
      <c r="M8" s="12">
        <f t="shared" ca="1" si="1"/>
        <v>5.4032537005797465E-2</v>
      </c>
      <c r="N8" s="12">
        <f t="shared" ca="1" si="1"/>
        <v>6.0183260332162813E-3</v>
      </c>
      <c r="O8" s="12">
        <f t="shared" ca="1" si="1"/>
        <v>8.1546325965192068E-2</v>
      </c>
      <c r="P8" s="3"/>
      <c r="Q8" s="24" t="str">
        <f ca="1"/>
        <v>AZO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51.5239</v>
      </c>
      <c r="V8" s="29" t="str">
        <f ca="1"/>
        <v>-97.6700000000001</v>
      </c>
      <c r="W8" s="29" t="str">
        <f ca="1"/>
        <v/>
      </c>
      <c r="X8" s="29" t="str">
        <f ca="1"/>
        <v/>
      </c>
      <c r="Y8" s="29" t="str">
        <f ca="1"/>
        <v>-119.44</v>
      </c>
    </row>
    <row r="9" spans="1:25" x14ac:dyDescent="0.25">
      <c r="C9" s="4" t="s">
        <v>19</v>
      </c>
      <c r="D9" s="1"/>
      <c r="L9" s="7">
        <f ca="1">(L8-K8)*10000</f>
        <v>27.426666945669087</v>
      </c>
      <c r="M9" s="7">
        <f ca="1">(M8-L8)*10000</f>
        <v>299.63356574787883</v>
      </c>
      <c r="N9" s="7">
        <f ca="1">(N8-M8)*10000</f>
        <v>-480.14210972581185</v>
      </c>
      <c r="O9" s="7">
        <f ca="1">(O8-N8)*10000</f>
        <v>755.27999931975785</v>
      </c>
      <c r="Q9" s="22" t="str">
        <f ca="1"/>
        <v>AZO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50.9722</v>
      </c>
      <c r="V9" s="29" t="str">
        <f ca="1"/>
        <v>-202.42</v>
      </c>
      <c r="W9" s="29" t="str">
        <f ca="1"/>
        <v/>
      </c>
      <c r="X9" s="29" t="str">
        <f ca="1"/>
        <v/>
      </c>
      <c r="Y9" s="29" t="str">
        <f ca="1"/>
        <v>-55.1699999999997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-214.86175840031541</v>
      </c>
      <c r="M10" s="7">
        <f ca="1">(M8-I8)*10000</f>
        <v>185.98593182718838</v>
      </c>
      <c r="N10" s="7">
        <f ca="1">(N8-J8)*10000</f>
        <v>-844.3968749009523</v>
      </c>
      <c r="O10" s="7">
        <f ca="1">(O8-K8)*10000</f>
        <v>602.1981222874939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AZO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17.8837</v>
      </c>
      <c r="V10" s="29" t="str">
        <f ca="1"/>
        <v>-137.56</v>
      </c>
      <c r="W10" s="29" t="str">
        <f ca="1"/>
        <v/>
      </c>
      <c r="X10" s="29" t="str">
        <f ca="1"/>
        <v/>
      </c>
      <c r="Y10" s="29" t="str">
        <f ca="1"/>
        <v>-177.1</v>
      </c>
    </row>
    <row r="11" spans="1:25" x14ac:dyDescent="0.25">
      <c r="C11" s="4" t="s">
        <v>5</v>
      </c>
      <c r="D11" s="1"/>
      <c r="L11" s="12">
        <f t="shared" ref="L11:O11" ca="1" si="2">L7/K7-1</f>
        <v>-7.655525311585698E-2</v>
      </c>
      <c r="M11" s="12">
        <f t="shared" ca="1" si="2"/>
        <v>0.12963700515079402</v>
      </c>
      <c r="N11" s="12">
        <f t="shared" ca="1" si="2"/>
        <v>0.39835393324745261</v>
      </c>
      <c r="O11" s="12">
        <f t="shared" ca="1" si="2"/>
        <v>-0.25855627813874893</v>
      </c>
      <c r="Q11" s="24" t="str">
        <f ca="1"/>
        <v>AZO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19.4021</v>
      </c>
      <c r="V11" s="29" t="str">
        <f ca="1"/>
        <v>-185.12</v>
      </c>
      <c r="W11" s="29" t="str">
        <f ca="1"/>
        <v/>
      </c>
      <c r="X11" s="29" t="str">
        <f ca="1"/>
        <v/>
      </c>
      <c r="Y11" s="29" t="str">
        <f ca="1"/>
        <v>151.84</v>
      </c>
    </row>
    <row r="12" spans="1:25" x14ac:dyDescent="0.25">
      <c r="Q12" s="24" t="str">
        <f ca="1"/>
        <v>AZO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19.1593</v>
      </c>
      <c r="V12" s="29" t="str">
        <f ca="1"/>
        <v>-173.68</v>
      </c>
      <c r="W12" s="29" t="str">
        <f ca="1"/>
        <v/>
      </c>
      <c r="X12" s="29" t="str">
        <f ca="1"/>
        <v/>
      </c>
      <c r="Y12" s="29" t="str">
        <f ca="1"/>
        <v>-24.2799999999999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AZO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16.9425</v>
      </c>
      <c r="V13" s="29" t="str">
        <f ca="1"/>
        <v>-271.22</v>
      </c>
      <c r="W13" s="29" t="str">
        <f ca="1"/>
        <v/>
      </c>
      <c r="X13" s="29" t="str">
        <f ca="1"/>
        <v/>
      </c>
      <c r="Y13" s="29" t="str">
        <f ca="1"/>
        <v>-221.68</v>
      </c>
    </row>
    <row r="14" spans="1:25" x14ac:dyDescent="0.25">
      <c r="D14" s="1" cm="1">
        <f t="array" aca="1" ref="D14:P15" ca="1">+_xll.BDH($B$2,C15,$B$3,$B$4,"DIR=H")</f>
        <v>44968</v>
      </c>
      <c r="E14" s="1">
        <f ca="1"/>
        <v>45052</v>
      </c>
      <c r="F14" s="1">
        <f ca="1"/>
        <v>45164</v>
      </c>
      <c r="G14" s="1">
        <f ca="1"/>
        <v>45248</v>
      </c>
      <c r="H14" s="1">
        <f ca="1"/>
        <v>45332</v>
      </c>
      <c r="I14" s="1">
        <f ca="1"/>
        <v>45416</v>
      </c>
      <c r="J14" s="1">
        <f ca="1"/>
        <v>45535</v>
      </c>
      <c r="K14" s="1">
        <f ca="1"/>
        <v>45619</v>
      </c>
      <c r="L14" s="1">
        <f ca="1"/>
        <v>45703</v>
      </c>
      <c r="M14" s="1">
        <f ca="1"/>
        <v>45787</v>
      </c>
      <c r="N14" s="1">
        <f ca="1"/>
        <v>45899</v>
      </c>
      <c r="O14" s="1">
        <f ca="1"/>
        <v>45983</v>
      </c>
      <c r="P14" s="1">
        <f ca="1"/>
        <v>46067</v>
      </c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AZO US EQUITY</v>
      </c>
      <c r="R14" s="24">
        <v>45747</v>
      </c>
      <c r="S14" s="25" t="str">
        <v>custom</v>
      </c>
      <c r="T14" s="26" t="str">
        <v>sss_growth</v>
      </c>
      <c r="U14" s="30" t="str">
        <v>0.019</v>
      </c>
      <c r="V14" s="29" t="str">
        <v>160</v>
      </c>
      <c r="W14" s="29" t="str">
        <v/>
      </c>
      <c r="X14" s="29" t="str">
        <v/>
      </c>
      <c r="Y14" s="29" t="str">
        <v>160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52.289700000000003</v>
      </c>
      <c r="E15" s="3">
        <f ca="1"/>
        <v>52.465600000000002</v>
      </c>
      <c r="F15" s="3">
        <f ca="1"/>
        <v>52.712600000000002</v>
      </c>
      <c r="G15" s="3">
        <f ca="1"/>
        <v>52.837000000000003</v>
      </c>
      <c r="H15" s="3">
        <f ca="1"/>
        <v>53.889200000000002</v>
      </c>
      <c r="I15" s="3">
        <f ca="1"/>
        <v>53.489100000000001</v>
      </c>
      <c r="J15" s="3">
        <f ca="1"/>
        <v>52.500599999999999</v>
      </c>
      <c r="K15" s="3">
        <f ca="1"/>
        <v>52.996400000000001</v>
      </c>
      <c r="L15" s="3">
        <f ca="1"/>
        <v>53.856099999999998</v>
      </c>
      <c r="M15" s="3">
        <f ca="1"/>
        <v>52.718299999999999</v>
      </c>
      <c r="N15" s="3">
        <f ca="1"/>
        <v>51.523899999999998</v>
      </c>
      <c r="O15">
        <f ca="1"/>
        <v>50.972200000000001</v>
      </c>
      <c r="P15">
        <f ca="1"/>
        <v>52.487299999999998</v>
      </c>
      <c r="Q15" s="24" t="str">
        <v>AZO US EQUITY</v>
      </c>
      <c r="R15" s="24">
        <v>45838</v>
      </c>
      <c r="S15" s="25" t="str">
        <v>custom</v>
      </c>
      <c r="T15" s="26" t="str">
        <v>sss_growth</v>
      </c>
      <c r="U15" s="30" t="str">
        <v>0.05</v>
      </c>
      <c r="V15" s="29" t="str">
        <v>450</v>
      </c>
      <c r="W15" s="29" t="str">
        <v/>
      </c>
      <c r="X15" s="29" t="str">
        <v/>
      </c>
      <c r="Y15" s="29" t="str">
        <v>310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" ca="1" si="4">(H15-D15)*100</f>
        <v>159.9499999999999</v>
      </c>
      <c r="I16" s="7">
        <f t="shared" ref="I16" ca="1" si="5">(I15-E15)*100</f>
        <v>102.34999999999985</v>
      </c>
      <c r="J16" s="7">
        <f t="shared" ref="J16" ca="1" si="6">(J15-F15)*100</f>
        <v>-21.20000000000033</v>
      </c>
      <c r="K16" s="7">
        <f t="shared" ref="K16:O16" ca="1" si="7">(K15-G15)*100</f>
        <v>15.939999999999799</v>
      </c>
      <c r="L16" s="7">
        <f t="shared" ca="1" si="7"/>
        <v>-3.310000000000457</v>
      </c>
      <c r="M16" s="7">
        <f t="shared" ca="1" si="7"/>
        <v>-77.080000000000126</v>
      </c>
      <c r="N16" s="7">
        <f t="shared" ca="1" si="7"/>
        <v>-97.670000000000101</v>
      </c>
      <c r="O16" s="7">
        <f t="shared" ca="1" si="7"/>
        <v>-202.42000000000004</v>
      </c>
      <c r="Q16" s="24" t="str">
        <v>AZO US EQUITY</v>
      </c>
      <c r="R16" s="24">
        <v>45930</v>
      </c>
      <c r="S16" s="25" t="str">
        <v>custom</v>
      </c>
      <c r="T16" s="26" t="str">
        <v>sss_growth</v>
      </c>
      <c r="U16" s="30" t="str">
        <v>0.048</v>
      </c>
      <c r="V16" s="29" t="str">
        <v>460</v>
      </c>
      <c r="W16" s="29" t="str">
        <v/>
      </c>
      <c r="X16" s="29" t="str">
        <v/>
      </c>
      <c r="Y16" s="29" t="str">
        <v>-20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AZO US EQUITY</v>
      </c>
      <c r="R17" s="24">
        <v>46022</v>
      </c>
      <c r="S17" s="25" t="str">
        <v>custom</v>
      </c>
      <c r="T17" s="26" t="str">
        <v>sss_growth</v>
      </c>
      <c r="U17" s="30" t="str">
        <v>0.048</v>
      </c>
      <c r="V17" s="29" t="str">
        <v>450</v>
      </c>
      <c r="W17" s="29" t="str">
        <v/>
      </c>
      <c r="X17" s="29" t="str">
        <v/>
      </c>
      <c r="Y17" s="29" t="str">
        <v>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AZO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25">
      <c r="C19" s="4" t="s">
        <v>5</v>
      </c>
      <c r="D19" s="1"/>
      <c r="K19" s="7"/>
      <c r="L19" s="7">
        <f ca="1">(L15-K15)*100</f>
        <v>85.969999999999658</v>
      </c>
      <c r="M19" s="7">
        <f t="shared" ref="M19:O19" ca="1" si="8">(M15-L15)*100</f>
        <v>-113.77999999999986</v>
      </c>
      <c r="N19" s="7">
        <f t="shared" ca="1" si="8"/>
        <v>-119.44000000000017</v>
      </c>
      <c r="O19" s="7">
        <f t="shared" ca="1" si="8"/>
        <v>-55.169999999999675</v>
      </c>
      <c r="Q19" s="24" t="str">
        <v>AZO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25">
      <c r="Q20" s="24" t="str">
        <v>AZO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9">EOMONTH(DATE(YEAR(G22),ROUNDUP(MONTH(G22)/3,0)*3,1),0)</f>
        <v>45291</v>
      </c>
      <c r="H21" s="14">
        <f t="shared" ca="1" si="9"/>
        <v>45382</v>
      </c>
      <c r="I21" s="14">
        <f t="shared" ca="1" si="9"/>
        <v>45473</v>
      </c>
      <c r="J21" s="14">
        <f t="shared" ca="1" si="9"/>
        <v>45565</v>
      </c>
      <c r="K21" s="14">
        <f t="shared" ca="1" si="9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AZO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25">
      <c r="D22" s="1" cm="1">
        <f t="array" aca="1" ref="D22:P23" ca="1">+_xll.BDH($B$2,C23,$B$3,$B$4,"DIR=H")</f>
        <v>44968</v>
      </c>
      <c r="E22" s="1">
        <f ca="1"/>
        <v>45052</v>
      </c>
      <c r="F22" s="1">
        <f ca="1"/>
        <v>45164</v>
      </c>
      <c r="G22" s="1">
        <f ca="1"/>
        <v>45248</v>
      </c>
      <c r="H22" s="1">
        <f ca="1"/>
        <v>45332</v>
      </c>
      <c r="I22" s="1">
        <f ca="1"/>
        <v>45416</v>
      </c>
      <c r="J22" s="1">
        <f ca="1"/>
        <v>45535</v>
      </c>
      <c r="K22" s="1">
        <f ca="1"/>
        <v>45619</v>
      </c>
      <c r="L22" s="1">
        <f ca="1"/>
        <v>45703</v>
      </c>
      <c r="M22" s="1">
        <f ca="1"/>
        <v>45787</v>
      </c>
      <c r="N22" s="1">
        <f ca="1"/>
        <v>45899</v>
      </c>
      <c r="O22" s="1">
        <f ca="1"/>
        <v>45983</v>
      </c>
      <c r="P22" s="1">
        <f ca="1"/>
        <v>46067</v>
      </c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AZO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18.151700000000002</v>
      </c>
      <c r="E23" s="3">
        <f ca="1"/>
        <v>20.986999999999998</v>
      </c>
      <c r="F23" s="3">
        <f ca="1"/>
        <v>21.482700000000001</v>
      </c>
      <c r="G23" s="3">
        <f ca="1"/>
        <v>20.2517</v>
      </c>
      <c r="H23" s="3">
        <f ca="1"/>
        <v>19.2593</v>
      </c>
      <c r="I23" s="3">
        <f ca="1"/>
        <v>21.253299999999999</v>
      </c>
      <c r="J23" s="3">
        <f ca="1"/>
        <v>20.896100000000001</v>
      </c>
      <c r="K23" s="3">
        <f ca="1"/>
        <v>19.654699999999998</v>
      </c>
      <c r="L23" s="3">
        <f ca="1"/>
        <v>17.883700000000001</v>
      </c>
      <c r="M23" s="3">
        <f ca="1"/>
        <v>19.402100000000001</v>
      </c>
      <c r="N23" s="3">
        <f ca="1"/>
        <v>19.159300000000002</v>
      </c>
      <c r="O23">
        <f ca="1"/>
        <v>16.942499999999999</v>
      </c>
      <c r="P23">
        <f ca="1"/>
        <v>16.3416</v>
      </c>
      <c r="Q23" s="24" t="str">
        <v>AZO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" ca="1" si="10">(H23-D23)*100</f>
        <v>110.75999999999979</v>
      </c>
      <c r="I24" s="7">
        <f t="shared" ref="I24" ca="1" si="11">(I23-E23)*100</f>
        <v>26.630000000000109</v>
      </c>
      <c r="J24" s="7">
        <f t="shared" ref="J24" ca="1" si="12">(J23-F23)*100</f>
        <v>-58.660000000000068</v>
      </c>
      <c r="K24" s="7">
        <f t="shared" ref="K24" ca="1" si="13">(K23-G23)*100</f>
        <v>-59.700000000000131</v>
      </c>
      <c r="L24" s="7">
        <f t="shared" ref="L24" ca="1" si="14">(L23-H23)*100</f>
        <v>-137.55999999999986</v>
      </c>
      <c r="M24" s="7">
        <f t="shared" ref="M24" ca="1" si="15">(M23-I23)*100</f>
        <v>-185.11999999999986</v>
      </c>
      <c r="N24" s="7">
        <f t="shared" ref="N24:O24" ca="1" si="16">(N23-J23)*100</f>
        <v>-173.67999999999989</v>
      </c>
      <c r="O24" s="7">
        <f t="shared" ca="1" si="16"/>
        <v>-271.21999999999991</v>
      </c>
      <c r="Q24" s="24" t="str">
        <v>AZO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AZO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AZO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-177.09999999999974</v>
      </c>
      <c r="M27" s="7">
        <f t="shared" ref="M27:O27" ca="1" si="17">(M23-L23)*100</f>
        <v>151.83999999999997</v>
      </c>
      <c r="N27" s="7">
        <f t="shared" ca="1" si="17"/>
        <v>-24.279999999999902</v>
      </c>
      <c r="O27" s="7">
        <f t="shared" ca="1" si="17"/>
        <v>-221.68000000000029</v>
      </c>
      <c r="Q27" s="24" t="str">
        <v>AZO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AZO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>
        <f t="shared" ref="D29" si="18">EOMONTH(DATE(YEAR(D30),ROUNDUP(MONTH(D30)/3,0)*3,1),0)</f>
        <v>91</v>
      </c>
      <c r="E29" s="14">
        <f t="shared" ref="E29" si="19">EOMONTH(DATE(YEAR(E30),ROUNDUP(MONTH(E30)/3,0)*3,1),0)</f>
        <v>45107</v>
      </c>
      <c r="F29" s="14">
        <f t="shared" ref="F29" si="20">EOMONTH(DATE(YEAR(F30),ROUNDUP(MONTH(F30)/3,0)*3,1),0)</f>
        <v>45199</v>
      </c>
      <c r="G29" s="14">
        <f t="shared" ref="G29" si="21">EOMONTH(DATE(YEAR(G30),ROUNDUP(MONTH(G30)/3,0)*3,1),0)</f>
        <v>45291</v>
      </c>
      <c r="H29" s="14">
        <f t="shared" ref="H29" si="22">EOMONTH(DATE(YEAR(H30),ROUNDUP(MONTH(H30)/3,0)*3,1),0)</f>
        <v>45382</v>
      </c>
      <c r="I29" s="14">
        <f t="shared" ref="I29:J29" si="23">EOMONTH(DATE(YEAR(I30),ROUNDUP(MONTH(I30)/3,0)*3,1),0)</f>
        <v>45473</v>
      </c>
      <c r="J29" s="14">
        <f t="shared" si="23"/>
        <v>45565</v>
      </c>
      <c r="K29" s="14">
        <f t="shared" ref="K29:L29" si="24">EOMONTH(DATE(YEAR(K30),ROUNDUP(MONTH(K30)/3,0)*3,1),0)</f>
        <v>45657</v>
      </c>
      <c r="L29" s="14">
        <f t="shared" si="24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AZO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45052</v>
      </c>
      <c r="F30" s="2">
        <v>45164</v>
      </c>
      <c r="G30" s="2">
        <v>45248</v>
      </c>
      <c r="H30" s="2">
        <v>45332</v>
      </c>
      <c r="I30" s="2">
        <v>45416</v>
      </c>
      <c r="J30" s="2">
        <v>45535</v>
      </c>
      <c r="K30" s="2">
        <v>45619</v>
      </c>
      <c r="L30" s="2">
        <v>45703</v>
      </c>
      <c r="M30" s="2">
        <v>45787</v>
      </c>
      <c r="N30" s="2">
        <v>45899</v>
      </c>
      <c r="O30" s="2">
        <v>45983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AZO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32</v>
      </c>
      <c r="C31" s="2" t="s">
        <v>31</v>
      </c>
      <c r="D31" s="10"/>
      <c r="E31" s="10"/>
      <c r="F31" s="10"/>
      <c r="G31" s="8">
        <v>1.2E-2</v>
      </c>
      <c r="H31" s="8">
        <v>3.0000000000000001E-3</v>
      </c>
      <c r="I31" s="8">
        <v>5.0000000000000001E-3</v>
      </c>
      <c r="J31" s="8">
        <v>2E-3</v>
      </c>
      <c r="K31" s="8">
        <v>3.0000000000000001E-3</v>
      </c>
      <c r="L31" s="8">
        <v>1.9E-2</v>
      </c>
      <c r="M31" s="8">
        <v>0.05</v>
      </c>
      <c r="N31" s="8">
        <v>4.8000000000000001E-2</v>
      </c>
      <c r="O31" s="8">
        <v>4.8000000000000001E-2</v>
      </c>
      <c r="Q31" s="24" t="str">
        <v>AZO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/>
      <c r="K32" s="7">
        <f t="shared" ref="K32:L32" si="25">(K31-G31)*10000</f>
        <v>-90.000000000000014</v>
      </c>
      <c r="L32" s="7">
        <f t="shared" si="25"/>
        <v>160</v>
      </c>
      <c r="M32" s="7">
        <f t="shared" ref="M32" si="26">(M31-I31)*10000</f>
        <v>450.00000000000006</v>
      </c>
      <c r="N32" s="7">
        <f t="shared" ref="N32:O32" si="27">(N31-J31)*10000</f>
        <v>460</v>
      </c>
      <c r="O32" s="7">
        <f t="shared" si="27"/>
        <v>450</v>
      </c>
      <c r="Q32" s="24" t="str">
        <v>AZO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AZO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28">(G31-F31)*10000</f>
        <v>120</v>
      </c>
      <c r="H35" s="7">
        <f t="shared" si="28"/>
        <v>-90.000000000000014</v>
      </c>
      <c r="I35" s="7">
        <f t="shared" si="28"/>
        <v>20</v>
      </c>
      <c r="J35" s="7">
        <f t="shared" si="28"/>
        <v>-30</v>
      </c>
      <c r="K35" s="7">
        <f t="shared" si="28"/>
        <v>10</v>
      </c>
      <c r="L35" s="7">
        <f>(L31-K31)*10000</f>
        <v>160</v>
      </c>
      <c r="M35" s="7">
        <f t="shared" ref="M35" si="29">(M31-L31)*10000</f>
        <v>310.00000000000006</v>
      </c>
      <c r="N35" s="7">
        <f t="shared" ref="N35:O35" si="30">(N31-M31)*10000</f>
        <v>-20.000000000000018</v>
      </c>
      <c r="O35" s="7">
        <f t="shared" si="30"/>
        <v>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2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2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25">
      <c r="C41" s="4"/>
      <c r="D41" s="1"/>
      <c r="L41" s="7"/>
      <c r="M41" s="7"/>
      <c r="N41" s="7"/>
      <c r="O41" s="7"/>
    </row>
    <row r="42" spans="1:25" x14ac:dyDescent="0.2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25">
      <c r="C43" s="4"/>
      <c r="D43" s="1"/>
      <c r="L43" s="12"/>
      <c r="M43" s="12"/>
      <c r="N43" s="12"/>
      <c r="O43" s="12"/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7023-C680-4D8A-BD09-27D32E3E49A7}">
  <dimension ref="A1:Y67"/>
  <sheetViews>
    <sheetView topLeftCell="A8" zoomScale="85" zoomScaleNormal="85" workbookViewId="0">
      <selection activeCell="L27" sqref="L27:O27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27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CASY US EQUITY</v>
      </c>
      <c r="R2" s="24">
        <f ca="1"/>
        <v>45747</v>
      </c>
      <c r="S2" s="25" t="str">
        <f ca="1"/>
        <v>canonical</v>
      </c>
      <c r="T2" s="26" t="str">
        <f ca="1"/>
        <v>revenue</v>
      </c>
      <c r="U2" s="27" t="str">
        <f ca="1"/>
        <v>3903.633</v>
      </c>
      <c r="V2" s="28" t="str">
        <f ca="1"/>
        <v>0.172527301218564</v>
      </c>
      <c r="W2" s="29" t="str">
        <f ca="1"/>
        <v>2014.68596366679</v>
      </c>
      <c r="X2" s="28" t="str">
        <f ca="1"/>
        <v>1735.19932998084</v>
      </c>
      <c r="Y2" s="29" t="str">
        <f ca="1"/>
        <v>-0.0109299475444611</v>
      </c>
    </row>
    <row r="3" spans="1:25" x14ac:dyDescent="0.25">
      <c r="A3" s="18" t="s">
        <v>3</v>
      </c>
      <c r="B3" s="19">
        <f ca="1">+B4-365*3.25</f>
        <v>44934.75</v>
      </c>
      <c r="Q3" s="24" t="str">
        <f ca="1"/>
        <v>CASY US EQUITY</v>
      </c>
      <c r="R3" s="24">
        <f ca="1"/>
        <v>45838</v>
      </c>
      <c r="S3" s="25" t="str">
        <f ca="1"/>
        <v>canonical</v>
      </c>
      <c r="T3" s="26" t="str">
        <f ca="1"/>
        <v>revenue</v>
      </c>
      <c r="U3" s="27" t="str">
        <f ca="1"/>
        <v>3992.758</v>
      </c>
      <c r="V3" s="28" t="str">
        <f ca="1"/>
        <v>0.109094823216014</v>
      </c>
      <c r="W3" s="29" t="str">
        <f ca="1"/>
        <v>-634.324780025495</v>
      </c>
      <c r="X3" s="29" t="str">
        <f ca="1"/>
        <v>275.873522836596</v>
      </c>
      <c r="Y3" s="29" t="str">
        <f ca="1"/>
        <v>0.0228312958723322</v>
      </c>
    </row>
    <row r="4" spans="1:25" x14ac:dyDescent="0.25">
      <c r="A4" s="20" t="s">
        <v>2</v>
      </c>
      <c r="B4" s="21">
        <f ca="1">TODAY()</f>
        <v>46121</v>
      </c>
      <c r="Q4" s="24" t="str">
        <f ca="1"/>
        <v>CASY US EQUITY</v>
      </c>
      <c r="R4" s="24">
        <f ca="1"/>
        <v>45930</v>
      </c>
      <c r="S4" s="25" t="str">
        <f ca="1"/>
        <v>canonical</v>
      </c>
      <c r="T4" s="26" t="str">
        <f ca="1"/>
        <v>revenue</v>
      </c>
      <c r="U4" s="27" t="str">
        <f ca="1"/>
        <v>4567.106</v>
      </c>
      <c r="V4" s="28" t="str">
        <f ca="1"/>
        <v>0.114543466308355</v>
      </c>
      <c r="W4" s="29" t="str">
        <f ca="1"/>
        <v>54.4864309234083</v>
      </c>
      <c r="X4" s="29" t="str">
        <f ca="1"/>
        <v>554.917273542268</v>
      </c>
      <c r="Y4" s="29" t="str">
        <f ca="1"/>
        <v>0.143847435782484</v>
      </c>
    </row>
    <row r="5" spans="1:25" x14ac:dyDescent="0.25">
      <c r="C5" s="13" t="s">
        <v>12</v>
      </c>
      <c r="D5" s="14">
        <f ca="1">EOMONTH(DATE(YEAR(D6),ROUNDUP(MONTH(D6)/3,0)*3,1),0)</f>
        <v>45016</v>
      </c>
      <c r="E5" s="14">
        <f ca="1">EOMONTH(DATE(YEAR(E6),ROUNDUP(MONTH(E6)/3,0)*3,1),0)</f>
        <v>45107</v>
      </c>
      <c r="F5" s="14">
        <f ca="1">EOMONTH(DATE(YEAR(F6),ROUNDUP(MONTH(F6)/3,0)*3,1),0)</f>
        <v>45199</v>
      </c>
      <c r="G5" s="14">
        <f t="shared" ref="G5:K5" ca="1" si="0">EOMONTH(DATE(YEAR(G6),ROUNDUP(MONTH(G6)/3,0)*3,1),0)</f>
        <v>45291</v>
      </c>
      <c r="H5" s="14">
        <f t="shared" ca="1" si="0"/>
        <v>45382</v>
      </c>
      <c r="I5" s="14">
        <f t="shared" ca="1" si="0"/>
        <v>45473</v>
      </c>
      <c r="J5" s="14">
        <f t="shared" ca="1" si="0"/>
        <v>45565</v>
      </c>
      <c r="K5" s="14">
        <f t="shared" ca="1" si="0"/>
        <v>45657</v>
      </c>
      <c r="L5" s="14">
        <f ca="1">EOMONTH(DATE(YEAR(L6),ROUNDUP(MONTH(L6)/3,0)*3,1),0)</f>
        <v>45747</v>
      </c>
      <c r="M5" s="14">
        <f ca="1">EOMONTH(DATE(YEAR(M6),ROUNDUP(MONTH(M6)/3,0)*3,1),0)</f>
        <v>45838</v>
      </c>
      <c r="N5" s="14">
        <f ca="1">EOMONTH(DATE(YEAR(N6),ROUNDUP(MONTH(N6)/3,0)*3,1),0)</f>
        <v>45930</v>
      </c>
      <c r="O5" s="14">
        <f ca="1">EOMONTH(DATE(YEAR(O6),ROUNDUP(MONTH(O6)/3,0)*3,1),0)</f>
        <v>46022</v>
      </c>
      <c r="Q5" s="24" t="str">
        <f ca="1"/>
        <v>CASY US EQUITY</v>
      </c>
      <c r="R5" s="24">
        <f ca="1"/>
        <v>46022</v>
      </c>
      <c r="S5" s="25" t="str">
        <f ca="1"/>
        <v>canonical</v>
      </c>
      <c r="T5" s="26" t="str">
        <f ca="1"/>
        <v>revenue</v>
      </c>
      <c r="U5" s="27" t="str">
        <f ca="1"/>
        <v>4506.084</v>
      </c>
      <c r="V5" s="28" t="str">
        <f ca="1"/>
        <v>0.14171407461948</v>
      </c>
      <c r="W5" s="29" t="str">
        <f ca="1"/>
        <v>271.706083111249</v>
      </c>
      <c r="X5" s="29" t="str">
        <f ca="1"/>
        <v>1706.55369767595</v>
      </c>
      <c r="Y5" s="29" t="str">
        <f ca="1"/>
        <v>-0.0133611963462201</v>
      </c>
    </row>
    <row r="6" spans="1:25" x14ac:dyDescent="0.25">
      <c r="D6" s="15" cm="1">
        <f t="array" aca="1" ref="D6:P7" ca="1">+_xll.BDH($B$2,C7,$B$3,$B$4,"DIR=H")</f>
        <v>44957</v>
      </c>
      <c r="E6" s="1">
        <f ca="1"/>
        <v>45046</v>
      </c>
      <c r="F6" s="1">
        <f ca="1"/>
        <v>45138</v>
      </c>
      <c r="G6" s="1">
        <f ca="1"/>
        <v>45230</v>
      </c>
      <c r="H6" s="1">
        <f ca="1"/>
        <v>45322</v>
      </c>
      <c r="I6" s="1">
        <f ca="1"/>
        <v>45412</v>
      </c>
      <c r="J6" s="1">
        <f ca="1"/>
        <v>45504</v>
      </c>
      <c r="K6" s="1">
        <f ca="1"/>
        <v>45596</v>
      </c>
      <c r="L6" s="1">
        <f ca="1"/>
        <v>45688</v>
      </c>
      <c r="M6" s="1">
        <f ca="1"/>
        <v>45777</v>
      </c>
      <c r="N6" s="1">
        <f ca="1"/>
        <v>45869</v>
      </c>
      <c r="O6" s="1">
        <f ca="1"/>
        <v>45961</v>
      </c>
      <c r="P6" s="1">
        <f ca="1"/>
        <v>46053</v>
      </c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CASY US EQUITY</v>
      </c>
      <c r="R6" s="24">
        <f ca="1"/>
        <v>45747</v>
      </c>
      <c r="S6" s="25" t="str">
        <f ca="1"/>
        <v>canonical</v>
      </c>
      <c r="T6" s="26" t="str">
        <f ca="1"/>
        <v>gross_margin_gaap</v>
      </c>
      <c r="U6" s="30" t="str">
        <f ca="1"/>
        <v>23.3774</v>
      </c>
      <c r="V6" s="29" t="str">
        <f ca="1"/>
        <v>-24.7299999999999</v>
      </c>
      <c r="W6" s="29" t="str">
        <f ca="1"/>
        <v/>
      </c>
      <c r="X6" s="29" t="str">
        <f ca="1"/>
        <v/>
      </c>
      <c r="Y6" s="29" t="str">
        <f ca="1"/>
        <v>-90.9799999999997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3332.5549999999998</v>
      </c>
      <c r="E7" s="11">
        <f ca="1"/>
        <v>3328.701</v>
      </c>
      <c r="F7" s="11">
        <f ca="1"/>
        <v>3869.2510000000002</v>
      </c>
      <c r="G7" s="11">
        <f ca="1"/>
        <v>4064.4</v>
      </c>
      <c r="H7" s="11">
        <f ca="1"/>
        <v>3329.2469999999998</v>
      </c>
      <c r="I7" s="11">
        <f ca="1"/>
        <v>3600.0149999999999</v>
      </c>
      <c r="J7" s="11">
        <f ca="1"/>
        <v>4097.7370000000001</v>
      </c>
      <c r="K7" s="11">
        <f ca="1"/>
        <v>3946.7710000000002</v>
      </c>
      <c r="L7" s="11">
        <f ca="1"/>
        <v>3903.6329999999998</v>
      </c>
      <c r="M7" s="11">
        <f ca="1"/>
        <v>3992.7579999999998</v>
      </c>
      <c r="N7" s="11">
        <f ca="1"/>
        <v>4567.1059999999998</v>
      </c>
      <c r="O7" s="3">
        <f ca="1"/>
        <v>4506.0839999999998</v>
      </c>
      <c r="P7" s="1">
        <f ca="1"/>
        <v>3916.1320000000001</v>
      </c>
      <c r="Q7" s="24" t="str">
        <f ca="1"/>
        <v>CASY US EQUITY</v>
      </c>
      <c r="R7" s="24">
        <f ca="1"/>
        <v>45838</v>
      </c>
      <c r="S7" s="25" t="str">
        <f ca="1"/>
        <v>canonical</v>
      </c>
      <c r="T7" s="26" t="str">
        <f ca="1"/>
        <v>gross_margin_gaap</v>
      </c>
      <c r="U7" s="30" t="str">
        <f ca="1"/>
        <v>23.1925</v>
      </c>
      <c r="V7" s="29" t="str">
        <f ca="1"/>
        <v>102.39</v>
      </c>
      <c r="W7" s="29" t="str">
        <f ca="1"/>
        <v/>
      </c>
      <c r="X7" s="29" t="str">
        <f ca="1"/>
        <v/>
      </c>
      <c r="Y7" s="29" t="str">
        <f ca="1"/>
        <v>-18.4900000000003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-9.9263177952046977E-4</v>
      </c>
      <c r="I8" s="12">
        <f t="shared" ca="1" si="1"/>
        <v>8.1507470932354664E-2</v>
      </c>
      <c r="J8" s="12">
        <f t="shared" ca="1" si="1"/>
        <v>5.9051738954128297E-2</v>
      </c>
      <c r="K8" s="12">
        <f t="shared" ca="1" si="1"/>
        <v>-2.8941295148115276E-2</v>
      </c>
      <c r="L8" s="12">
        <f t="shared" ca="1" si="1"/>
        <v>0.17252730121856374</v>
      </c>
      <c r="M8" s="12">
        <f t="shared" ca="1" si="1"/>
        <v>0.10909482321601427</v>
      </c>
      <c r="N8" s="12">
        <f t="shared" ca="1" si="1"/>
        <v>0.1145434663083551</v>
      </c>
      <c r="O8" s="12">
        <f t="shared" ca="1" si="1"/>
        <v>0.14171407461948005</v>
      </c>
      <c r="P8" s="3"/>
      <c r="Q8" s="24" t="str">
        <f ca="1"/>
        <v>CASY US EQUITY</v>
      </c>
      <c r="R8" s="24">
        <f ca="1"/>
        <v>45930</v>
      </c>
      <c r="S8" s="25" t="str">
        <f ca="1"/>
        <v>canonical</v>
      </c>
      <c r="T8" s="26" t="str">
        <f ca="1"/>
        <v>gross_margin_gaap</v>
      </c>
      <c r="U8" s="30" t="str">
        <f ca="1"/>
        <v>24.3578</v>
      </c>
      <c r="V8" s="29" t="str">
        <f ca="1"/>
        <v>104.6</v>
      </c>
      <c r="W8" s="29" t="str">
        <f ca="1"/>
        <v/>
      </c>
      <c r="X8" s="29" t="str">
        <f ca="1"/>
        <v/>
      </c>
      <c r="Y8" s="29" t="str">
        <f ca="1"/>
        <v>116.53</v>
      </c>
    </row>
    <row r="9" spans="1:25" x14ac:dyDescent="0.25">
      <c r="C9" s="4" t="s">
        <v>19</v>
      </c>
      <c r="D9" s="1"/>
      <c r="L9" s="7">
        <f ca="1">(L8-K8)*10000</f>
        <v>2014.6859636667903</v>
      </c>
      <c r="M9" s="7">
        <f ca="1">(M8-L8)*10000</f>
        <v>-634.32478002549476</v>
      </c>
      <c r="N9" s="7">
        <f ca="1">(N8-M8)*10000</f>
        <v>54.486430923408321</v>
      </c>
      <c r="O9" s="7">
        <f ca="1">(O8-N8)*10000</f>
        <v>271.70608311124943</v>
      </c>
      <c r="Q9" s="22" t="str">
        <f ca="1"/>
        <v>CASY US EQUITY</v>
      </c>
      <c r="R9" s="24">
        <f ca="1"/>
        <v>46022</v>
      </c>
      <c r="S9" s="25" t="str">
        <f ca="1"/>
        <v>canonical</v>
      </c>
      <c r="T9" s="26" t="str">
        <f ca="1"/>
        <v>gross_margin_gaap</v>
      </c>
      <c r="U9" s="30" t="str">
        <f ca="1"/>
        <v>24.8927</v>
      </c>
      <c r="V9" s="29" t="str">
        <f ca="1"/>
        <v>60.5500000000003</v>
      </c>
      <c r="W9" s="29" t="str">
        <f ca="1"/>
        <v/>
      </c>
      <c r="X9" s="29" t="str">
        <f ca="1"/>
        <v/>
      </c>
      <c r="Y9" s="29" t="str">
        <f ca="1"/>
        <v>53.49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1735.1993299808421</v>
      </c>
      <c r="M10" s="7">
        <f ca="1">(M8-I8)*10000</f>
        <v>275.87352283659607</v>
      </c>
      <c r="N10" s="7">
        <f ca="1">(N8-J8)*10000</f>
        <v>554.91727354226805</v>
      </c>
      <c r="O10" s="7">
        <f ca="1">(O8-K8)*10000</f>
        <v>1706.5536976759531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CASY US EQUITY</v>
      </c>
      <c r="R10" s="24">
        <f ca="1"/>
        <v>45747</v>
      </c>
      <c r="S10" s="25" t="str">
        <f ca="1"/>
        <v>canonical</v>
      </c>
      <c r="T10" s="26" t="str">
        <f ca="1"/>
        <v>operating_margin_gaap</v>
      </c>
      <c r="U10" s="30" t="str">
        <f ca="1"/>
        <v>3.5138</v>
      </c>
      <c r="V10" s="29" t="str">
        <f ca="1"/>
        <v>-35.09</v>
      </c>
      <c r="W10" s="29" t="str">
        <f ca="1"/>
        <v/>
      </c>
      <c r="X10" s="29" t="str">
        <f ca="1"/>
        <v/>
      </c>
      <c r="Y10" s="29" t="str">
        <f ca="1"/>
        <v>-287.85</v>
      </c>
    </row>
    <row r="11" spans="1:25" x14ac:dyDescent="0.25">
      <c r="C11" s="4" t="s">
        <v>5</v>
      </c>
      <c r="D11" s="1"/>
      <c r="L11" s="12">
        <f t="shared" ref="L11:O11" ca="1" si="2">L7/K7-1</f>
        <v>-1.0929947544461083E-2</v>
      </c>
      <c r="M11" s="12">
        <f t="shared" ca="1" si="2"/>
        <v>2.2831295872332236E-2</v>
      </c>
      <c r="N11" s="12">
        <f t="shared" ca="1" si="2"/>
        <v>0.14384743578248416</v>
      </c>
      <c r="O11" s="12">
        <f t="shared" ca="1" si="2"/>
        <v>-1.3361196346220128E-2</v>
      </c>
      <c r="Q11" s="24" t="str">
        <f ca="1"/>
        <v>CASY US EQUITY</v>
      </c>
      <c r="R11" s="24">
        <f ca="1"/>
        <v>45838</v>
      </c>
      <c r="S11" s="25" t="str">
        <f ca="1"/>
        <v>canonical</v>
      </c>
      <c r="T11" s="26" t="str">
        <f ca="1"/>
        <v>operating_margin_gaap</v>
      </c>
      <c r="U11" s="30" t="str">
        <f ca="1"/>
        <v>3.8964</v>
      </c>
      <c r="V11" s="29" t="str">
        <f ca="1"/>
        <v>37.75</v>
      </c>
      <c r="W11" s="29" t="str">
        <f ca="1"/>
        <v/>
      </c>
      <c r="X11" s="29" t="str">
        <f ca="1"/>
        <v/>
      </c>
      <c r="Y11" s="29" t="str">
        <f ca="1"/>
        <v>38.26</v>
      </c>
    </row>
    <row r="12" spans="1:25" x14ac:dyDescent="0.25">
      <c r="Q12" s="24" t="str">
        <f ca="1"/>
        <v>CASY US EQUITY</v>
      </c>
      <c r="R12" s="24">
        <f ca="1"/>
        <v>45930</v>
      </c>
      <c r="S12" s="25" t="str">
        <f ca="1"/>
        <v>canonical</v>
      </c>
      <c r="T12" s="26" t="str">
        <f ca="1"/>
        <v>operating_margin_gaap</v>
      </c>
      <c r="U12" s="30" t="str">
        <f ca="1"/>
        <v>6.6849</v>
      </c>
      <c r="V12" s="29" t="str">
        <f ca="1"/>
        <v>55.05</v>
      </c>
      <c r="W12" s="29" t="str">
        <f ca="1"/>
        <v/>
      </c>
      <c r="X12" s="29" t="str">
        <f ca="1"/>
        <v/>
      </c>
      <c r="Y12" s="29" t="str">
        <f ca="1"/>
        <v>278.85</v>
      </c>
    </row>
    <row r="13" spans="1:25" x14ac:dyDescent="0.25">
      <c r="C13" s="13" t="s">
        <v>12</v>
      </c>
      <c r="D13" s="14">
        <f ca="1">EOMONTH(DATE(YEAR(D14),ROUNDUP(MONTH(D14)/3,0)*3,1),0)</f>
        <v>45016</v>
      </c>
      <c r="E13" s="14">
        <f ca="1">EOMONTH(DATE(YEAR(E14),ROUNDUP(MONTH(E14)/3,0)*3,1),0)</f>
        <v>45107</v>
      </c>
      <c r="F13" s="14">
        <f ca="1">EOMONTH(DATE(YEAR(F14),ROUNDUP(MONTH(F14)/3,0)*3,1),0)</f>
        <v>45199</v>
      </c>
      <c r="G13" s="14">
        <f t="shared" ref="G13:K13" ca="1" si="3">EOMONTH(DATE(YEAR(G14),ROUNDUP(MONTH(G14)/3,0)*3,1),0)</f>
        <v>45291</v>
      </c>
      <c r="H13" s="14">
        <f t="shared" ca="1" si="3"/>
        <v>45382</v>
      </c>
      <c r="I13" s="14">
        <f t="shared" ca="1" si="3"/>
        <v>45473</v>
      </c>
      <c r="J13" s="14">
        <f t="shared" ca="1" si="3"/>
        <v>45565</v>
      </c>
      <c r="K13" s="14">
        <f t="shared" ca="1" si="3"/>
        <v>45657</v>
      </c>
      <c r="L13" s="14">
        <f ca="1">EOMONTH(DATE(YEAR(L14),ROUNDUP(MONTH(L14)/3,0)*3,1),0)</f>
        <v>45747</v>
      </c>
      <c r="M13" s="14">
        <f ca="1">EOMONTH(DATE(YEAR(M14),ROUNDUP(MONTH(M14)/3,0)*3,1),0)</f>
        <v>45838</v>
      </c>
      <c r="N13" s="14">
        <f ca="1">EOMONTH(DATE(YEAR(N14),ROUNDUP(MONTH(N14)/3,0)*3,1),0)</f>
        <v>45930</v>
      </c>
      <c r="O13" s="14">
        <f ca="1">EOMONTH(DATE(YEAR(O14),ROUNDUP(MONTH(O14)/3,0)*3,1),0)</f>
        <v>46022</v>
      </c>
      <c r="Q13" s="24" t="str">
        <f ca="1"/>
        <v>CASY US EQUITY</v>
      </c>
      <c r="R13" s="24">
        <f ca="1"/>
        <v>46022</v>
      </c>
      <c r="S13" s="25" t="str">
        <f ca="1"/>
        <v>canonical</v>
      </c>
      <c r="T13" s="26" t="str">
        <f ca="1"/>
        <v>operating_margin_gaap</v>
      </c>
      <c r="U13" s="30" t="str">
        <f ca="1"/>
        <v>6.6284</v>
      </c>
      <c r="V13" s="29" t="str">
        <f ca="1"/>
        <v>23.61</v>
      </c>
      <c r="W13" s="29" t="str">
        <f ca="1"/>
        <v/>
      </c>
      <c r="X13" s="29" t="str">
        <f ca="1"/>
        <v/>
      </c>
      <c r="Y13" s="29" t="str">
        <f ca="1"/>
        <v>-5.64999999999998</v>
      </c>
    </row>
    <row r="14" spans="1:25" x14ac:dyDescent="0.25">
      <c r="D14" s="1" cm="1">
        <f t="array" aca="1" ref="D14:P15" ca="1">+_xll.BDH($B$2,C15,$B$3,$B$4,"DIR=H")</f>
        <v>44957</v>
      </c>
      <c r="E14" s="1">
        <f ca="1"/>
        <v>45046</v>
      </c>
      <c r="F14" s="1">
        <f ca="1"/>
        <v>45138</v>
      </c>
      <c r="G14" s="1">
        <f ca="1"/>
        <v>45230</v>
      </c>
      <c r="H14" s="1">
        <f ca="1"/>
        <v>45322</v>
      </c>
      <c r="I14" s="1">
        <f ca="1"/>
        <v>45412</v>
      </c>
      <c r="J14" s="1">
        <f ca="1"/>
        <v>45504</v>
      </c>
      <c r="K14" s="1">
        <f ca="1"/>
        <v>45596</v>
      </c>
      <c r="L14" s="1">
        <f ca="1"/>
        <v>45688</v>
      </c>
      <c r="M14" s="1">
        <f ca="1"/>
        <v>45777</v>
      </c>
      <c r="N14" s="1">
        <f ca="1"/>
        <v>45869</v>
      </c>
      <c r="O14" s="1">
        <f ca="1"/>
        <v>45961</v>
      </c>
      <c r="P14" s="1">
        <f ca="1"/>
        <v>46053</v>
      </c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CASY US EQUITY</v>
      </c>
      <c r="R14" s="24">
        <v>45747</v>
      </c>
      <c r="S14" s="25" t="str">
        <v>custom</v>
      </c>
      <c r="T14" s="26" t="str">
        <v>prepared_foods_sss_growth</v>
      </c>
      <c r="U14" s="30" t="str">
        <v>0.047</v>
      </c>
      <c r="V14" s="29" t="str">
        <v>-280</v>
      </c>
      <c r="W14" s="29" t="str">
        <v/>
      </c>
      <c r="X14" s="29" t="str">
        <v/>
      </c>
      <c r="Y14" s="29" t="str">
        <v>-50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22.129000000000001</v>
      </c>
      <c r="E15" s="3">
        <f ca="1"/>
        <v>20.661300000000001</v>
      </c>
      <c r="F15" s="3">
        <f ca="1"/>
        <v>22.685400000000001</v>
      </c>
      <c r="G15" s="3">
        <f ca="1"/>
        <v>21.7882</v>
      </c>
      <c r="H15" s="3">
        <f ca="1"/>
        <v>23.624700000000001</v>
      </c>
      <c r="I15" s="3">
        <f ca="1"/>
        <v>22.168600000000001</v>
      </c>
      <c r="J15" s="3">
        <f ca="1"/>
        <v>23.311800000000002</v>
      </c>
      <c r="K15" s="3">
        <f ca="1"/>
        <v>24.287199999999999</v>
      </c>
      <c r="L15" s="3">
        <f ca="1"/>
        <v>23.377400000000002</v>
      </c>
      <c r="M15" s="3">
        <f ca="1"/>
        <v>23.192499999999999</v>
      </c>
      <c r="N15" s="3">
        <f ca="1"/>
        <v>24.357800000000001</v>
      </c>
      <c r="O15">
        <f ca="1"/>
        <v>24.892700000000001</v>
      </c>
      <c r="P15">
        <f ca="1"/>
        <v>25.7027</v>
      </c>
      <c r="Q15" s="24" t="str">
        <v>CASY US EQUITY</v>
      </c>
      <c r="R15" s="24">
        <v>45838</v>
      </c>
      <c r="S15" s="25" t="str">
        <v>custom</v>
      </c>
      <c r="T15" s="26" t="str">
        <v>prepared_foods_sss_growth</v>
      </c>
      <c r="U15" s="30" t="str">
        <v>0.015</v>
      </c>
      <c r="V15" s="29" t="str">
        <v>-730</v>
      </c>
      <c r="W15" s="29" t="str">
        <v/>
      </c>
      <c r="X15" s="29" t="str">
        <v/>
      </c>
      <c r="Y15" s="29" t="str">
        <v>-320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149.56999999999994</v>
      </c>
      <c r="I16" s="7">
        <f t="shared" ca="1" si="4"/>
        <v>150.73000000000008</v>
      </c>
      <c r="J16" s="7">
        <f t="shared" ca="1" si="4"/>
        <v>62.640000000000029</v>
      </c>
      <c r="K16" s="7">
        <f t="shared" ca="1" si="4"/>
        <v>249.89999999999986</v>
      </c>
      <c r="L16" s="7">
        <f t="shared" ca="1" si="4"/>
        <v>-24.729999999999919</v>
      </c>
      <c r="M16" s="7">
        <f t="shared" ca="1" si="4"/>
        <v>102.38999999999976</v>
      </c>
      <c r="N16" s="7">
        <f t="shared" ca="1" si="4"/>
        <v>104.59999999999994</v>
      </c>
      <c r="O16" s="7">
        <f t="shared" ca="1" si="4"/>
        <v>60.550000000000281</v>
      </c>
      <c r="Q16" s="24" t="str">
        <v>CASY US EQUITY</v>
      </c>
      <c r="R16" s="24">
        <v>45930</v>
      </c>
      <c r="S16" s="25" t="str">
        <v>custom</v>
      </c>
      <c r="T16" s="26" t="str">
        <v>prepared_foods_sss_growth</v>
      </c>
      <c r="U16" s="30" t="str">
        <v>0.056</v>
      </c>
      <c r="V16" s="29" t="str">
        <v>120</v>
      </c>
      <c r="W16" s="29" t="str">
        <v/>
      </c>
      <c r="X16" s="29" t="str">
        <v/>
      </c>
      <c r="Y16" s="29" t="str">
        <v>410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CASY US EQUITY</v>
      </c>
      <c r="R17" s="24">
        <v>46022</v>
      </c>
      <c r="S17" s="25" t="str">
        <v>custom</v>
      </c>
      <c r="T17" s="26" t="str">
        <v>prepared_foods_sss_growth</v>
      </c>
      <c r="U17" s="30" t="str">
        <v>0.048</v>
      </c>
      <c r="V17" s="29" t="str">
        <v>-40</v>
      </c>
      <c r="W17" s="29" t="str">
        <v/>
      </c>
      <c r="X17" s="29" t="str">
        <v/>
      </c>
      <c r="Y17" s="29" t="str">
        <v>-80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CASY US EQUITY</v>
      </c>
      <c r="R18" s="24">
        <v>45747</v>
      </c>
      <c r="S18" s="25" t="str">
        <v>custom</v>
      </c>
      <c r="T18" s="26" t="str">
        <v>grocery_sss_growth</v>
      </c>
      <c r="U18" s="30" t="str">
        <v>0.033</v>
      </c>
      <c r="V18" s="29" t="str">
        <v>50</v>
      </c>
      <c r="W18" s="29" t="str">
        <v/>
      </c>
      <c r="X18" s="29" t="str">
        <v/>
      </c>
      <c r="Y18" s="29" t="str">
        <v>-30</v>
      </c>
    </row>
    <row r="19" spans="1:25" x14ac:dyDescent="0.25">
      <c r="C19" s="4" t="s">
        <v>5</v>
      </c>
      <c r="D19" s="1"/>
      <c r="K19" s="7"/>
      <c r="L19" s="7">
        <f ca="1">(L15-K15)*100</f>
        <v>-90.979999999999706</v>
      </c>
      <c r="M19" s="7">
        <f t="shared" ref="M19:O19" ca="1" si="5">(M15-L15)*100</f>
        <v>-18.490000000000251</v>
      </c>
      <c r="N19" s="7">
        <f t="shared" ca="1" si="5"/>
        <v>116.5300000000002</v>
      </c>
      <c r="O19" s="7">
        <f t="shared" ca="1" si="5"/>
        <v>53.490000000000038</v>
      </c>
      <c r="Q19" s="24" t="str">
        <v>CASY US EQUITY</v>
      </c>
      <c r="R19" s="24">
        <v>45838</v>
      </c>
      <c r="S19" s="25" t="str">
        <v>custom</v>
      </c>
      <c r="T19" s="26" t="str">
        <v>grocery_sss_growth</v>
      </c>
      <c r="U19" s="30" t="str">
        <v>0.018</v>
      </c>
      <c r="V19" s="29" t="str">
        <v>-250</v>
      </c>
      <c r="W19" s="29" t="str">
        <v/>
      </c>
      <c r="X19" s="29" t="str">
        <v/>
      </c>
      <c r="Y19" s="29" t="str">
        <v>-150</v>
      </c>
    </row>
    <row r="20" spans="1:25" x14ac:dyDescent="0.25">
      <c r="Q20" s="24" t="str">
        <v>CASY US EQUITY</v>
      </c>
      <c r="R20" s="24">
        <v>45930</v>
      </c>
      <c r="S20" s="25" t="str">
        <v>custom</v>
      </c>
      <c r="T20" s="26" t="str">
        <v>grocery_sss_growth</v>
      </c>
      <c r="U20" s="30" t="str">
        <v>0.038</v>
      </c>
      <c r="V20" s="29" t="str">
        <v>220</v>
      </c>
      <c r="W20" s="29" t="str">
        <v/>
      </c>
      <c r="X20" s="29" t="str">
        <v/>
      </c>
      <c r="Y20" s="29" t="str">
        <v>200</v>
      </c>
    </row>
    <row r="21" spans="1:25" x14ac:dyDescent="0.25">
      <c r="C21" s="13" t="s">
        <v>12</v>
      </c>
      <c r="D21" s="14">
        <f ca="1">EOMONTH(DATE(YEAR(D22),ROUNDUP(MONTH(D22)/3,0)*3,1),0)</f>
        <v>45016</v>
      </c>
      <c r="E21" s="14">
        <f ca="1">EOMONTH(DATE(YEAR(E22),ROUNDUP(MONTH(E22)/3,0)*3,1),0)</f>
        <v>45107</v>
      </c>
      <c r="F21" s="14">
        <f ca="1">EOMONTH(DATE(YEAR(F22),ROUNDUP(MONTH(F22)/3,0)*3,1),0)</f>
        <v>45199</v>
      </c>
      <c r="G21" s="14">
        <f t="shared" ref="G21:K21" ca="1" si="6">EOMONTH(DATE(YEAR(G22),ROUNDUP(MONTH(G22)/3,0)*3,1),0)</f>
        <v>45291</v>
      </c>
      <c r="H21" s="14">
        <f t="shared" ca="1" si="6"/>
        <v>45382</v>
      </c>
      <c r="I21" s="14">
        <f t="shared" ca="1" si="6"/>
        <v>45473</v>
      </c>
      <c r="J21" s="14">
        <f t="shared" ca="1" si="6"/>
        <v>45565</v>
      </c>
      <c r="K21" s="14">
        <f t="shared" ca="1" si="6"/>
        <v>45657</v>
      </c>
      <c r="L21" s="14">
        <f ca="1">EOMONTH(DATE(YEAR(L22),ROUNDUP(MONTH(L22)/3,0)*3,1),0)</f>
        <v>45747</v>
      </c>
      <c r="M21" s="14">
        <f ca="1">EOMONTH(DATE(YEAR(M22),ROUNDUP(MONTH(M22)/3,0)*3,1),0)</f>
        <v>45838</v>
      </c>
      <c r="N21" s="14">
        <f ca="1">EOMONTH(DATE(YEAR(N22),ROUNDUP(MONTH(N22)/3,0)*3,1),0)</f>
        <v>45930</v>
      </c>
      <c r="O21" s="14">
        <f ca="1">EOMONTH(DATE(YEAR(O22),ROUNDUP(MONTH(O22)/3,0)*3,1),0)</f>
        <v>46022</v>
      </c>
      <c r="Q21" s="24" t="str">
        <v>CASY US EQUITY</v>
      </c>
      <c r="R21" s="24">
        <v>46022</v>
      </c>
      <c r="S21" s="25" t="str">
        <v>custom</v>
      </c>
      <c r="T21" s="26" t="str">
        <v>grocery_sss_growth</v>
      </c>
      <c r="U21" s="30" t="str">
        <v>0.027</v>
      </c>
      <c r="V21" s="29" t="str">
        <v>-90</v>
      </c>
      <c r="W21" s="29" t="str">
        <v/>
      </c>
      <c r="X21" s="29" t="str">
        <v/>
      </c>
      <c r="Y21" s="29" t="str">
        <v>-110</v>
      </c>
    </row>
    <row r="22" spans="1:25" x14ac:dyDescent="0.25">
      <c r="D22" s="1" cm="1">
        <f t="array" aca="1" ref="D22:P23" ca="1">+_xll.BDH($B$2,C23,$B$3,$B$4,"DIR=H")</f>
        <v>44957</v>
      </c>
      <c r="E22" s="1">
        <f ca="1"/>
        <v>45046</v>
      </c>
      <c r="F22" s="1">
        <f ca="1"/>
        <v>45138</v>
      </c>
      <c r="G22" s="1">
        <f ca="1"/>
        <v>45230</v>
      </c>
      <c r="H22" s="1">
        <f ca="1"/>
        <v>45322</v>
      </c>
      <c r="I22" s="1">
        <f ca="1"/>
        <v>45412</v>
      </c>
      <c r="J22" s="1">
        <f ca="1"/>
        <v>45504</v>
      </c>
      <c r="K22" s="1">
        <f ca="1"/>
        <v>45596</v>
      </c>
      <c r="L22" s="1">
        <f ca="1"/>
        <v>45688</v>
      </c>
      <c r="M22" s="1">
        <f ca="1"/>
        <v>45777</v>
      </c>
      <c r="N22" s="1">
        <f ca="1"/>
        <v>45869</v>
      </c>
      <c r="O22" s="1">
        <f ca="1"/>
        <v>45961</v>
      </c>
      <c r="P22" s="1">
        <f ca="1"/>
        <v>46053</v>
      </c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CASY US EQUITY</v>
      </c>
      <c r="R22" s="24">
        <v>45747</v>
      </c>
      <c r="S22" s="25" t="str">
        <v>custom</v>
      </c>
      <c r="T22" s="26" t="str">
        <v>fuel_sss_growth</v>
      </c>
      <c r="U22" s="27" t="str">
        <v>0.018</v>
      </c>
      <c r="V22" s="28" t="str">
        <v>220</v>
      </c>
      <c r="W22" s="29" t="str">
        <v/>
      </c>
      <c r="X22" s="28" t="str">
        <v/>
      </c>
      <c r="Y22" s="29" t="str">
        <v>240</v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4.3102</v>
      </c>
      <c r="E23" s="3">
        <f ca="1"/>
        <v>2.5653000000000001</v>
      </c>
      <c r="F23" s="3">
        <f ca="1"/>
        <v>6.0475000000000003</v>
      </c>
      <c r="G23" s="3">
        <f ca="1"/>
        <v>5.4192999999999998</v>
      </c>
      <c r="H23" s="3">
        <f ca="1"/>
        <v>3.8647</v>
      </c>
      <c r="I23" s="3">
        <f ca="1"/>
        <v>3.5188999999999999</v>
      </c>
      <c r="J23" s="3">
        <f ca="1"/>
        <v>6.1344000000000003</v>
      </c>
      <c r="K23" s="3">
        <f ca="1"/>
        <v>6.3922999999999996</v>
      </c>
      <c r="L23" s="3">
        <f ca="1"/>
        <v>3.5137999999999998</v>
      </c>
      <c r="M23" s="3">
        <f ca="1"/>
        <v>3.8963999999999999</v>
      </c>
      <c r="N23" s="3">
        <f ca="1"/>
        <v>6.6848999999999998</v>
      </c>
      <c r="O23">
        <f ca="1"/>
        <v>6.6284000000000001</v>
      </c>
      <c r="P23">
        <f ca="1"/>
        <v>4.9749999999999996</v>
      </c>
      <c r="Q23" s="24" t="str">
        <v>CASY US EQUITY</v>
      </c>
      <c r="R23" s="24">
        <v>45838</v>
      </c>
      <c r="S23" s="25" t="str">
        <v>custom</v>
      </c>
      <c r="T23" s="26" t="str">
        <v>fuel_sss_growth</v>
      </c>
      <c r="U23" s="27" t="str">
        <v>0.001</v>
      </c>
      <c r="V23" s="28" t="str">
        <v>-80</v>
      </c>
      <c r="W23" s="29" t="str">
        <v/>
      </c>
      <c r="X23" s="28" t="str">
        <v/>
      </c>
      <c r="Y23" s="29" t="str">
        <v>-170</v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-44.55</v>
      </c>
      <c r="I24" s="7">
        <f t="shared" ca="1" si="7"/>
        <v>95.359999999999985</v>
      </c>
      <c r="J24" s="7">
        <f t="shared" ca="1" si="7"/>
        <v>8.6899999999999977</v>
      </c>
      <c r="K24" s="7">
        <f t="shared" ca="1" si="7"/>
        <v>97.299999999999983</v>
      </c>
      <c r="L24" s="7">
        <f t="shared" ca="1" si="7"/>
        <v>-35.090000000000018</v>
      </c>
      <c r="M24" s="7">
        <f t="shared" ca="1" si="7"/>
        <v>37.749999999999993</v>
      </c>
      <c r="N24" s="7">
        <f t="shared" ca="1" si="7"/>
        <v>55.049999999999955</v>
      </c>
      <c r="O24" s="7">
        <f t="shared" ca="1" si="7"/>
        <v>23.610000000000042</v>
      </c>
      <c r="Q24" s="24" t="str">
        <v>CASY US EQUITY</v>
      </c>
      <c r="R24" s="24">
        <v>45930</v>
      </c>
      <c r="S24" s="25" t="str">
        <v>custom</v>
      </c>
      <c r="T24" s="26" t="str">
        <v>fuel_sss_growth</v>
      </c>
      <c r="U24" s="27" t="str">
        <v>0.017</v>
      </c>
      <c r="V24" s="28" t="str">
        <v>100</v>
      </c>
      <c r="W24" s="29" t="str">
        <v/>
      </c>
      <c r="X24" s="28" t="str">
        <v/>
      </c>
      <c r="Y24" s="29" t="str">
        <v>160</v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CASY US EQUITY</v>
      </c>
      <c r="R25" s="24">
        <v>46022</v>
      </c>
      <c r="S25" s="25" t="str">
        <v>custom</v>
      </c>
      <c r="T25" s="26" t="str">
        <v>fuel_sss_growth</v>
      </c>
      <c r="U25" s="27" t="str">
        <v>0.008</v>
      </c>
      <c r="V25" s="28" t="str">
        <v>140</v>
      </c>
      <c r="W25" s="29" t="str">
        <v/>
      </c>
      <c r="X25" s="28" t="str">
        <v/>
      </c>
      <c r="Y25" s="29" t="str">
        <v>-90</v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CASY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-287.84999999999997</v>
      </c>
      <c r="M27" s="7">
        <f t="shared" ref="M27:O27" ca="1" si="8">(M23-L23)*100</f>
        <v>38.260000000000005</v>
      </c>
      <c r="N27" s="7">
        <f t="shared" ca="1" si="8"/>
        <v>278.85000000000002</v>
      </c>
      <c r="O27" s="7">
        <f t="shared" ca="1" si="8"/>
        <v>-5.6499999999999773</v>
      </c>
      <c r="Q27" s="24" t="str">
        <v>CASY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CASY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/>
      <c r="E29" s="14">
        <f t="shared" ref="E29:L29" si="9">EOMONTH(DATE(YEAR(E30),ROUNDUP(MONTH(E30)/3,0)*3,1),0)</f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CASY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45046</v>
      </c>
      <c r="F30" s="2">
        <v>45138</v>
      </c>
      <c r="G30" s="2">
        <v>45230</v>
      </c>
      <c r="H30" s="2">
        <v>45322</v>
      </c>
      <c r="I30" s="2">
        <v>45412</v>
      </c>
      <c r="J30" s="2">
        <v>45504</v>
      </c>
      <c r="K30" s="2">
        <v>45596</v>
      </c>
      <c r="L30" s="2">
        <v>45688</v>
      </c>
      <c r="M30" s="2">
        <v>45777</v>
      </c>
      <c r="N30" s="2">
        <v>45869</v>
      </c>
      <c r="O30" s="2">
        <v>45961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CASY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33</v>
      </c>
      <c r="C31" s="2" t="s">
        <v>34</v>
      </c>
      <c r="D31" s="10"/>
      <c r="E31" s="10"/>
      <c r="F31" s="10"/>
      <c r="G31" s="8">
        <v>6.0999999999999999E-2</v>
      </c>
      <c r="H31" s="8">
        <v>7.4999999999999997E-2</v>
      </c>
      <c r="I31" s="8">
        <v>8.7999999999999995E-2</v>
      </c>
      <c r="J31" s="8">
        <v>4.3999999999999997E-2</v>
      </c>
      <c r="K31" s="8">
        <v>5.1999999999999998E-2</v>
      </c>
      <c r="L31" s="8">
        <v>4.7E-2</v>
      </c>
      <c r="M31" s="8">
        <v>1.4999999999999999E-2</v>
      </c>
      <c r="N31" s="8">
        <v>5.6000000000000001E-2</v>
      </c>
      <c r="O31" s="8">
        <v>4.8000000000000001E-2</v>
      </c>
      <c r="Q31" s="24" t="str">
        <v>CASY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>
        <f t="shared" ref="J32:O32" si="10">(J31-F31)*10000</f>
        <v>440</v>
      </c>
      <c r="K32" s="7">
        <f t="shared" si="10"/>
        <v>-90.000000000000014</v>
      </c>
      <c r="L32" s="7">
        <f t="shared" si="10"/>
        <v>-279.99999999999994</v>
      </c>
      <c r="M32" s="7">
        <f t="shared" si="10"/>
        <v>-730</v>
      </c>
      <c r="N32" s="7">
        <f t="shared" si="10"/>
        <v>120.00000000000004</v>
      </c>
      <c r="O32" s="7">
        <f t="shared" si="10"/>
        <v>-39.999999999999964</v>
      </c>
      <c r="Q32" s="24" t="str">
        <v>CASY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CASY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610</v>
      </c>
      <c r="H35" s="7">
        <f t="shared" si="11"/>
        <v>139.99999999999997</v>
      </c>
      <c r="I35" s="7">
        <f t="shared" si="11"/>
        <v>129.99999999999997</v>
      </c>
      <c r="J35" s="7">
        <f t="shared" si="11"/>
        <v>-440</v>
      </c>
      <c r="K35" s="7">
        <f t="shared" si="11"/>
        <v>80</v>
      </c>
      <c r="L35" s="7">
        <f>(L31-K31)*10000</f>
        <v>-49.999999999999972</v>
      </c>
      <c r="M35" s="7">
        <f t="shared" ref="M35:O35" si="12">(M31-L31)*10000</f>
        <v>-320</v>
      </c>
      <c r="N35" s="7">
        <f t="shared" si="12"/>
        <v>410</v>
      </c>
      <c r="O35" s="7">
        <f t="shared" si="12"/>
        <v>-80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 t="s">
        <v>12</v>
      </c>
      <c r="D37" s="14">
        <f t="shared" ref="D37:L37" si="13">EOMONTH(DATE(YEAR(D38),ROUNDUP(MONTH(D38)/3,0)*3,1),0)</f>
        <v>91</v>
      </c>
      <c r="E37" s="14">
        <f t="shared" si="13"/>
        <v>45107</v>
      </c>
      <c r="F37" s="14">
        <f t="shared" si="13"/>
        <v>45199</v>
      </c>
      <c r="G37" s="14">
        <f t="shared" si="13"/>
        <v>45291</v>
      </c>
      <c r="H37" s="14">
        <f t="shared" si="13"/>
        <v>45382</v>
      </c>
      <c r="I37" s="14">
        <f t="shared" si="13"/>
        <v>45473</v>
      </c>
      <c r="J37" s="14">
        <f t="shared" si="13"/>
        <v>45565</v>
      </c>
      <c r="K37" s="14">
        <f t="shared" si="13"/>
        <v>45657</v>
      </c>
      <c r="L37" s="14">
        <f t="shared" si="13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25">
      <c r="D38" s="2"/>
      <c r="E38" s="2">
        <v>45046</v>
      </c>
      <c r="F38" s="2">
        <v>45138</v>
      </c>
      <c r="G38" s="2">
        <v>45230</v>
      </c>
      <c r="H38" s="2">
        <v>45322</v>
      </c>
      <c r="I38" s="2">
        <v>45412</v>
      </c>
      <c r="J38" s="2">
        <v>45504</v>
      </c>
      <c r="K38" s="2">
        <v>45596</v>
      </c>
      <c r="L38" s="2">
        <v>45688</v>
      </c>
      <c r="M38" s="2">
        <v>45777</v>
      </c>
      <c r="N38" s="2">
        <v>45869</v>
      </c>
      <c r="O38" s="2">
        <v>45961</v>
      </c>
    </row>
    <row r="39" spans="1:25" x14ac:dyDescent="0.25">
      <c r="A39" s="16" t="s">
        <v>21</v>
      </c>
      <c r="B39" s="16" t="s">
        <v>35</v>
      </c>
      <c r="C39" s="2" t="s">
        <v>38</v>
      </c>
      <c r="D39" s="10"/>
      <c r="E39" s="10"/>
      <c r="F39" s="10"/>
      <c r="G39" s="8">
        <v>1.7000000000000001E-2</v>
      </c>
      <c r="H39" s="8">
        <v>2.8000000000000001E-2</v>
      </c>
      <c r="I39" s="8">
        <v>4.2999999999999997E-2</v>
      </c>
      <c r="J39" s="8">
        <v>1.6E-2</v>
      </c>
      <c r="K39" s="8">
        <v>3.5999999999999997E-2</v>
      </c>
      <c r="L39" s="8">
        <v>3.3000000000000002E-2</v>
      </c>
      <c r="M39" s="8">
        <v>1.7999999999999999E-2</v>
      </c>
      <c r="N39" s="8">
        <v>3.7999999999999999E-2</v>
      </c>
      <c r="O39" s="8">
        <v>2.7E-2</v>
      </c>
    </row>
    <row r="40" spans="1:25" x14ac:dyDescent="0.25">
      <c r="C40" s="4" t="s">
        <v>4</v>
      </c>
      <c r="D40" s="5"/>
      <c r="E40" s="4"/>
      <c r="F40" s="4"/>
      <c r="G40" s="4"/>
      <c r="H40" s="7"/>
      <c r="I40" s="7"/>
      <c r="J40" s="7">
        <f t="shared" ref="J40" si="14">(J39-F39)*10000</f>
        <v>160</v>
      </c>
      <c r="K40" s="7">
        <f t="shared" ref="K40" si="15">(K39-G39)*10000</f>
        <v>189.99999999999997</v>
      </c>
      <c r="L40" s="7">
        <f t="shared" ref="L40" si="16">(L39-H39)*10000</f>
        <v>50.000000000000007</v>
      </c>
      <c r="M40" s="7">
        <f t="shared" ref="M40" si="17">(M39-I39)*10000</f>
        <v>-249.99999999999997</v>
      </c>
      <c r="N40" s="7">
        <f t="shared" ref="N40:O40" si="18">(N39-J39)*10000</f>
        <v>220</v>
      </c>
      <c r="O40" s="7">
        <f t="shared" si="18"/>
        <v>-89.999999999999972</v>
      </c>
    </row>
    <row r="41" spans="1:25" x14ac:dyDescent="0.25">
      <c r="C41" s="4" t="s">
        <v>19</v>
      </c>
      <c r="D41" s="1"/>
      <c r="K41" s="7"/>
      <c r="L41" s="7"/>
      <c r="M41" s="7"/>
      <c r="N41" s="7"/>
      <c r="O41" s="7"/>
    </row>
    <row r="42" spans="1:25" x14ac:dyDescent="0.25">
      <c r="C42" s="4" t="s">
        <v>23</v>
      </c>
      <c r="D42" s="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25" x14ac:dyDescent="0.25">
      <c r="C43" s="4" t="s">
        <v>5</v>
      </c>
      <c r="D43" s="1"/>
      <c r="G43" s="7">
        <f t="shared" ref="G43:K43" si="19">(G39-F39)*10000</f>
        <v>170</v>
      </c>
      <c r="H43" s="7">
        <f t="shared" si="19"/>
        <v>110</v>
      </c>
      <c r="I43" s="7">
        <f t="shared" si="19"/>
        <v>149.99999999999997</v>
      </c>
      <c r="J43" s="7">
        <f t="shared" si="19"/>
        <v>-269.99999999999994</v>
      </c>
      <c r="K43" s="7">
        <f t="shared" si="19"/>
        <v>199.99999999999997</v>
      </c>
      <c r="L43" s="7">
        <f>(L39-K39)*10000</f>
        <v>-29.999999999999957</v>
      </c>
      <c r="M43" s="7">
        <f t="shared" ref="M43" si="20">(M39-L39)*10000</f>
        <v>-150.00000000000003</v>
      </c>
      <c r="N43" s="7">
        <f t="shared" ref="N43:O43" si="21">(N39-M39)*10000</f>
        <v>200</v>
      </c>
      <c r="O43" s="7">
        <f t="shared" si="21"/>
        <v>-110</v>
      </c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 t="s">
        <v>12</v>
      </c>
      <c r="D45" s="14"/>
      <c r="E45" s="14">
        <f t="shared" ref="E45:L45" si="22">EOMONTH(DATE(YEAR(E46),ROUNDUP(MONTH(E46)/3,0)*3,1),0)</f>
        <v>45107</v>
      </c>
      <c r="F45" s="14">
        <f t="shared" si="22"/>
        <v>45199</v>
      </c>
      <c r="G45" s="14">
        <f t="shared" si="22"/>
        <v>45291</v>
      </c>
      <c r="H45" s="14">
        <f t="shared" si="22"/>
        <v>45382</v>
      </c>
      <c r="I45" s="14">
        <f t="shared" si="22"/>
        <v>45473</v>
      </c>
      <c r="J45" s="14">
        <f t="shared" si="22"/>
        <v>45565</v>
      </c>
      <c r="K45" s="14">
        <f t="shared" si="22"/>
        <v>45657</v>
      </c>
      <c r="L45" s="14">
        <f t="shared" si="22"/>
        <v>45747</v>
      </c>
      <c r="M45" s="14">
        <f>EOMONTH(DATE(YEAR(M46),ROUNDUP(MONTH(M46)/3,0)*3,1),0)</f>
        <v>45838</v>
      </c>
      <c r="N45" s="14">
        <f>EOMONTH(DATE(YEAR(N46),ROUNDUP(MONTH(N46)/3,0)*3,1),0)</f>
        <v>45930</v>
      </c>
      <c r="O45" s="14">
        <f>EOMONTH(DATE(YEAR(O46),ROUNDUP(MONTH(O46)/3,0)*3,1),0)</f>
        <v>46022</v>
      </c>
      <c r="Q45" s="1"/>
      <c r="T45" s="11"/>
      <c r="U45" s="12"/>
      <c r="V45" s="7"/>
      <c r="W45" s="12"/>
      <c r="X45" s="7"/>
    </row>
    <row r="46" spans="1:25" x14ac:dyDescent="0.25">
      <c r="D46" s="2"/>
      <c r="E46" s="2">
        <v>45046</v>
      </c>
      <c r="F46" s="2">
        <v>45138</v>
      </c>
      <c r="G46" s="2">
        <v>45230</v>
      </c>
      <c r="H46" s="2">
        <v>45322</v>
      </c>
      <c r="I46" s="2">
        <v>45412</v>
      </c>
      <c r="J46" s="2">
        <v>45504</v>
      </c>
      <c r="K46" s="2">
        <v>45596</v>
      </c>
      <c r="L46" s="2">
        <v>45688</v>
      </c>
      <c r="M46" s="2">
        <v>45777</v>
      </c>
      <c r="N46" s="2">
        <v>45869</v>
      </c>
      <c r="O46" s="2">
        <v>45961</v>
      </c>
      <c r="Q46" s="1"/>
      <c r="T46" s="11"/>
      <c r="U46" s="12"/>
      <c r="V46" s="7"/>
      <c r="W46" s="12"/>
      <c r="X46" s="7"/>
    </row>
    <row r="47" spans="1:25" x14ac:dyDescent="0.25">
      <c r="A47" s="16" t="s">
        <v>21</v>
      </c>
      <c r="B47" s="16" t="s">
        <v>36</v>
      </c>
      <c r="C47" s="2" t="s">
        <v>37</v>
      </c>
      <c r="D47" s="10"/>
      <c r="E47" s="10"/>
      <c r="F47" s="10"/>
      <c r="G47" s="8">
        <v>0</v>
      </c>
      <c r="H47" s="8">
        <v>-4.0000000000000001E-3</v>
      </c>
      <c r="I47" s="8">
        <v>8.9999999999999993E-3</v>
      </c>
      <c r="J47" s="8">
        <v>7.0000000000000001E-3</v>
      </c>
      <c r="K47" s="8">
        <v>-6.0000000000000001E-3</v>
      </c>
      <c r="L47" s="8">
        <v>1.7999999999999999E-2</v>
      </c>
      <c r="M47" s="8">
        <v>1E-3</v>
      </c>
      <c r="N47" s="8">
        <v>1.7000000000000001E-2</v>
      </c>
      <c r="O47" s="8">
        <v>8.0000000000000002E-3</v>
      </c>
      <c r="Q47" s="1"/>
      <c r="T47" s="11"/>
      <c r="U47" s="12"/>
      <c r="V47" s="7"/>
      <c r="W47" s="12"/>
      <c r="X47" s="7"/>
    </row>
    <row r="48" spans="1:25" x14ac:dyDescent="0.25">
      <c r="C48" s="4" t="s">
        <v>4</v>
      </c>
      <c r="D48" s="5"/>
      <c r="E48" s="4"/>
      <c r="F48" s="4"/>
      <c r="G48" s="4"/>
      <c r="H48" s="7"/>
      <c r="I48" s="7"/>
      <c r="J48" s="7">
        <f t="shared" ref="J48" si="23">(J47-F47)*10000</f>
        <v>70</v>
      </c>
      <c r="K48" s="7">
        <f t="shared" ref="K48" si="24">(K47-G47)*10000</f>
        <v>-60</v>
      </c>
      <c r="L48" s="7">
        <f t="shared" ref="L48" si="25">(L47-H47)*10000</f>
        <v>220</v>
      </c>
      <c r="M48" s="7">
        <f t="shared" ref="M48" si="26">(M47-I47)*10000</f>
        <v>-80</v>
      </c>
      <c r="N48" s="7">
        <f t="shared" ref="N48:O48" si="27">(N47-J47)*10000</f>
        <v>100.00000000000001</v>
      </c>
      <c r="O48" s="7">
        <f t="shared" si="27"/>
        <v>140</v>
      </c>
    </row>
    <row r="49" spans="1:15" x14ac:dyDescent="0.25">
      <c r="C49" s="4" t="s">
        <v>19</v>
      </c>
      <c r="D49" s="1"/>
      <c r="K49" s="7"/>
      <c r="L49" s="7"/>
      <c r="M49" s="7"/>
      <c r="N49" s="7"/>
      <c r="O49" s="7"/>
    </row>
    <row r="50" spans="1:15" x14ac:dyDescent="0.25">
      <c r="C50" s="4" t="s">
        <v>23</v>
      </c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 t="s">
        <v>5</v>
      </c>
      <c r="D51" s="1"/>
      <c r="G51" s="7">
        <f t="shared" ref="G51:K51" si="28">(G47-F47)*10000</f>
        <v>0</v>
      </c>
      <c r="H51" s="7">
        <f t="shared" si="28"/>
        <v>-40</v>
      </c>
      <c r="I51" s="7">
        <f t="shared" si="28"/>
        <v>130</v>
      </c>
      <c r="J51" s="7">
        <f t="shared" si="28"/>
        <v>-19.999999999999993</v>
      </c>
      <c r="K51" s="7">
        <f t="shared" si="28"/>
        <v>-130</v>
      </c>
      <c r="L51" s="7">
        <f>(L47-K47)*10000</f>
        <v>240</v>
      </c>
      <c r="M51" s="7">
        <f t="shared" ref="M51" si="29">(M47-L47)*10000</f>
        <v>-169.99999999999997</v>
      </c>
      <c r="N51" s="7">
        <f t="shared" ref="N51:O51" si="30">(N47-M47)*10000</f>
        <v>160</v>
      </c>
      <c r="O51" s="7">
        <f t="shared" si="30"/>
        <v>-90.000000000000014</v>
      </c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62D5-3841-4742-B946-E020C3465AE8}">
  <dimension ref="A1:Y67"/>
  <sheetViews>
    <sheetView zoomScale="85" zoomScaleNormal="85" workbookViewId="0">
      <selection activeCell="K10" sqref="K10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28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MUSA US EQUITY</v>
      </c>
      <c r="R2" s="24">
        <f ca="1"/>
        <v>45838</v>
      </c>
      <c r="S2" s="25" t="str">
        <f ca="1"/>
        <v>canonical</v>
      </c>
      <c r="T2" s="26" t="str">
        <f ca="1"/>
        <v>revenue</v>
      </c>
      <c r="U2" s="27" t="str">
        <f ca="1"/>
        <v>5005</v>
      </c>
      <c r="V2" s="28" t="str">
        <f ca="1"/>
        <v>-0.0819377441898856</v>
      </c>
      <c r="W2" s="29" t="str">
        <f ca="1"/>
        <v>-162.235174623839</v>
      </c>
      <c r="X2" s="28" t="str">
        <f ca="1"/>
        <v>-580.003359469666</v>
      </c>
      <c r="Y2" s="29" t="str">
        <f ca="1"/>
        <v>0.105979581915411</v>
      </c>
    </row>
    <row r="3" spans="1:25" x14ac:dyDescent="0.25">
      <c r="A3" s="18" t="s">
        <v>3</v>
      </c>
      <c r="B3" s="19">
        <f ca="1">+B4-365*3</f>
        <v>45026</v>
      </c>
      <c r="Q3" s="24" t="str">
        <f ca="1"/>
        <v>MUSA US EQUITY</v>
      </c>
      <c r="R3" s="24">
        <f ca="1"/>
        <v>45930</v>
      </c>
      <c r="S3" s="25" t="str">
        <f ca="1"/>
        <v>canonical</v>
      </c>
      <c r="T3" s="26" t="str">
        <f ca="1"/>
        <v>revenue</v>
      </c>
      <c r="U3" s="27" t="str">
        <f ca="1"/>
        <v>5110</v>
      </c>
      <c r="V3" s="28" t="str">
        <f ca="1"/>
        <v>-0.0245299226877923</v>
      </c>
      <c r="W3" s="29" t="str">
        <f ca="1"/>
        <v>574.078215020933</v>
      </c>
      <c r="X3" s="29" t="str">
        <f ca="1"/>
        <v>719.532867501076</v>
      </c>
      <c r="Y3" s="29" t="str">
        <f ca="1"/>
        <v>0.020979020979021</v>
      </c>
    </row>
    <row r="4" spans="1:25" x14ac:dyDescent="0.25">
      <c r="A4" s="20" t="s">
        <v>2</v>
      </c>
      <c r="B4" s="21">
        <f ca="1">TODAY()</f>
        <v>46121</v>
      </c>
      <c r="Q4" s="24" t="str">
        <f ca="1"/>
        <v>MUSA US EQUITY</v>
      </c>
      <c r="R4" s="24">
        <f ca="1"/>
        <v>46022</v>
      </c>
      <c r="S4" s="25" t="str">
        <f ca="1"/>
        <v>canonical</v>
      </c>
      <c r="T4" s="26" t="str">
        <f ca="1"/>
        <v>revenue</v>
      </c>
      <c r="U4" s="27" t="str">
        <f ca="1"/>
        <v>4743.6</v>
      </c>
      <c r="V4" s="28" t="str">
        <f ca="1"/>
        <v>0.00704823369565233</v>
      </c>
      <c r="W4" s="29" t="str">
        <f ca="1"/>
        <v>315.781563834446</v>
      </c>
      <c r="X4" s="29" t="str">
        <f ca="1"/>
        <v>777.736376294447</v>
      </c>
      <c r="Y4" s="29" t="str">
        <f ca="1"/>
        <v>-0.071702544031311</v>
      </c>
    </row>
    <row r="5" spans="1:25" x14ac:dyDescent="0.25">
      <c r="C5" s="13" t="s">
        <v>12</v>
      </c>
      <c r="D5" s="14">
        <f ca="1">EOMONTH(DATE(YEAR(D6),ROUNDUP(MONTH(D6)/3,0)*3,1),0)</f>
        <v>45107</v>
      </c>
      <c r="E5" s="14">
        <f ca="1">EOMONTH(DATE(YEAR(E6),ROUNDUP(MONTH(E6)/3,0)*3,1),0)</f>
        <v>45199</v>
      </c>
      <c r="F5" s="14">
        <f ca="1">EOMONTH(DATE(YEAR(F6),ROUNDUP(MONTH(F6)/3,0)*3,1),0)</f>
        <v>45291</v>
      </c>
      <c r="G5" s="14">
        <f t="shared" ref="G5:K5" ca="1" si="0">EOMONTH(DATE(YEAR(G6),ROUNDUP(MONTH(G6)/3,0)*3,1),0)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EOMONTH(DATE(YEAR(L6),ROUNDUP(MONTH(L6)/3,0)*3,1),0)</f>
        <v>45838</v>
      </c>
      <c r="M5" s="14">
        <f ca="1">EOMONTH(DATE(YEAR(M6),ROUNDUP(MONTH(M6)/3,0)*3,1),0)</f>
        <v>45930</v>
      </c>
      <c r="N5" s="14">
        <f ca="1">EOMONTH(DATE(YEAR(N6),ROUNDUP(MONTH(N6)/3,0)*3,1),0)</f>
        <v>46022</v>
      </c>
      <c r="O5" s="14">
        <f>EOMONTH(DATE(YEAR(O6),ROUNDUP(MONTH(O6)/3,0)*3,1),0)</f>
        <v>91</v>
      </c>
      <c r="Q5" s="24" t="str">
        <f ca="1"/>
        <v>MUSA US EQUITY</v>
      </c>
      <c r="R5" s="24">
        <f ca="1"/>
        <v>91</v>
      </c>
      <c r="S5" s="25" t="str">
        <f ca="1"/>
        <v>canonical</v>
      </c>
      <c r="T5" s="26" t="str">
        <f ca="1"/>
        <v>revenue</v>
      </c>
      <c r="U5" s="27" t="str">
        <f ca="1"/>
        <v/>
      </c>
      <c r="V5" s="28" t="str">
        <f ca="1"/>
        <v>-1</v>
      </c>
      <c r="W5" s="29" t="str">
        <f ca="1"/>
        <v>-10070.4823369565</v>
      </c>
      <c r="X5" s="29" t="str">
        <f ca="1"/>
        <v>-9342.85773272498</v>
      </c>
      <c r="Y5" s="29" t="str">
        <f ca="1"/>
        <v>-1</v>
      </c>
    </row>
    <row r="6" spans="1:25" x14ac:dyDescent="0.25">
      <c r="D6" s="15" cm="1">
        <f t="array" aca="1" ref="D6:N7" ca="1">+_xll.BDH($B$2,C7,$B$3,$B$4,"DIR=H")</f>
        <v>45107</v>
      </c>
      <c r="E6" s="1">
        <f ca="1"/>
        <v>45199</v>
      </c>
      <c r="F6" s="1">
        <f ca="1"/>
        <v>45291</v>
      </c>
      <c r="G6" s="1">
        <f ca="1"/>
        <v>45382</v>
      </c>
      <c r="H6" s="1">
        <f ca="1"/>
        <v>45473</v>
      </c>
      <c r="I6" s="1">
        <f ca="1"/>
        <v>45565</v>
      </c>
      <c r="J6" s="1">
        <f ca="1"/>
        <v>45657</v>
      </c>
      <c r="K6" s="1">
        <f ca="1"/>
        <v>45747</v>
      </c>
      <c r="L6" s="1">
        <f ca="1"/>
        <v>45838</v>
      </c>
      <c r="M6" s="1">
        <f ca="1"/>
        <v>45930</v>
      </c>
      <c r="N6" s="1">
        <f ca="1"/>
        <v>46022</v>
      </c>
      <c r="O6" s="1"/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MUSA US EQUITY</v>
      </c>
      <c r="R6" s="24">
        <f ca="1"/>
        <v>45838</v>
      </c>
      <c r="S6" s="25" t="str">
        <f ca="1"/>
        <v>canonical</v>
      </c>
      <c r="T6" s="26" t="str">
        <f ca="1"/>
        <v>gross_margin_gaap</v>
      </c>
      <c r="U6" s="30" t="str">
        <f ca="1"/>
        <v>13.894</v>
      </c>
      <c r="V6" s="29" t="str">
        <f ca="1"/>
        <v>137.7</v>
      </c>
      <c r="W6" s="29" t="str">
        <f ca="1"/>
        <v/>
      </c>
      <c r="X6" s="29" t="str">
        <f ca="1"/>
        <v/>
      </c>
      <c r="Y6" s="29" t="str">
        <f ca="1"/>
        <v>172.37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5585.4</v>
      </c>
      <c r="E7" s="11">
        <f ca="1"/>
        <v>5797.9</v>
      </c>
      <c r="F7" s="11">
        <f ca="1"/>
        <v>5068.8999999999996</v>
      </c>
      <c r="G7" s="11">
        <f ca="1"/>
        <v>4843.7</v>
      </c>
      <c r="H7" s="11">
        <f ca="1"/>
        <v>5451.7</v>
      </c>
      <c r="I7" s="11">
        <f ca="1"/>
        <v>5238.5</v>
      </c>
      <c r="J7" s="11">
        <f ca="1"/>
        <v>4710.3999999999996</v>
      </c>
      <c r="K7" s="11">
        <f ca="1"/>
        <v>4525.3999999999996</v>
      </c>
      <c r="L7" s="11">
        <f ca="1"/>
        <v>5005</v>
      </c>
      <c r="M7" s="11">
        <f ca="1"/>
        <v>5110</v>
      </c>
      <c r="N7" s="11">
        <f ca="1"/>
        <v>4743.6000000000004</v>
      </c>
      <c r="O7" s="3"/>
      <c r="P7" s="1"/>
      <c r="Q7" s="24" t="str">
        <f ca="1"/>
        <v>MUSA US EQUITY</v>
      </c>
      <c r="R7" s="24">
        <f ca="1"/>
        <v>45930</v>
      </c>
      <c r="S7" s="25" t="str">
        <f ca="1"/>
        <v>canonical</v>
      </c>
      <c r="T7" s="26" t="str">
        <f ca="1"/>
        <v>gross_margin_gaap</v>
      </c>
      <c r="U7" s="30" t="str">
        <f ca="1"/>
        <v>13.9299</v>
      </c>
      <c r="V7" s="29" t="str">
        <f ca="1"/>
        <v>52.37</v>
      </c>
      <c r="W7" s="29" t="str">
        <f ca="1"/>
        <v/>
      </c>
      <c r="X7" s="29" t="str">
        <f ca="1"/>
        <v/>
      </c>
      <c r="Y7" s="29" t="str">
        <f ca="1"/>
        <v>3.58999999999998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-2.3937408242919012E-2</v>
      </c>
      <c r="I8" s="12">
        <f t="shared" ca="1" si="1"/>
        <v>-9.6483209437899897E-2</v>
      </c>
      <c r="J8" s="12">
        <f t="shared" ca="1" si="1"/>
        <v>-7.0725403933792341E-2</v>
      </c>
      <c r="K8" s="12">
        <f t="shared" ca="1" si="1"/>
        <v>-6.5714226727501712E-2</v>
      </c>
      <c r="L8" s="12">
        <f t="shared" ca="1" si="1"/>
        <v>-8.1937744189885642E-2</v>
      </c>
      <c r="M8" s="12">
        <f t="shared" ca="1" si="1"/>
        <v>-2.4529922687792305E-2</v>
      </c>
      <c r="N8" s="12">
        <f t="shared" ca="1" si="1"/>
        <v>7.0482336956523284E-3</v>
      </c>
      <c r="O8" s="12">
        <f t="shared" ca="1" si="1"/>
        <v>-1</v>
      </c>
      <c r="P8" s="3"/>
      <c r="Q8" s="24" t="str">
        <f ca="1"/>
        <v>MUSA US EQUITY</v>
      </c>
      <c r="R8" s="24">
        <f ca="1"/>
        <v>46022</v>
      </c>
      <c r="S8" s="25" t="str">
        <f ca="1"/>
        <v>canonical</v>
      </c>
      <c r="T8" s="26" t="str">
        <f ca="1"/>
        <v>gross_margin_gaap</v>
      </c>
      <c r="U8" s="30" t="str">
        <f ca="1"/>
        <v>15.3861</v>
      </c>
      <c r="V8" s="29" t="str">
        <f ca="1"/>
        <v>89.2600000000002</v>
      </c>
      <c r="W8" s="29" t="str">
        <f ca="1"/>
        <v/>
      </c>
      <c r="X8" s="29" t="str">
        <f ca="1"/>
        <v/>
      </c>
      <c r="Y8" s="29" t="str">
        <f ca="1"/>
        <v>145.62</v>
      </c>
    </row>
    <row r="9" spans="1:25" x14ac:dyDescent="0.25">
      <c r="C9" s="4" t="s">
        <v>19</v>
      </c>
      <c r="D9" s="1"/>
      <c r="L9" s="7">
        <f ca="1">(L8-K8)*10000</f>
        <v>-162.2351746238393</v>
      </c>
      <c r="M9" s="7">
        <f ca="1">(M8-L8)*10000</f>
        <v>574.07821502093338</v>
      </c>
      <c r="N9" s="7">
        <f ca="1">(N8-M8)*10000</f>
        <v>315.78156383444633</v>
      </c>
      <c r="O9" s="7">
        <f ca="1">(O8-N8)*10000</f>
        <v>-10070.482336956524</v>
      </c>
      <c r="Q9" s="22" t="str">
        <f ca="1"/>
        <v>MUSA US EQUITY</v>
      </c>
      <c r="R9" s="24">
        <f ca="1"/>
        <v>91</v>
      </c>
      <c r="S9" s="25" t="str">
        <f ca="1"/>
        <v>canonical</v>
      </c>
      <c r="T9" s="26" t="str">
        <f ca="1"/>
        <v>gross_margin_gaap</v>
      </c>
      <c r="U9" s="30" t="str">
        <f ca="1"/>
        <v/>
      </c>
      <c r="V9" s="29" t="str">
        <f ca="1"/>
        <v>-1217.03</v>
      </c>
      <c r="W9" s="29" t="str">
        <f ca="1"/>
        <v/>
      </c>
      <c r="X9" s="29" t="str">
        <f ca="1"/>
        <v/>
      </c>
      <c r="Y9" s="29" t="str">
        <f ca="1"/>
        <v>-1538.61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-580.00335946966629</v>
      </c>
      <c r="M10" s="7">
        <f ca="1">(M8-I8)*10000</f>
        <v>719.53286750107588</v>
      </c>
      <c r="N10" s="7">
        <f ca="1">(N8-J8)*10000</f>
        <v>777.7363762944467</v>
      </c>
      <c r="O10" s="7">
        <f ca="1">(O8-K8)*10000</f>
        <v>-9342.8577327249823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MUSA US EQUITY</v>
      </c>
      <c r="R10" s="24">
        <f ca="1"/>
        <v>45838</v>
      </c>
      <c r="S10" s="25" t="str">
        <f ca="1"/>
        <v>canonical</v>
      </c>
      <c r="T10" s="26" t="str">
        <f ca="1"/>
        <v>operating_margin_gaap</v>
      </c>
      <c r="U10" s="30" t="str">
        <f ca="1"/>
        <v>4.9756</v>
      </c>
      <c r="V10" s="29" t="str">
        <f ca="1"/>
        <v>50.32</v>
      </c>
      <c r="W10" s="29" t="str">
        <f ca="1"/>
        <v/>
      </c>
      <c r="X10" s="29" t="str">
        <f ca="1"/>
        <v/>
      </c>
      <c r="Y10" s="29" t="str">
        <f ca="1"/>
        <v>276.1</v>
      </c>
    </row>
    <row r="11" spans="1:25" x14ac:dyDescent="0.25">
      <c r="C11" s="4" t="s">
        <v>5</v>
      </c>
      <c r="D11" s="1"/>
      <c r="L11" s="12">
        <f t="shared" ref="L11:O11" ca="1" si="2">L7/K7-1</f>
        <v>0.10597958191541079</v>
      </c>
      <c r="M11" s="12">
        <f t="shared" ca="1" si="2"/>
        <v>2.0979020979021046E-2</v>
      </c>
      <c r="N11" s="12">
        <f t="shared" ca="1" si="2"/>
        <v>-7.1702544031311044E-2</v>
      </c>
      <c r="O11" s="12">
        <f t="shared" ca="1" si="2"/>
        <v>-1</v>
      </c>
      <c r="Q11" s="24" t="str">
        <f ca="1"/>
        <v>MUSA US EQUITY</v>
      </c>
      <c r="R11" s="24">
        <f ca="1"/>
        <v>45930</v>
      </c>
      <c r="S11" s="25" t="str">
        <f ca="1"/>
        <v>canonical</v>
      </c>
      <c r="T11" s="26" t="str">
        <f ca="1"/>
        <v>operating_margin_gaap</v>
      </c>
      <c r="U11" s="30" t="str">
        <f ca="1"/>
        <v>4.4883</v>
      </c>
      <c r="V11" s="29" t="str">
        <f ca="1"/>
        <v>-29.02</v>
      </c>
      <c r="W11" s="29" t="str">
        <f ca="1"/>
        <v/>
      </c>
      <c r="X11" s="29" t="str">
        <f ca="1"/>
        <v/>
      </c>
      <c r="Y11" s="29" t="str">
        <f ca="1"/>
        <v>-48.73</v>
      </c>
    </row>
    <row r="12" spans="1:25" x14ac:dyDescent="0.25">
      <c r="Q12" s="24" t="str">
        <f ca="1"/>
        <v>MUSA US EQUITY</v>
      </c>
      <c r="R12" s="24">
        <f ca="1"/>
        <v>46022</v>
      </c>
      <c r="S12" s="25" t="str">
        <f ca="1"/>
        <v>canonical</v>
      </c>
      <c r="T12" s="26" t="str">
        <f ca="1"/>
        <v>operating_margin_gaap</v>
      </c>
      <c r="U12" s="30" t="str">
        <f ca="1"/>
        <v>5.0571</v>
      </c>
      <c r="V12" s="29" t="str">
        <f ca="1"/>
        <v>24.21</v>
      </c>
      <c r="W12" s="29" t="str">
        <f ca="1"/>
        <v/>
      </c>
      <c r="X12" s="29" t="str">
        <f ca="1"/>
        <v/>
      </c>
      <c r="Y12" s="29" t="str">
        <f ca="1"/>
        <v>56.88</v>
      </c>
    </row>
    <row r="13" spans="1:25" x14ac:dyDescent="0.25">
      <c r="C13" s="13" t="s">
        <v>12</v>
      </c>
      <c r="D13" s="14">
        <f ca="1">EOMONTH(DATE(YEAR(D14),ROUNDUP(MONTH(D14)/3,0)*3,1),0)</f>
        <v>45107</v>
      </c>
      <c r="E13" s="14">
        <f ca="1">EOMONTH(DATE(YEAR(E14),ROUNDUP(MONTH(E14)/3,0)*3,1),0)</f>
        <v>45199</v>
      </c>
      <c r="F13" s="14">
        <f ca="1">EOMONTH(DATE(YEAR(F14),ROUNDUP(MONTH(F14)/3,0)*3,1),0)</f>
        <v>45291</v>
      </c>
      <c r="G13" s="14">
        <f t="shared" ref="G13:K13" ca="1" si="3">EOMONTH(DATE(YEAR(G14),ROUNDUP(MONTH(G14)/3,0)*3,1),0)</f>
        <v>45382</v>
      </c>
      <c r="H13" s="14">
        <f t="shared" ca="1" si="3"/>
        <v>45473</v>
      </c>
      <c r="I13" s="14">
        <f t="shared" ca="1" si="3"/>
        <v>45565</v>
      </c>
      <c r="J13" s="14">
        <f t="shared" ca="1" si="3"/>
        <v>45657</v>
      </c>
      <c r="K13" s="14">
        <f t="shared" ca="1" si="3"/>
        <v>45747</v>
      </c>
      <c r="L13" s="14">
        <f ca="1">EOMONTH(DATE(YEAR(L14),ROUNDUP(MONTH(L14)/3,0)*3,1),0)</f>
        <v>45838</v>
      </c>
      <c r="M13" s="14">
        <f ca="1">EOMONTH(DATE(YEAR(M14),ROUNDUP(MONTH(M14)/3,0)*3,1),0)</f>
        <v>45930</v>
      </c>
      <c r="N13" s="14">
        <f ca="1">EOMONTH(DATE(YEAR(N14),ROUNDUP(MONTH(N14)/3,0)*3,1),0)</f>
        <v>46022</v>
      </c>
      <c r="O13" s="14">
        <f>EOMONTH(DATE(YEAR(O14),ROUNDUP(MONTH(O14)/3,0)*3,1),0)</f>
        <v>91</v>
      </c>
      <c r="Q13" s="24" t="str">
        <f ca="1"/>
        <v>MUSA US EQUITY</v>
      </c>
      <c r="R13" s="24">
        <f ca="1"/>
        <v>91</v>
      </c>
      <c r="S13" s="25" t="str">
        <f ca="1"/>
        <v>canonical</v>
      </c>
      <c r="T13" s="26" t="str">
        <f ca="1"/>
        <v>operating_margin_gaap</v>
      </c>
      <c r="U13" s="30" t="str">
        <f ca="1"/>
        <v/>
      </c>
      <c r="V13" s="29" t="str">
        <f ca="1"/>
        <v>-221.46</v>
      </c>
      <c r="W13" s="29" t="str">
        <f ca="1"/>
        <v/>
      </c>
      <c r="X13" s="29" t="str">
        <f ca="1"/>
        <v/>
      </c>
      <c r="Y13" s="29" t="str">
        <f ca="1"/>
        <v>-505.71</v>
      </c>
    </row>
    <row r="14" spans="1:25" x14ac:dyDescent="0.25">
      <c r="D14" s="1" cm="1">
        <f t="array" aca="1" ref="D14:N15" ca="1">+_xll.BDH($B$2,C15,$B$3,$B$4,"DIR=H")</f>
        <v>45107</v>
      </c>
      <c r="E14" s="1">
        <f ca="1"/>
        <v>45199</v>
      </c>
      <c r="F14" s="1">
        <f ca="1"/>
        <v>45291</v>
      </c>
      <c r="G14" s="1">
        <f ca="1"/>
        <v>45382</v>
      </c>
      <c r="H14" s="1">
        <f ca="1"/>
        <v>45473</v>
      </c>
      <c r="I14" s="1">
        <f ca="1"/>
        <v>45565</v>
      </c>
      <c r="J14" s="1">
        <f ca="1"/>
        <v>45657</v>
      </c>
      <c r="K14" s="1">
        <f ca="1"/>
        <v>45747</v>
      </c>
      <c r="L14" s="1">
        <f ca="1"/>
        <v>45838</v>
      </c>
      <c r="M14" s="1">
        <f ca="1"/>
        <v>45930</v>
      </c>
      <c r="N14" s="1">
        <f ca="1"/>
        <v>46022</v>
      </c>
      <c r="O14" s="1"/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MUSA US EQUITY</v>
      </c>
      <c r="R14" s="24">
        <v>45747</v>
      </c>
      <c r="S14" s="25" t="str">
        <v>custom</v>
      </c>
      <c r="T14" s="26" t="str">
        <v>petroleum_sss_growth</v>
      </c>
      <c r="U14" s="30" t="str">
        <v>-0.018</v>
      </c>
      <c r="V14" s="29" t="str">
        <v>-90</v>
      </c>
      <c r="W14" s="29" t="str">
        <v/>
      </c>
      <c r="X14" s="29" t="str">
        <v/>
      </c>
      <c r="Y14" s="29" t="str">
        <v>100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11.4842</v>
      </c>
      <c r="E15" s="3">
        <f ca="1"/>
        <v>12.109400000000001</v>
      </c>
      <c r="F15" s="3">
        <f ca="1"/>
        <v>13.148</v>
      </c>
      <c r="G15" s="3">
        <f ca="1"/>
        <v>11.1671</v>
      </c>
      <c r="H15" s="3">
        <f ca="1"/>
        <v>12.516999999999999</v>
      </c>
      <c r="I15" s="3">
        <f ca="1"/>
        <v>13.4062</v>
      </c>
      <c r="J15" s="3">
        <f ca="1"/>
        <v>14.493499999999999</v>
      </c>
      <c r="K15" s="3">
        <f ca="1"/>
        <v>12.170299999999999</v>
      </c>
      <c r="L15" s="3">
        <f ca="1"/>
        <v>13.894</v>
      </c>
      <c r="M15" s="3">
        <f ca="1"/>
        <v>13.9299</v>
      </c>
      <c r="N15" s="3">
        <f ca="1"/>
        <v>15.386100000000001</v>
      </c>
      <c r="Q15" s="24" t="str">
        <v>MUSA US EQUITY</v>
      </c>
      <c r="R15" s="24">
        <v>45838</v>
      </c>
      <c r="S15" s="25" t="str">
        <v>custom</v>
      </c>
      <c r="T15" s="26" t="str">
        <v>petroleum_sss_growth</v>
      </c>
      <c r="U15" s="30" t="str">
        <v>-0.032</v>
      </c>
      <c r="V15" s="29" t="str">
        <v>-190</v>
      </c>
      <c r="W15" s="29" t="str">
        <v/>
      </c>
      <c r="X15" s="29" t="str">
        <v/>
      </c>
      <c r="Y15" s="29" t="str">
        <v>-140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103.28</v>
      </c>
      <c r="I16" s="7">
        <f t="shared" ca="1" si="4"/>
        <v>129.67999999999992</v>
      </c>
      <c r="J16" s="7">
        <f t="shared" ca="1" si="4"/>
        <v>134.54999999999995</v>
      </c>
      <c r="K16" s="7">
        <f t="shared" ca="1" si="4"/>
        <v>100.31999999999996</v>
      </c>
      <c r="L16" s="7">
        <f t="shared" ca="1" si="4"/>
        <v>137.70000000000007</v>
      </c>
      <c r="M16" s="7">
        <f t="shared" ca="1" si="4"/>
        <v>52.369999999999983</v>
      </c>
      <c r="N16" s="7">
        <f t="shared" ca="1" si="4"/>
        <v>89.260000000000161</v>
      </c>
      <c r="O16" s="7">
        <f t="shared" ca="1" si="4"/>
        <v>-1217.03</v>
      </c>
      <c r="Q16" s="24" t="str">
        <v>MUSA US EQUITY</v>
      </c>
      <c r="R16" s="24">
        <v>45930</v>
      </c>
      <c r="S16" s="25" t="str">
        <v>custom</v>
      </c>
      <c r="T16" s="26" t="str">
        <v>petroleum_sss_growth</v>
      </c>
      <c r="U16" s="30" t="str">
        <v>-0.026</v>
      </c>
      <c r="V16" s="29" t="str">
        <v>-310</v>
      </c>
      <c r="W16" s="29" t="str">
        <v/>
      </c>
      <c r="X16" s="29" t="str">
        <v/>
      </c>
      <c r="Y16" s="29" t="str">
        <v>60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MUSA US EQUITY</v>
      </c>
      <c r="R17" s="24">
        <v>46022</v>
      </c>
      <c r="S17" s="25" t="str">
        <v>custom</v>
      </c>
      <c r="T17" s="26" t="str">
        <v>petroleum_sss_growth</v>
      </c>
      <c r="U17" s="30" t="str">
        <v>-0.006</v>
      </c>
      <c r="V17" s="29" t="str">
        <v>220</v>
      </c>
      <c r="W17" s="29" t="str">
        <v/>
      </c>
      <c r="X17" s="29" t="str">
        <v/>
      </c>
      <c r="Y17" s="29" t="str">
        <v>200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MUSA US EQUITY</v>
      </c>
      <c r="R18" s="24">
        <v>45747</v>
      </c>
      <c r="S18" s="25" t="str">
        <v>custom</v>
      </c>
      <c r="T18" s="26" t="str">
        <v>merchandise_sss</v>
      </c>
      <c r="U18" s="30" t="str">
        <v>38.4</v>
      </c>
      <c r="V18" s="29" t="str">
        <v>0.0158730158730158</v>
      </c>
      <c r="W18" s="29" t="str">
        <v>-147.392290249433</v>
      </c>
      <c r="X18" s="29" t="str">
        <v>-57.4860574860581</v>
      </c>
      <c r="Y18" s="29" t="str">
        <v>-0.0495049504950495</v>
      </c>
    </row>
    <row r="19" spans="1:25" x14ac:dyDescent="0.25">
      <c r="C19" s="4" t="s">
        <v>5</v>
      </c>
      <c r="D19" s="1"/>
      <c r="K19" s="7"/>
      <c r="L19" s="7">
        <f ca="1">(L15-K15)*100</f>
        <v>172.37000000000009</v>
      </c>
      <c r="M19" s="7">
        <f t="shared" ref="M19:O19" ca="1" si="5">(M15-L15)*100</f>
        <v>3.5899999999999821</v>
      </c>
      <c r="N19" s="7">
        <f t="shared" ca="1" si="5"/>
        <v>145.62000000000009</v>
      </c>
      <c r="O19" s="7">
        <f t="shared" ca="1" si="5"/>
        <v>-1538.6100000000001</v>
      </c>
      <c r="Q19" s="24" t="str">
        <v>MUSA US EQUITY</v>
      </c>
      <c r="R19" s="24">
        <v>45838</v>
      </c>
      <c r="S19" s="25" t="str">
        <v>custom</v>
      </c>
      <c r="T19" s="26" t="str">
        <v>merchandise_sss</v>
      </c>
      <c r="U19" s="30" t="str">
        <v>42.8</v>
      </c>
      <c r="V19" s="29" t="str">
        <v>0</v>
      </c>
      <c r="W19" s="29" t="str">
        <v>-158.730158730158</v>
      </c>
      <c r="X19" s="29" t="str">
        <v>-515.970515970514</v>
      </c>
      <c r="Y19" s="29" t="str">
        <v>0.114583333333333</v>
      </c>
    </row>
    <row r="20" spans="1:25" x14ac:dyDescent="0.25">
      <c r="Q20" s="24" t="str">
        <v>MUSA US EQUITY</v>
      </c>
      <c r="R20" s="24">
        <v>45930</v>
      </c>
      <c r="S20" s="25" t="str">
        <v>custom</v>
      </c>
      <c r="T20" s="26" t="str">
        <v>merchandise_sss</v>
      </c>
      <c r="U20" s="30" t="str">
        <v>46.5</v>
      </c>
      <c r="V20" s="29" t="str">
        <v>0.0889929742388758</v>
      </c>
      <c r="W20" s="29" t="str">
        <v>889.929742388758</v>
      </c>
      <c r="X20" s="29" t="str">
        <v>698.998954799257</v>
      </c>
      <c r="Y20" s="29" t="str">
        <v>0.0864485981308412</v>
      </c>
    </row>
    <row r="21" spans="1:25" x14ac:dyDescent="0.25">
      <c r="C21" s="13" t="s">
        <v>12</v>
      </c>
      <c r="D21" s="14">
        <f ca="1">EOMONTH(DATE(YEAR(D22),ROUNDUP(MONTH(D22)/3,0)*3,1),0)</f>
        <v>45107</v>
      </c>
      <c r="E21" s="14">
        <f ca="1">EOMONTH(DATE(YEAR(E22),ROUNDUP(MONTH(E22)/3,0)*3,1),0)</f>
        <v>45199</v>
      </c>
      <c r="F21" s="14">
        <f ca="1">EOMONTH(DATE(YEAR(F22),ROUNDUP(MONTH(F22)/3,0)*3,1),0)</f>
        <v>45291</v>
      </c>
      <c r="G21" s="14">
        <f t="shared" ref="G21:K21" ca="1" si="6">EOMONTH(DATE(YEAR(G22),ROUNDUP(MONTH(G22)/3,0)*3,1),0)</f>
        <v>45382</v>
      </c>
      <c r="H21" s="14">
        <f t="shared" ca="1" si="6"/>
        <v>45473</v>
      </c>
      <c r="I21" s="14">
        <f t="shared" ca="1" si="6"/>
        <v>45565</v>
      </c>
      <c r="J21" s="14">
        <f t="shared" ca="1" si="6"/>
        <v>45657</v>
      </c>
      <c r="K21" s="14">
        <f t="shared" ca="1" si="6"/>
        <v>45747</v>
      </c>
      <c r="L21" s="14">
        <f ca="1">EOMONTH(DATE(YEAR(L22),ROUNDUP(MONTH(L22)/3,0)*3,1),0)</f>
        <v>45838</v>
      </c>
      <c r="M21" s="14">
        <f ca="1">EOMONTH(DATE(YEAR(M22),ROUNDUP(MONTH(M22)/3,0)*3,1),0)</f>
        <v>45930</v>
      </c>
      <c r="N21" s="14">
        <f ca="1">EOMONTH(DATE(YEAR(N22),ROUNDUP(MONTH(N22)/3,0)*3,1),0)</f>
        <v>46022</v>
      </c>
      <c r="O21" s="14">
        <f>EOMONTH(DATE(YEAR(O22),ROUNDUP(MONTH(O22)/3,0)*3,1),0)</f>
        <v>91</v>
      </c>
      <c r="Q21" s="24" t="str">
        <v>MUSA US EQUITY</v>
      </c>
      <c r="R21" s="24">
        <v>46022</v>
      </c>
      <c r="S21" s="25" t="str">
        <v>custom</v>
      </c>
      <c r="T21" s="26" t="str">
        <v>merchandise_sss</v>
      </c>
      <c r="U21" s="30" t="str">
        <v>40.7</v>
      </c>
      <c r="V21" s="29" t="str">
        <v>0.00742574257425743</v>
      </c>
      <c r="W21" s="29" t="str">
        <v>-815.672316646183</v>
      </c>
      <c r="X21" s="29" t="str">
        <v>-231.865023237017</v>
      </c>
      <c r="Y21" s="29" t="str">
        <v>-0.124731182795699</v>
      </c>
    </row>
    <row r="22" spans="1:25" x14ac:dyDescent="0.25">
      <c r="D22" s="1" cm="1">
        <f t="array" aca="1" ref="D22:N23" ca="1">+_xll.BDH($B$2,C23,$B$3,$B$4,"DIR=H")</f>
        <v>45107</v>
      </c>
      <c r="E22" s="1">
        <f ca="1"/>
        <v>45199</v>
      </c>
      <c r="F22" s="1">
        <f ca="1"/>
        <v>45291</v>
      </c>
      <c r="G22" s="1">
        <f ca="1"/>
        <v>45382</v>
      </c>
      <c r="H22" s="1">
        <f ca="1"/>
        <v>45473</v>
      </c>
      <c r="I22" s="1">
        <f ca="1"/>
        <v>45565</v>
      </c>
      <c r="J22" s="1">
        <f ca="1"/>
        <v>45657</v>
      </c>
      <c r="K22" s="1">
        <f ca="1"/>
        <v>45747</v>
      </c>
      <c r="L22" s="1">
        <f ca="1"/>
        <v>45838</v>
      </c>
      <c r="M22" s="1">
        <f ca="1"/>
        <v>45930</v>
      </c>
      <c r="N22" s="1">
        <f ca="1"/>
        <v>46022</v>
      </c>
      <c r="O22" s="1"/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MUSA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3.9809999999999999</v>
      </c>
      <c r="E23" s="3">
        <f ca="1"/>
        <v>4.7413999999999996</v>
      </c>
      <c r="F23" s="3">
        <f ca="1"/>
        <v>4.8280000000000003</v>
      </c>
      <c r="G23" s="3">
        <f ca="1"/>
        <v>2.4550999999999998</v>
      </c>
      <c r="H23" s="3">
        <f ca="1"/>
        <v>4.4724000000000004</v>
      </c>
      <c r="I23" s="3">
        <f ca="1"/>
        <v>4.7785000000000002</v>
      </c>
      <c r="J23" s="3">
        <f ca="1"/>
        <v>4.8150000000000004</v>
      </c>
      <c r="K23" s="3">
        <f ca="1"/>
        <v>2.2145999999999999</v>
      </c>
      <c r="L23" s="3">
        <f ca="1"/>
        <v>4.9756</v>
      </c>
      <c r="M23" s="3">
        <f ca="1"/>
        <v>4.4882999999999997</v>
      </c>
      <c r="N23" s="3">
        <f ca="1"/>
        <v>5.0571000000000002</v>
      </c>
      <c r="Q23" s="24" t="str">
        <v>MUSA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49.14000000000005</v>
      </c>
      <c r="I24" s="7">
        <f t="shared" ca="1" si="7"/>
        <v>3.7100000000000577</v>
      </c>
      <c r="J24" s="7">
        <f t="shared" ca="1" si="7"/>
        <v>-1.2999999999999901</v>
      </c>
      <c r="K24" s="7">
        <f t="shared" ca="1" si="7"/>
        <v>-24.049999999999994</v>
      </c>
      <c r="L24" s="7">
        <f t="shared" ca="1" si="7"/>
        <v>50.319999999999965</v>
      </c>
      <c r="M24" s="7">
        <f t="shared" ca="1" si="7"/>
        <v>-29.020000000000046</v>
      </c>
      <c r="N24" s="7">
        <f t="shared" ca="1" si="7"/>
        <v>24.209999999999976</v>
      </c>
      <c r="O24" s="7">
        <f t="shared" ca="1" si="7"/>
        <v>-221.45999999999998</v>
      </c>
      <c r="Q24" s="24" t="str">
        <v>MUSA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MUSA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MUSA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276.10000000000002</v>
      </c>
      <c r="M27" s="7">
        <f t="shared" ref="M27:O27" ca="1" si="8">(M23-L23)*100</f>
        <v>-48.730000000000032</v>
      </c>
      <c r="N27" s="7">
        <f t="shared" ca="1" si="8"/>
        <v>56.880000000000038</v>
      </c>
      <c r="O27" s="7">
        <f t="shared" ca="1" si="8"/>
        <v>-505.71000000000004</v>
      </c>
      <c r="Q27" s="24" t="str">
        <v>MUSA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MUSA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/>
      <c r="E29" s="14">
        <f t="shared" ref="E29:L29" si="9">EOMONTH(DATE(YEAR(E30),ROUNDUP(MONTH(E30)/3,0)*3,1),0)</f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MUSA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/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MUSA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39</v>
      </c>
      <c r="C31" s="2" t="s">
        <v>40</v>
      </c>
      <c r="D31" s="10"/>
      <c r="E31" s="10"/>
      <c r="F31" s="10"/>
      <c r="G31" s="8">
        <v>-0.02</v>
      </c>
      <c r="H31" s="8">
        <v>-8.9999999999999993E-3</v>
      </c>
      <c r="I31" s="8">
        <v>-1.2999999999999999E-2</v>
      </c>
      <c r="J31" s="8">
        <v>5.0000000000000001E-3</v>
      </c>
      <c r="K31" s="8">
        <v>-2.8000000000000001E-2</v>
      </c>
      <c r="L31" s="8">
        <v>-1.7999999999999999E-2</v>
      </c>
      <c r="M31" s="8">
        <v>-3.2000000000000001E-2</v>
      </c>
      <c r="N31" s="8">
        <v>-2.5999999999999999E-2</v>
      </c>
      <c r="O31" s="8">
        <v>-6.0000000000000001E-3</v>
      </c>
      <c r="Q31" s="24" t="str">
        <v>MUSA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>
        <f t="shared" ref="J32:O32" si="10">(J31-F31)*10000</f>
        <v>50</v>
      </c>
      <c r="K32" s="7">
        <f t="shared" si="10"/>
        <v>-80</v>
      </c>
      <c r="L32" s="7">
        <f t="shared" si="10"/>
        <v>-90</v>
      </c>
      <c r="M32" s="7">
        <f t="shared" si="10"/>
        <v>-190.00000000000003</v>
      </c>
      <c r="N32" s="7">
        <f t="shared" si="10"/>
        <v>-310</v>
      </c>
      <c r="O32" s="7">
        <f t="shared" si="10"/>
        <v>220</v>
      </c>
      <c r="Q32" s="24" t="str">
        <v>MUSA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MUSA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-200</v>
      </c>
      <c r="H35" s="7">
        <f t="shared" si="11"/>
        <v>110.00000000000001</v>
      </c>
      <c r="I35" s="7">
        <f t="shared" si="11"/>
        <v>-40</v>
      </c>
      <c r="J35" s="7">
        <f t="shared" si="11"/>
        <v>180</v>
      </c>
      <c r="K35" s="7">
        <f t="shared" si="11"/>
        <v>-330</v>
      </c>
      <c r="L35" s="7">
        <f>(L31-K31)*10000</f>
        <v>100.00000000000001</v>
      </c>
      <c r="M35" s="7">
        <f t="shared" ref="M35:O35" si="12">(M31-L31)*10000</f>
        <v>-140.00000000000003</v>
      </c>
      <c r="N35" s="7">
        <f t="shared" si="12"/>
        <v>60.000000000000021</v>
      </c>
      <c r="O35" s="7">
        <f t="shared" si="12"/>
        <v>199.99999999999997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 t="s">
        <v>12</v>
      </c>
      <c r="D37" s="14">
        <f t="shared" ref="D37:L37" si="13">EOMONTH(DATE(YEAR(D38),ROUNDUP(MONTH(D38)/3,0)*3,1),0)</f>
        <v>45016</v>
      </c>
      <c r="E37" s="14">
        <f t="shared" si="13"/>
        <v>45107</v>
      </c>
      <c r="F37" s="14">
        <f t="shared" si="13"/>
        <v>45199</v>
      </c>
      <c r="G37" s="14">
        <f t="shared" si="13"/>
        <v>45291</v>
      </c>
      <c r="H37" s="14">
        <f t="shared" si="13"/>
        <v>45382</v>
      </c>
      <c r="I37" s="14">
        <f t="shared" si="13"/>
        <v>45473</v>
      </c>
      <c r="J37" s="14">
        <f t="shared" si="13"/>
        <v>45565</v>
      </c>
      <c r="K37" s="14">
        <f t="shared" si="13"/>
        <v>45657</v>
      </c>
      <c r="L37" s="14">
        <f t="shared" si="13"/>
        <v>45747</v>
      </c>
      <c r="M37" s="14">
        <f>EOMONTH(DATE(YEAR(M38),ROUNDUP(MONTH(M38)/3,0)*3,1),0)</f>
        <v>45838</v>
      </c>
      <c r="N37" s="14">
        <f>EOMONTH(DATE(YEAR(N38),ROUNDUP(MONTH(N38)/3,0)*3,1),0)</f>
        <v>45930</v>
      </c>
      <c r="O37" s="14">
        <f>EOMONTH(DATE(YEAR(O38),ROUNDUP(MONTH(O38)/3,0)*3,1),0)</f>
        <v>46022</v>
      </c>
    </row>
    <row r="38" spans="1:25" x14ac:dyDescent="0.25">
      <c r="D38" s="2">
        <v>45016</v>
      </c>
      <c r="E38" s="2">
        <v>45107</v>
      </c>
      <c r="F38" s="2">
        <v>45199</v>
      </c>
      <c r="G38" s="2">
        <v>45291</v>
      </c>
      <c r="H38" s="2">
        <v>45382</v>
      </c>
      <c r="I38" s="2">
        <v>45473</v>
      </c>
      <c r="J38" s="2">
        <v>45565</v>
      </c>
      <c r="K38" s="2">
        <v>45657</v>
      </c>
      <c r="L38" s="2">
        <v>45747</v>
      </c>
      <c r="M38" s="2">
        <v>45838</v>
      </c>
      <c r="N38" s="2">
        <v>45930</v>
      </c>
      <c r="O38" s="2">
        <v>46022</v>
      </c>
    </row>
    <row r="39" spans="1:25" x14ac:dyDescent="0.25">
      <c r="A39" s="16" t="s">
        <v>21</v>
      </c>
      <c r="B39" s="16" t="s">
        <v>42</v>
      </c>
      <c r="C39" s="2" t="s">
        <v>41</v>
      </c>
      <c r="D39" s="32">
        <v>37</v>
      </c>
      <c r="E39" s="32">
        <v>40.700000000000003</v>
      </c>
      <c r="F39" s="32">
        <v>41.9</v>
      </c>
      <c r="G39" s="32">
        <v>39.200000000000003</v>
      </c>
      <c r="H39" s="32">
        <v>37.799999999999997</v>
      </c>
      <c r="I39" s="32">
        <v>42.8</v>
      </c>
      <c r="J39" s="32">
        <v>42.7</v>
      </c>
      <c r="K39" s="32">
        <v>40.4</v>
      </c>
      <c r="L39" s="32">
        <v>38.4</v>
      </c>
      <c r="M39" s="32">
        <v>42.8</v>
      </c>
      <c r="N39" s="32">
        <v>46.5</v>
      </c>
      <c r="O39" s="32">
        <v>40.700000000000003</v>
      </c>
    </row>
    <row r="40" spans="1:25" x14ac:dyDescent="0.25">
      <c r="C40" s="4" t="s">
        <v>4</v>
      </c>
      <c r="D40" s="5"/>
      <c r="E40" s="4"/>
      <c r="F40" s="4"/>
      <c r="G40" s="12"/>
      <c r="H40" s="12">
        <f t="shared" ref="H40" si="14">+H39/D39-1</f>
        <v>2.1621621621621623E-2</v>
      </c>
      <c r="I40" s="12">
        <f t="shared" ref="I40" si="15">+I39/E39-1</f>
        <v>5.1597051597051413E-2</v>
      </c>
      <c r="J40" s="12">
        <f t="shared" ref="J40" si="16">+J39/F39-1</f>
        <v>1.9093078758950055E-2</v>
      </c>
      <c r="K40" s="12">
        <f t="shared" ref="K40" si="17">+K39/G39-1</f>
        <v>3.0612244897959107E-2</v>
      </c>
      <c r="L40" s="12">
        <f t="shared" ref="L40" si="18">+L39/H39-1</f>
        <v>1.5873015873015817E-2</v>
      </c>
      <c r="M40" s="12">
        <f t="shared" ref="M40" si="19">+M39/I39-1</f>
        <v>0</v>
      </c>
      <c r="N40" s="12">
        <f t="shared" ref="N40" si="20">+N39/J39-1</f>
        <v>8.8992974238875755E-2</v>
      </c>
      <c r="O40" s="12">
        <f t="shared" ref="O40" si="21">+O39/K39-1</f>
        <v>7.4257425742574323E-3</v>
      </c>
    </row>
    <row r="41" spans="1:25" x14ac:dyDescent="0.25">
      <c r="C41" s="4" t="s">
        <v>19</v>
      </c>
      <c r="D41" s="1"/>
      <c r="L41" s="7">
        <f>(L40-K40)*10000</f>
        <v>-147.3922902494329</v>
      </c>
      <c r="M41" s="7">
        <f>(M40-L40)*10000</f>
        <v>-158.73015873015817</v>
      </c>
      <c r="N41" s="7">
        <f>(N40-M40)*10000</f>
        <v>889.92974238875752</v>
      </c>
      <c r="O41" s="7">
        <f>(O40-N40)*10000</f>
        <v>-815.67231664618328</v>
      </c>
    </row>
    <row r="42" spans="1:25" x14ac:dyDescent="0.25">
      <c r="C42" s="4" t="s">
        <v>23</v>
      </c>
      <c r="D42" s="1"/>
      <c r="E42" s="6"/>
      <c r="F42" s="6"/>
      <c r="G42" s="6"/>
      <c r="H42" s="6"/>
      <c r="I42" s="6"/>
      <c r="J42" s="6"/>
      <c r="K42" s="6"/>
      <c r="L42" s="7">
        <f>(L40-H40)*10000</f>
        <v>-57.486057486058058</v>
      </c>
      <c r="M42" s="7">
        <f>(M40-I40)*10000</f>
        <v>-515.97051597051416</v>
      </c>
      <c r="N42" s="7">
        <f>(N40-J40)*10000</f>
        <v>698.99895479925704</v>
      </c>
      <c r="O42" s="7">
        <f>(O40-K40)*10000</f>
        <v>-231.86502323701674</v>
      </c>
    </row>
    <row r="43" spans="1:25" x14ac:dyDescent="0.25">
      <c r="C43" s="4" t="s">
        <v>5</v>
      </c>
      <c r="D43" s="1"/>
      <c r="L43" s="12">
        <f t="shared" ref="L43" si="22">L39/K39-1</f>
        <v>-4.9504950495049549E-2</v>
      </c>
      <c r="M43" s="12">
        <f t="shared" ref="M43" si="23">M39/L39-1</f>
        <v>0.11458333333333326</v>
      </c>
      <c r="N43" s="12">
        <f t="shared" ref="N43" si="24">N39/M39-1</f>
        <v>8.6448598130841159E-2</v>
      </c>
      <c r="O43" s="12">
        <f t="shared" ref="O43" si="25">O39/N39-1</f>
        <v>-0.12473118279569884</v>
      </c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2"/>
      <c r="D47" s="10"/>
      <c r="E47" s="10"/>
      <c r="F47" s="10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E1EA-7083-45F0-96BB-C177BEA6A2E2}">
  <dimension ref="A1:Y67"/>
  <sheetViews>
    <sheetView zoomScale="85" zoomScaleNormal="85" workbookViewId="0">
      <selection activeCell="L24" sqref="L24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36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16" width="9" customWidth="1"/>
    <col min="17" max="17" width="12.42578125" bestFit="1" customWidth="1"/>
    <col min="18" max="18" width="14.42578125" bestFit="1" customWidth="1"/>
    <col min="19" max="19" width="8.5703125" bestFit="1" customWidth="1"/>
    <col min="20" max="20" width="20.28515625" bestFit="1" customWidth="1"/>
    <col min="21" max="21" width="7.42578125" bestFit="1" customWidth="1"/>
    <col min="22" max="22" width="10.7109375" bestFit="1" customWidth="1"/>
    <col min="23" max="23" width="9.140625" bestFit="1" customWidth="1"/>
    <col min="24" max="24" width="10.42578125" bestFit="1" customWidth="1"/>
    <col min="25" max="25" width="9.140625" bestFit="1" customWidth="1"/>
  </cols>
  <sheetData>
    <row r="1" spans="1:25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Q1" s="23" t="s">
        <v>13</v>
      </c>
      <c r="R1" s="23" t="s">
        <v>11</v>
      </c>
      <c r="S1" s="23" t="s">
        <v>18</v>
      </c>
      <c r="T1" s="23" t="s">
        <v>17</v>
      </c>
      <c r="U1" s="23" t="s">
        <v>10</v>
      </c>
      <c r="V1" s="23" t="s">
        <v>16</v>
      </c>
      <c r="W1" s="23" t="s">
        <v>20</v>
      </c>
      <c r="X1" s="23" t="s">
        <v>24</v>
      </c>
      <c r="Y1" s="23" t="s">
        <v>25</v>
      </c>
    </row>
    <row r="2" spans="1:25" x14ac:dyDescent="0.25">
      <c r="A2" s="17" t="s">
        <v>1</v>
      </c>
      <c r="B2" s="31" t="s">
        <v>29</v>
      </c>
      <c r="Q2" s="24" t="str" cm="1">
        <f t="array" aca="1" ref="Q2:Y5" ca="1">_xlfn.LET(
  _xlpm.d, L5:O5,
  _xlpm.v, L7:O7,
  _xlpm.yy, L8:O8,
  _xlpm.qq, L9:O9,
  _xlpm.dyy, L10:O10,
  _xlpm.dqq, L11:O11,
  _xlpm.dd, TRANSPOSE(_xlpm.d),
  _xlpm.clean, _xlfn.LAMBDA(_xlpm.x, IF(_xlpm.x="","",_xlpm.x)),
_xlfn.HSTACK(
  _xlfn.MAKEARRAY(ROWS(_xlpm.dd),1, _xlfn.LAMBDA(_xlpm.r,_xlpm.c,$B$2)),
  _xlpm.dd,
  _xlfn.MAKEARRAY(ROWS(_xlpm.dd),1, _xlfn.LAMBDA(_xlpm.r,_xlpm.c,A7)),
  _xlfn.MAKEARRAY(ROWS(_xlpm.dd),1, _xlfn.LAMBDA(_xlpm.r,_xlpm.c,B7)),
  CLEAN(TRANSPOSE(_xlpm.v)),
  CLEAN(TRANSPOSE(_xlpm.yy)),
  CLEAN(TRANSPOSE(_xlpm.qq)),
  CLEAN(TRANSPOSE(_xlpm.dyy)),
  CLEAN(TRANSPOSE(_xlpm.dqq))
))</f>
        <v>ORLY US EQUITY</v>
      </c>
      <c r="R2" s="24">
        <f ca="1"/>
        <v>45838</v>
      </c>
      <c r="S2" s="25" t="str">
        <f ca="1"/>
        <v>canonical</v>
      </c>
      <c r="T2" s="26" t="str">
        <f ca="1"/>
        <v>revenue</v>
      </c>
      <c r="U2" s="27" t="str">
        <f ca="1"/>
        <v>4525.058</v>
      </c>
      <c r="V2" s="28" t="str">
        <f ca="1"/>
        <v>0.0591865878969646</v>
      </c>
      <c r="W2" s="29" t="str">
        <f ca="1"/>
        <v>187.755463099377</v>
      </c>
      <c r="X2" s="28" t="str">
        <f ca="1"/>
        <v>92.4545998589288</v>
      </c>
      <c r="Y2" s="29" t="str">
        <f ca="1"/>
        <v>0.093821883118955</v>
      </c>
    </row>
    <row r="3" spans="1:25" x14ac:dyDescent="0.25">
      <c r="A3" s="18" t="s">
        <v>3</v>
      </c>
      <c r="B3" s="19">
        <f ca="1">+B4-365*3</f>
        <v>45026</v>
      </c>
      <c r="Q3" s="24" t="str">
        <f ca="1"/>
        <v>ORLY US EQUITY</v>
      </c>
      <c r="R3" s="24">
        <f ca="1"/>
        <v>45930</v>
      </c>
      <c r="S3" s="25" t="str">
        <f ca="1"/>
        <v>canonical</v>
      </c>
      <c r="T3" s="26" t="str">
        <f ca="1"/>
        <v>revenue</v>
      </c>
      <c r="U3" s="27" t="str">
        <f ca="1"/>
        <v>4705.696</v>
      </c>
      <c r="V3" s="28" t="str">
        <f ca="1"/>
        <v>0.0781908411096321</v>
      </c>
      <c r="W3" s="29" t="str">
        <f ca="1"/>
        <v>190.042532126675</v>
      </c>
      <c r="X3" s="29" t="str">
        <f ca="1"/>
        <v>398.747716607601</v>
      </c>
      <c r="Y3" s="29" t="str">
        <f ca="1"/>
        <v>0.0399194883247904</v>
      </c>
    </row>
    <row r="4" spans="1:25" x14ac:dyDescent="0.25">
      <c r="A4" s="20" t="s">
        <v>2</v>
      </c>
      <c r="B4" s="21">
        <f ca="1">TODAY()</f>
        <v>46121</v>
      </c>
      <c r="Q4" s="24" t="str">
        <f ca="1"/>
        <v>ORLY US EQUITY</v>
      </c>
      <c r="R4" s="24">
        <f ca="1"/>
        <v>46022</v>
      </c>
      <c r="S4" s="25" t="str">
        <f ca="1"/>
        <v>canonical</v>
      </c>
      <c r="T4" s="26" t="str">
        <f ca="1"/>
        <v>revenue</v>
      </c>
      <c r="U4" s="27" t="str">
        <f ca="1"/>
        <v>4414.314</v>
      </c>
      <c r="V4" s="28" t="str">
        <f ca="1"/>
        <v>0.0778183714673377</v>
      </c>
      <c r="W4" s="29" t="str">
        <f ca="1"/>
        <v>-3.72469642294426</v>
      </c>
      <c r="X4" s="29" t="str">
        <f ca="1"/>
        <v>90.3315011512484</v>
      </c>
      <c r="Y4" s="29" t="str">
        <f ca="1"/>
        <v>-0.0619211270766321</v>
      </c>
    </row>
    <row r="5" spans="1:25" x14ac:dyDescent="0.25">
      <c r="C5" s="13" t="s">
        <v>12</v>
      </c>
      <c r="D5" s="14">
        <f ca="1">EOMONTH(DATE(YEAR(D6),ROUNDUP(MONTH(D6)/3,0)*3,1),0)</f>
        <v>45107</v>
      </c>
      <c r="E5" s="14">
        <f ca="1">EOMONTH(DATE(YEAR(E6),ROUNDUP(MONTH(E6)/3,0)*3,1),0)</f>
        <v>45199</v>
      </c>
      <c r="F5" s="14">
        <f ca="1">EOMONTH(DATE(YEAR(F6),ROUNDUP(MONTH(F6)/3,0)*3,1),0)</f>
        <v>45291</v>
      </c>
      <c r="G5" s="14">
        <f t="shared" ref="G5:K5" ca="1" si="0">EOMONTH(DATE(YEAR(G6),ROUNDUP(MONTH(G6)/3,0)*3,1),0)</f>
        <v>45382</v>
      </c>
      <c r="H5" s="14">
        <f t="shared" ca="1" si="0"/>
        <v>45473</v>
      </c>
      <c r="I5" s="14">
        <f t="shared" ca="1" si="0"/>
        <v>45565</v>
      </c>
      <c r="J5" s="14">
        <f t="shared" ca="1" si="0"/>
        <v>45657</v>
      </c>
      <c r="K5" s="14">
        <f t="shared" ca="1" si="0"/>
        <v>45747</v>
      </c>
      <c r="L5" s="14">
        <f ca="1">EOMONTH(DATE(YEAR(L6),ROUNDUP(MONTH(L6)/3,0)*3,1),0)</f>
        <v>45838</v>
      </c>
      <c r="M5" s="14">
        <f ca="1">EOMONTH(DATE(YEAR(M6),ROUNDUP(MONTH(M6)/3,0)*3,1),0)</f>
        <v>45930</v>
      </c>
      <c r="N5" s="14">
        <f ca="1">EOMONTH(DATE(YEAR(N6),ROUNDUP(MONTH(N6)/3,0)*3,1),0)</f>
        <v>46022</v>
      </c>
      <c r="O5" s="14">
        <f>EOMONTH(DATE(YEAR(O6),ROUNDUP(MONTH(O6)/3,0)*3,1),0)</f>
        <v>91</v>
      </c>
      <c r="Q5" s="24" t="str">
        <f ca="1"/>
        <v>ORLY US EQUITY</v>
      </c>
      <c r="R5" s="24">
        <f ca="1"/>
        <v>91</v>
      </c>
      <c r="S5" s="25" t="str">
        <f ca="1"/>
        <v>canonical</v>
      </c>
      <c r="T5" s="26" t="str">
        <f ca="1"/>
        <v>revenue</v>
      </c>
      <c r="U5" s="27" t="str">
        <f ca="1"/>
        <v/>
      </c>
      <c r="V5" s="28" t="str">
        <f ca="1"/>
        <v>-1</v>
      </c>
      <c r="W5" s="29" t="str">
        <f ca="1"/>
        <v>-10778.1837146734</v>
      </c>
      <c r="X5" s="29" t="str">
        <f ca="1"/>
        <v>-10404.1104158703</v>
      </c>
      <c r="Y5" s="29" t="str">
        <f ca="1"/>
        <v>-1</v>
      </c>
    </row>
    <row r="6" spans="1:25" x14ac:dyDescent="0.25">
      <c r="D6" s="15" cm="1">
        <f t="array" aca="1" ref="D6:N7" ca="1">+_xll.BDH($B$2,C7,$B$3,$B$4,"DIR=H")</f>
        <v>45107</v>
      </c>
      <c r="E6" s="1">
        <f ca="1"/>
        <v>45199</v>
      </c>
      <c r="F6" s="1">
        <f ca="1"/>
        <v>45291</v>
      </c>
      <c r="G6" s="1">
        <f ca="1"/>
        <v>45382</v>
      </c>
      <c r="H6" s="1">
        <f ca="1"/>
        <v>45473</v>
      </c>
      <c r="I6" s="1">
        <f ca="1"/>
        <v>45565</v>
      </c>
      <c r="J6" s="1">
        <f ca="1"/>
        <v>45657</v>
      </c>
      <c r="K6" s="1">
        <f ca="1"/>
        <v>45747</v>
      </c>
      <c r="L6" s="1">
        <f ca="1"/>
        <v>45838</v>
      </c>
      <c r="M6" s="1">
        <f ca="1"/>
        <v>45930</v>
      </c>
      <c r="N6" s="1">
        <f ca="1"/>
        <v>46022</v>
      </c>
      <c r="O6" s="1"/>
      <c r="P6" s="1"/>
      <c r="Q6" s="24" t="str" cm="1">
        <f t="array" aca="1" ref="Q6:Y9" ca="1">_xlfn.LET(
  _xlpm.d, L13:O13,
  _xlpm.v, L15:O15,
  _xlpm.yy, L16:O16,
  _xlpm.qq, L17:O17,
  _xlpm.dyy, L18:O18,
  _xlpm.dqq, L19:O19,
  _xlpm.dd, TRANSPOSE(_xlpm.d),
  _xlpm.clean, _xlfn.LAMBDA(_xlpm.x, IF(_xlpm.x="","",_xlpm.x)),
_xlfn.HSTACK(
  _xlfn.MAKEARRAY(ROWS(_xlpm.dd),1, _xlfn.LAMBDA(_xlpm.r,_xlpm.c,$B$2)),
  _xlpm.dd,
  _xlfn.MAKEARRAY(ROWS(_xlpm.dd),1, _xlfn.LAMBDA(_xlpm.r,_xlpm.c,A15)),
  _xlfn.MAKEARRAY(ROWS(_xlpm.dd),1, _xlfn.LAMBDA(_xlpm.r,_xlpm.c,B15)),
  CLEAN(TRANSPOSE(_xlpm.v)),
  CLEAN(TRANSPOSE(_xlpm.yy)),
  CLEAN(TRANSPOSE(_xlpm.qq)),
  CLEAN(TRANSPOSE(_xlpm.dyy)),
  CLEAN(TRANSPOSE(_xlpm.dqq))
))</f>
        <v>ORLY US EQUITY</v>
      </c>
      <c r="R6" s="24">
        <f ca="1"/>
        <v>45838</v>
      </c>
      <c r="S6" s="25" t="str">
        <f ca="1"/>
        <v>canonical</v>
      </c>
      <c r="T6" s="26" t="str">
        <f ca="1"/>
        <v>gross_margin_gaap</v>
      </c>
      <c r="U6" s="30" t="str">
        <f ca="1"/>
        <v>51.4145</v>
      </c>
      <c r="V6" s="29" t="str">
        <f ca="1"/>
        <v>66.6399999999996</v>
      </c>
      <c r="W6" s="29" t="str">
        <f ca="1"/>
        <v/>
      </c>
      <c r="X6" s="29" t="str">
        <f ca="1"/>
        <v/>
      </c>
      <c r="Y6" s="29" t="str">
        <f ca="1"/>
        <v>13.2799999999996</v>
      </c>
    </row>
    <row r="7" spans="1:25" x14ac:dyDescent="0.25">
      <c r="A7" s="16" t="s">
        <v>9</v>
      </c>
      <c r="B7" s="16" t="s">
        <v>8</v>
      </c>
      <c r="C7" s="9" t="s">
        <v>0</v>
      </c>
      <c r="D7" s="11">
        <f ca="1"/>
        <v>4068.991</v>
      </c>
      <c r="E7" s="11">
        <f ca="1"/>
        <v>4203.38</v>
      </c>
      <c r="F7" s="11">
        <f ca="1"/>
        <v>3832.0149999999999</v>
      </c>
      <c r="G7" s="11">
        <f ca="1"/>
        <v>3976.24</v>
      </c>
      <c r="H7" s="11">
        <f ca="1"/>
        <v>4272.201</v>
      </c>
      <c r="I7" s="11">
        <f ca="1"/>
        <v>4364.4369999999999</v>
      </c>
      <c r="J7" s="11">
        <f ca="1"/>
        <v>4095.6010000000001</v>
      </c>
      <c r="K7" s="11">
        <f ca="1"/>
        <v>4136.924</v>
      </c>
      <c r="L7" s="11">
        <f ca="1"/>
        <v>4525.058</v>
      </c>
      <c r="M7" s="11">
        <f ca="1"/>
        <v>4705.6959999999999</v>
      </c>
      <c r="N7" s="11">
        <f ca="1"/>
        <v>4414.3140000000003</v>
      </c>
      <c r="O7" s="3"/>
      <c r="P7" s="1"/>
      <c r="Q7" s="24" t="str">
        <f ca="1"/>
        <v>ORLY US EQUITY</v>
      </c>
      <c r="R7" s="24">
        <f ca="1"/>
        <v>45930</v>
      </c>
      <c r="S7" s="25" t="str">
        <f ca="1"/>
        <v>canonical</v>
      </c>
      <c r="T7" s="26" t="str">
        <f ca="1"/>
        <v>gross_margin_gaap</v>
      </c>
      <c r="U7" s="30" t="str">
        <f ca="1"/>
        <v>51.8509</v>
      </c>
      <c r="V7" s="29" t="str">
        <f ca="1"/>
        <v>26.9800000000004</v>
      </c>
      <c r="W7" s="29" t="str">
        <f ca="1"/>
        <v/>
      </c>
      <c r="X7" s="29" t="str">
        <f ca="1"/>
        <v/>
      </c>
      <c r="Y7" s="29" t="str">
        <f ca="1"/>
        <v>43.6400000000006</v>
      </c>
    </row>
    <row r="8" spans="1:25" x14ac:dyDescent="0.25">
      <c r="C8" s="4" t="s">
        <v>4</v>
      </c>
      <c r="D8" s="5"/>
      <c r="E8" s="4"/>
      <c r="F8" s="4"/>
      <c r="G8" s="12"/>
      <c r="H8" s="12">
        <f t="shared" ref="H8:O8" ca="1" si="1">+H7/D7-1</f>
        <v>4.9941127911071748E-2</v>
      </c>
      <c r="I8" s="12">
        <f t="shared" ca="1" si="1"/>
        <v>3.8316069448872003E-2</v>
      </c>
      <c r="J8" s="12">
        <f t="shared" ca="1" si="1"/>
        <v>6.8785221352212877E-2</v>
      </c>
      <c r="K8" s="12">
        <f t="shared" ca="1" si="1"/>
        <v>4.0411041587026908E-2</v>
      </c>
      <c r="L8" s="12">
        <f t="shared" ca="1" si="1"/>
        <v>5.9186587896964626E-2</v>
      </c>
      <c r="M8" s="12">
        <f t="shared" ca="1" si="1"/>
        <v>7.8190841109632148E-2</v>
      </c>
      <c r="N8" s="12">
        <f t="shared" ca="1" si="1"/>
        <v>7.7818371467337721E-2</v>
      </c>
      <c r="O8" s="12">
        <f t="shared" ca="1" si="1"/>
        <v>-1</v>
      </c>
      <c r="P8" s="3"/>
      <c r="Q8" s="24" t="str">
        <f ca="1"/>
        <v>ORLY US EQUITY</v>
      </c>
      <c r="R8" s="24">
        <f ca="1"/>
        <v>46022</v>
      </c>
      <c r="S8" s="25" t="str">
        <f ca="1"/>
        <v>canonical</v>
      </c>
      <c r="T8" s="26" t="str">
        <f ca="1"/>
        <v>gross_margin_gaap</v>
      </c>
      <c r="U8" s="30" t="str">
        <f ca="1"/>
        <v>51.79</v>
      </c>
      <c r="V8" s="29" t="str">
        <f ca="1"/>
        <v>49.0299999999998</v>
      </c>
      <c r="W8" s="29" t="str">
        <f ca="1"/>
        <v/>
      </c>
      <c r="X8" s="29" t="str">
        <f ca="1"/>
        <v/>
      </c>
      <c r="Y8" s="29" t="str">
        <f ca="1"/>
        <v>-6.09000000000037</v>
      </c>
    </row>
    <row r="9" spans="1:25" x14ac:dyDescent="0.25">
      <c r="C9" s="4" t="s">
        <v>19</v>
      </c>
      <c r="D9" s="1"/>
      <c r="L9" s="7">
        <f ca="1">(L8-K8)*10000</f>
        <v>187.75546309937718</v>
      </c>
      <c r="M9" s="7">
        <f ca="1">(M8-L8)*10000</f>
        <v>190.04253212667521</v>
      </c>
      <c r="N9" s="7">
        <f ca="1">(N8-M8)*10000</f>
        <v>-3.7246964229442625</v>
      </c>
      <c r="O9" s="7">
        <f ca="1">(O8-N8)*10000</f>
        <v>-10778.183714673378</v>
      </c>
      <c r="Q9" s="22" t="str">
        <f ca="1"/>
        <v>ORLY US EQUITY</v>
      </c>
      <c r="R9" s="24">
        <f ca="1"/>
        <v>91</v>
      </c>
      <c r="S9" s="25" t="str">
        <f ca="1"/>
        <v>canonical</v>
      </c>
      <c r="T9" s="26" t="str">
        <f ca="1"/>
        <v>gross_margin_gaap</v>
      </c>
      <c r="U9" s="30" t="str">
        <f ca="1"/>
        <v/>
      </c>
      <c r="V9" s="29" t="str">
        <f ca="1"/>
        <v>-5128.17</v>
      </c>
      <c r="W9" s="29" t="str">
        <f ca="1"/>
        <v/>
      </c>
      <c r="X9" s="29" t="str">
        <f ca="1"/>
        <v/>
      </c>
      <c r="Y9" s="29" t="str">
        <f ca="1"/>
        <v>-5179</v>
      </c>
    </row>
    <row r="10" spans="1:25" x14ac:dyDescent="0.25">
      <c r="C10" s="4" t="s">
        <v>23</v>
      </c>
      <c r="D10" s="1"/>
      <c r="E10" s="6"/>
      <c r="F10" s="6"/>
      <c r="G10" s="6"/>
      <c r="H10" s="6"/>
      <c r="I10" s="6"/>
      <c r="J10" s="6"/>
      <c r="K10" s="6"/>
      <c r="L10" s="7">
        <f ca="1">(L8-H8)*10000</f>
        <v>92.454599858928788</v>
      </c>
      <c r="M10" s="7">
        <f ca="1">(M8-I8)*10000</f>
        <v>398.74771660760143</v>
      </c>
      <c r="N10" s="7">
        <f ca="1">(N8-J8)*10000</f>
        <v>90.331501151248432</v>
      </c>
      <c r="O10" s="7">
        <f ca="1">(O8-K8)*10000</f>
        <v>-10404.110415870269</v>
      </c>
      <c r="Q10" s="24" t="str" cm="1">
        <f t="array" aca="1" ref="Q10:Y13" ca="1">_xlfn.LET(
  _xlpm.d, L21:O21,
  _xlpm.v, L23:O23,
  _xlpm.yy, L24:O24,
  _xlpm.qq, L25:O25,
  _xlpm.dyy, L26:O26,
  _xlpm.dqq, L27:O27,
  _xlpm.dd, TRANSPOSE(_xlpm.d),
  _xlpm.clean, _xlfn.LAMBDA(_xlpm.x, IF(_xlpm.x="","",_xlpm.x)),
_xlfn.HSTACK(
  _xlfn.MAKEARRAY(ROWS(_xlpm.dd),1, _xlfn.LAMBDA(_xlpm.r,_xlpm.c,$B$2)),
  _xlpm.dd,
  _xlfn.MAKEARRAY(ROWS(_xlpm.dd),1, _xlfn.LAMBDA(_xlpm.r,_xlpm.c,A23)),
  _xlfn.MAKEARRAY(ROWS(_xlpm.dd),1, _xlfn.LAMBDA(_xlpm.r,_xlpm.c,B23)),
  CLEAN(TRANSPOSE(_xlpm.v)),
  CLEAN(TRANSPOSE(_xlpm.yy)),
  CLEAN(TRANSPOSE(_xlpm.qq)),
  CLEAN(TRANSPOSE(_xlpm.dyy)),
  CLEAN(TRANSPOSE(_xlpm.dqq))
))</f>
        <v>ORLY US EQUITY</v>
      </c>
      <c r="R10" s="24">
        <f ca="1"/>
        <v>45838</v>
      </c>
      <c r="S10" s="25" t="str">
        <f ca="1"/>
        <v>canonical</v>
      </c>
      <c r="T10" s="26" t="str">
        <f ca="1"/>
        <v>operating_margin_gaap</v>
      </c>
      <c r="U10" s="30" t="str">
        <f ca="1"/>
        <v>20.209</v>
      </c>
      <c r="V10" s="29" t="str">
        <f ca="1"/>
        <v>0.169999999999959</v>
      </c>
      <c r="W10" s="29" t="str">
        <f ca="1"/>
        <v/>
      </c>
      <c r="X10" s="29" t="str">
        <f ca="1"/>
        <v/>
      </c>
      <c r="Y10" s="29" t="str">
        <f ca="1"/>
        <v>228.59</v>
      </c>
    </row>
    <row r="11" spans="1:25" x14ac:dyDescent="0.25">
      <c r="C11" s="4" t="s">
        <v>5</v>
      </c>
      <c r="D11" s="1"/>
      <c r="L11" s="12">
        <f t="shared" ref="L11:O11" ca="1" si="2">L7/K7-1</f>
        <v>9.3821883118955007E-2</v>
      </c>
      <c r="M11" s="12">
        <f t="shared" ca="1" si="2"/>
        <v>3.991948832479042E-2</v>
      </c>
      <c r="N11" s="12">
        <f t="shared" ca="1" si="2"/>
        <v>-6.192112707663211E-2</v>
      </c>
      <c r="O11" s="12">
        <f t="shared" ca="1" si="2"/>
        <v>-1</v>
      </c>
      <c r="Q11" s="24" t="str">
        <f ca="1"/>
        <v>ORLY US EQUITY</v>
      </c>
      <c r="R11" s="24">
        <f ca="1"/>
        <v>45930</v>
      </c>
      <c r="S11" s="25" t="str">
        <f ca="1"/>
        <v>canonical</v>
      </c>
      <c r="T11" s="26" t="str">
        <f ca="1"/>
        <v>operating_margin_gaap</v>
      </c>
      <c r="U11" s="30" t="str">
        <f ca="1"/>
        <v>20.7422</v>
      </c>
      <c r="V11" s="29" t="str">
        <f ca="1"/>
        <v>19.6000000000002</v>
      </c>
      <c r="W11" s="29" t="str">
        <f ca="1"/>
        <v/>
      </c>
      <c r="X11" s="29" t="str">
        <f ca="1"/>
        <v/>
      </c>
      <c r="Y11" s="29" t="str">
        <f ca="1"/>
        <v>53.3200000000001</v>
      </c>
    </row>
    <row r="12" spans="1:25" x14ac:dyDescent="0.25">
      <c r="Q12" s="24" t="str">
        <f ca="1"/>
        <v>ORLY US EQUITY</v>
      </c>
      <c r="R12" s="24">
        <f ca="1"/>
        <v>46022</v>
      </c>
      <c r="S12" s="25" t="str">
        <f ca="1"/>
        <v>canonical</v>
      </c>
      <c r="T12" s="26" t="str">
        <f ca="1"/>
        <v>operating_margin_gaap</v>
      </c>
      <c r="U12" s="30" t="str">
        <f ca="1"/>
        <v>18.771</v>
      </c>
      <c r="V12" s="29" t="str">
        <f ca="1"/>
        <v>73.5800000000001</v>
      </c>
      <c r="W12" s="29" t="str">
        <f ca="1"/>
        <v/>
      </c>
      <c r="X12" s="29" t="str">
        <f ca="1"/>
        <v/>
      </c>
      <c r="Y12" s="29" t="str">
        <f ca="1"/>
        <v>-197.12</v>
      </c>
    </row>
    <row r="13" spans="1:25" x14ac:dyDescent="0.25">
      <c r="C13" s="13" t="s">
        <v>12</v>
      </c>
      <c r="D13" s="14">
        <f ca="1">EOMONTH(DATE(YEAR(D14),ROUNDUP(MONTH(D14)/3,0)*3,1),0)</f>
        <v>45107</v>
      </c>
      <c r="E13" s="14">
        <f ca="1">EOMONTH(DATE(YEAR(E14),ROUNDUP(MONTH(E14)/3,0)*3,1),0)</f>
        <v>45199</v>
      </c>
      <c r="F13" s="14">
        <f ca="1">EOMONTH(DATE(YEAR(F14),ROUNDUP(MONTH(F14)/3,0)*3,1),0)</f>
        <v>45291</v>
      </c>
      <c r="G13" s="14">
        <f t="shared" ref="G13:K13" ca="1" si="3">EOMONTH(DATE(YEAR(G14),ROUNDUP(MONTH(G14)/3,0)*3,1),0)</f>
        <v>45382</v>
      </c>
      <c r="H13" s="14">
        <f t="shared" ca="1" si="3"/>
        <v>45473</v>
      </c>
      <c r="I13" s="14">
        <f t="shared" ca="1" si="3"/>
        <v>45565</v>
      </c>
      <c r="J13" s="14">
        <f t="shared" ca="1" si="3"/>
        <v>45657</v>
      </c>
      <c r="K13" s="14">
        <f t="shared" ca="1" si="3"/>
        <v>45747</v>
      </c>
      <c r="L13" s="14">
        <f ca="1">EOMONTH(DATE(YEAR(L14),ROUNDUP(MONTH(L14)/3,0)*3,1),0)</f>
        <v>45838</v>
      </c>
      <c r="M13" s="14">
        <f ca="1">EOMONTH(DATE(YEAR(M14),ROUNDUP(MONTH(M14)/3,0)*3,1),0)</f>
        <v>45930</v>
      </c>
      <c r="N13" s="14">
        <f ca="1">EOMONTH(DATE(YEAR(N14),ROUNDUP(MONTH(N14)/3,0)*3,1),0)</f>
        <v>46022</v>
      </c>
      <c r="O13" s="14">
        <f>EOMONTH(DATE(YEAR(O14),ROUNDUP(MONTH(O14)/3,0)*3,1),0)</f>
        <v>91</v>
      </c>
      <c r="Q13" s="24" t="str">
        <f ca="1"/>
        <v>ORLY US EQUITY</v>
      </c>
      <c r="R13" s="24">
        <f ca="1"/>
        <v>91</v>
      </c>
      <c r="S13" s="25" t="str">
        <f ca="1"/>
        <v>canonical</v>
      </c>
      <c r="T13" s="26" t="str">
        <f ca="1"/>
        <v>operating_margin_gaap</v>
      </c>
      <c r="U13" s="30" t="str">
        <f ca="1"/>
        <v/>
      </c>
      <c r="V13" s="29" t="str">
        <f ca="1"/>
        <v>-1792.31</v>
      </c>
      <c r="W13" s="29" t="str">
        <f ca="1"/>
        <v/>
      </c>
      <c r="X13" s="29" t="str">
        <f ca="1"/>
        <v/>
      </c>
      <c r="Y13" s="29" t="str">
        <f ca="1"/>
        <v>-1877.1</v>
      </c>
    </row>
    <row r="14" spans="1:25" x14ac:dyDescent="0.25">
      <c r="D14" s="1" cm="1">
        <f t="array" aca="1" ref="D14:N15" ca="1">+_xll.BDH($B$2,C15,$B$3,$B$4,"DIR=H")</f>
        <v>45107</v>
      </c>
      <c r="E14" s="1">
        <f ca="1"/>
        <v>45199</v>
      </c>
      <c r="F14" s="1">
        <f ca="1"/>
        <v>45291</v>
      </c>
      <c r="G14" s="1">
        <f ca="1"/>
        <v>45382</v>
      </c>
      <c r="H14" s="1">
        <f ca="1"/>
        <v>45473</v>
      </c>
      <c r="I14" s="1">
        <f ca="1"/>
        <v>45565</v>
      </c>
      <c r="J14" s="1">
        <f ca="1"/>
        <v>45657</v>
      </c>
      <c r="K14" s="1">
        <f ca="1"/>
        <v>45747</v>
      </c>
      <c r="L14" s="1">
        <f ca="1"/>
        <v>45838</v>
      </c>
      <c r="M14" s="1">
        <f ca="1"/>
        <v>45930</v>
      </c>
      <c r="N14" s="1">
        <f ca="1"/>
        <v>46022</v>
      </c>
      <c r="O14" s="1"/>
      <c r="P14" s="1"/>
      <c r="Q14" s="24" t="str" cm="1">
        <f t="array" ref="Q14:Y17">_xlfn.LET(
  _xlpm.d, L29:O29,
  _xlpm.v, L31:O31,
  _xlpm.yy, L32:O32,
  _xlpm.qq, L33:O33,
  _xlpm.dyy, L34:O34,
  _xlpm.dqq, L35:O35,
  _xlpm.dd, TRANSPOSE(_xlpm.d),
  _xlpm.clean, _xlfn.LAMBDA(_xlpm.x, IF(_xlpm.x="","",_xlpm.x)),
_xlfn.HSTACK(
  _xlfn.MAKEARRAY(ROWS(_xlpm.dd),1, _xlfn.LAMBDA(_xlpm.r,_xlpm.c,$B$2)),
  _xlpm.dd,
  _xlfn.MAKEARRAY(ROWS(_xlpm.dd),1, _xlfn.LAMBDA(_xlpm.r,_xlpm.c,A31)),
  _xlfn.MAKEARRAY(ROWS(_xlpm.dd),1, _xlfn.LAMBDA(_xlpm.r,_xlpm.c,B31)),
  CLEAN(TRANSPOSE(_xlpm.v)),
  CLEAN(TRANSPOSE(_xlpm.yy)),
  CLEAN(TRANSPOSE(_xlpm.qq)),
  CLEAN(TRANSPOSE(_xlpm.dyy)),
  CLEAN(TRANSPOSE(_xlpm.dqq))
))</f>
        <v>ORLY US EQUITY</v>
      </c>
      <c r="R14" s="24">
        <v>45747</v>
      </c>
      <c r="S14" s="25" t="str">
        <v>custom</v>
      </c>
      <c r="T14" s="26" t="str">
        <v>sss_growth</v>
      </c>
      <c r="U14" s="30" t="str">
        <v>0.036</v>
      </c>
      <c r="V14" s="29" t="str">
        <v>19.9999999999999</v>
      </c>
      <c r="W14" s="29" t="str">
        <v/>
      </c>
      <c r="X14" s="29" t="str">
        <v/>
      </c>
      <c r="Y14" s="29" t="str">
        <v>-80</v>
      </c>
    </row>
    <row r="15" spans="1:25" x14ac:dyDescent="0.25">
      <c r="A15" s="16" t="s">
        <v>9</v>
      </c>
      <c r="B15" s="16" t="s">
        <v>14</v>
      </c>
      <c r="C15" s="9" t="s">
        <v>6</v>
      </c>
      <c r="D15" s="3">
        <f ca="1"/>
        <v>51.280099999999997</v>
      </c>
      <c r="E15" s="3">
        <f ca="1"/>
        <v>51.398200000000003</v>
      </c>
      <c r="F15" s="3">
        <f ca="1"/>
        <v>51.341900000000003</v>
      </c>
      <c r="G15" s="3">
        <f ca="1"/>
        <v>51.158200000000001</v>
      </c>
      <c r="H15" s="3">
        <f ca="1"/>
        <v>50.748100000000001</v>
      </c>
      <c r="I15" s="3">
        <f ca="1"/>
        <v>51.581099999999999</v>
      </c>
      <c r="J15" s="3">
        <f ca="1"/>
        <v>51.299700000000001</v>
      </c>
      <c r="K15" s="3">
        <f ca="1"/>
        <v>51.281700000000001</v>
      </c>
      <c r="L15" s="3">
        <f ca="1"/>
        <v>51.414499999999997</v>
      </c>
      <c r="M15" s="3">
        <f ca="1"/>
        <v>51.850900000000003</v>
      </c>
      <c r="N15" s="3">
        <f ca="1"/>
        <v>51.79</v>
      </c>
      <c r="Q15" s="24" t="str">
        <v>ORLY US EQUITY</v>
      </c>
      <c r="R15" s="24">
        <v>45838</v>
      </c>
      <c r="S15" s="25" t="str">
        <v>custom</v>
      </c>
      <c r="T15" s="26" t="str">
        <v>sss_growth</v>
      </c>
      <c r="U15" s="30" t="str">
        <v>0.041</v>
      </c>
      <c r="V15" s="29" t="str">
        <v>180</v>
      </c>
      <c r="W15" s="29" t="str">
        <v/>
      </c>
      <c r="X15" s="29" t="str">
        <v/>
      </c>
      <c r="Y15" s="29" t="str">
        <v>50</v>
      </c>
    </row>
    <row r="16" spans="1:25" x14ac:dyDescent="0.25">
      <c r="C16" s="4" t="s">
        <v>4</v>
      </c>
      <c r="D16" s="5"/>
      <c r="E16" s="4"/>
      <c r="F16" s="4"/>
      <c r="G16" s="4"/>
      <c r="H16" s="7">
        <f t="shared" ref="H16:O16" ca="1" si="4">(H15-D15)*100</f>
        <v>-53.199999999999648</v>
      </c>
      <c r="I16" s="7">
        <f t="shared" ca="1" si="4"/>
        <v>18.289999999999651</v>
      </c>
      <c r="J16" s="7">
        <f t="shared" ca="1" si="4"/>
        <v>-4.2200000000001125</v>
      </c>
      <c r="K16" s="7">
        <f t="shared" ca="1" si="4"/>
        <v>12.349999999999994</v>
      </c>
      <c r="L16" s="7">
        <f t="shared" ca="1" si="4"/>
        <v>66.639999999999588</v>
      </c>
      <c r="M16" s="7">
        <f t="shared" ca="1" si="4"/>
        <v>26.980000000000359</v>
      </c>
      <c r="N16" s="7">
        <f t="shared" ca="1" si="4"/>
        <v>49.029999999999774</v>
      </c>
      <c r="O16" s="7">
        <f t="shared" ca="1" si="4"/>
        <v>-5128.17</v>
      </c>
      <c r="Q16" s="24" t="str">
        <v>ORLY US EQUITY</v>
      </c>
      <c r="R16" s="24">
        <v>45930</v>
      </c>
      <c r="S16" s="25" t="str">
        <v>custom</v>
      </c>
      <c r="T16" s="26" t="str">
        <v>sss_growth</v>
      </c>
      <c r="U16" s="30" t="str">
        <v>0.056</v>
      </c>
      <c r="V16" s="29" t="str">
        <v>410</v>
      </c>
      <c r="W16" s="29" t="str">
        <v/>
      </c>
      <c r="X16" s="29" t="str">
        <v/>
      </c>
      <c r="Y16" s="29" t="str">
        <v>150</v>
      </c>
    </row>
    <row r="17" spans="1:25" x14ac:dyDescent="0.25">
      <c r="C17" s="4" t="s">
        <v>19</v>
      </c>
      <c r="D17" s="1"/>
      <c r="K17" s="7"/>
      <c r="L17" s="7"/>
      <c r="M17" s="7"/>
      <c r="N17" s="7"/>
      <c r="O17" s="7"/>
      <c r="Q17" s="24" t="str">
        <v>ORLY US EQUITY</v>
      </c>
      <c r="R17" s="24">
        <v>46022</v>
      </c>
      <c r="S17" s="25" t="str">
        <v>custom</v>
      </c>
      <c r="T17" s="26" t="str">
        <v>sss_growth</v>
      </c>
      <c r="U17" s="30" t="str">
        <v>0.056</v>
      </c>
      <c r="V17" s="29" t="str">
        <v>120</v>
      </c>
      <c r="W17" s="29" t="str">
        <v/>
      </c>
      <c r="X17" s="29" t="str">
        <v/>
      </c>
      <c r="Y17" s="29" t="str">
        <v>0</v>
      </c>
    </row>
    <row r="18" spans="1:25" x14ac:dyDescent="0.25">
      <c r="C18" s="4" t="s">
        <v>23</v>
      </c>
      <c r="D18" s="1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Q18" s="24" t="str" cm="1">
        <f t="array" ref="Q18:Y21">_xlfn.LET(
  _xlpm.d, L37:O37,
  _xlpm.v, L39:O39,
  _xlpm.yy, L40:O40,
  _xlpm.qq, L41:O41,
  _xlpm.dyy, L42:O42,
  _xlpm.dqq, L43:O43,
  _xlpm.dd, TRANSPOSE(_xlpm.d),
  _xlpm.clean, _xlfn.LAMBDA(_xlpm.x, IF(_xlpm.x="","",_xlpm.x)),
_xlfn.HSTACK(
  _xlfn.MAKEARRAY(ROWS(_xlpm.dd),1, _xlfn.LAMBDA(_xlpm.r,_xlpm.c,$B$2)),
  _xlpm.dd,
  _xlfn.MAKEARRAY(ROWS(_xlpm.dd),1, _xlfn.LAMBDA(_xlpm.r,_xlpm.c,A39)),
  _xlfn.MAKEARRAY(ROWS(_xlpm.dd),1, _xlfn.LAMBDA(_xlpm.r,_xlpm.c,B39)),
  CLEAN(TRANSPOSE(_xlpm.v)),
  CLEAN(TRANSPOSE(_xlpm.yy)),
  CLEAN(TRANSPOSE(_xlpm.qq)),
  CLEAN(TRANSPOSE(_xlpm.dyy)),
  CLEAN(TRANSPOSE(_xlpm.dqq))
))</f>
        <v>ORLY US EQUITY</v>
      </c>
      <c r="R18" s="24">
        <v>0</v>
      </c>
      <c r="S18" s="25">
        <v>0</v>
      </c>
      <c r="T18" s="26">
        <v>0</v>
      </c>
      <c r="U18" s="30" t="str">
        <v/>
      </c>
      <c r="V18" s="29" t="str">
        <v/>
      </c>
      <c r="W18" s="29" t="str">
        <v/>
      </c>
      <c r="X18" s="29" t="str">
        <v/>
      </c>
      <c r="Y18" s="29" t="str">
        <v/>
      </c>
    </row>
    <row r="19" spans="1:25" x14ac:dyDescent="0.25">
      <c r="C19" s="4" t="s">
        <v>5</v>
      </c>
      <c r="D19" s="1"/>
      <c r="K19" s="7"/>
      <c r="L19" s="7">
        <f ca="1">(L15-K15)*100</f>
        <v>13.279999999999603</v>
      </c>
      <c r="M19" s="7">
        <f t="shared" ref="M19:O19" ca="1" si="5">(M15-L15)*100</f>
        <v>43.640000000000612</v>
      </c>
      <c r="N19" s="7">
        <f t="shared" ca="1" si="5"/>
        <v>-6.0900000000003729</v>
      </c>
      <c r="O19" s="7">
        <f t="shared" ca="1" si="5"/>
        <v>-5179</v>
      </c>
      <c r="Q19" s="24" t="str">
        <v>ORLY US EQUITY</v>
      </c>
      <c r="R19" s="24">
        <v>0</v>
      </c>
      <c r="S19" s="25">
        <v>0</v>
      </c>
      <c r="T19" s="26">
        <v>0</v>
      </c>
      <c r="U19" s="30" t="str">
        <v/>
      </c>
      <c r="V19" s="29" t="str">
        <v/>
      </c>
      <c r="W19" s="29" t="str">
        <v/>
      </c>
      <c r="X19" s="29" t="str">
        <v/>
      </c>
      <c r="Y19" s="29" t="str">
        <v/>
      </c>
    </row>
    <row r="20" spans="1:25" x14ac:dyDescent="0.25">
      <c r="Q20" s="24" t="str">
        <v>ORLY US EQUITY</v>
      </c>
      <c r="R20" s="24">
        <v>0</v>
      </c>
      <c r="S20" s="25">
        <v>0</v>
      </c>
      <c r="T20" s="26">
        <v>0</v>
      </c>
      <c r="U20" s="30" t="str">
        <v/>
      </c>
      <c r="V20" s="29" t="str">
        <v/>
      </c>
      <c r="W20" s="29" t="str">
        <v/>
      </c>
      <c r="X20" s="29" t="str">
        <v/>
      </c>
      <c r="Y20" s="29" t="str">
        <v/>
      </c>
    </row>
    <row r="21" spans="1:25" x14ac:dyDescent="0.25">
      <c r="C21" s="13" t="s">
        <v>12</v>
      </c>
      <c r="D21" s="14">
        <f ca="1">EOMONTH(DATE(YEAR(D22),ROUNDUP(MONTH(D22)/3,0)*3,1),0)</f>
        <v>45107</v>
      </c>
      <c r="E21" s="14">
        <f ca="1">EOMONTH(DATE(YEAR(E22),ROUNDUP(MONTH(E22)/3,0)*3,1),0)</f>
        <v>45199</v>
      </c>
      <c r="F21" s="14">
        <f ca="1">EOMONTH(DATE(YEAR(F22),ROUNDUP(MONTH(F22)/3,0)*3,1),0)</f>
        <v>45291</v>
      </c>
      <c r="G21" s="14">
        <f t="shared" ref="G21:K21" ca="1" si="6">EOMONTH(DATE(YEAR(G22),ROUNDUP(MONTH(G22)/3,0)*3,1),0)</f>
        <v>45382</v>
      </c>
      <c r="H21" s="14">
        <f t="shared" ca="1" si="6"/>
        <v>45473</v>
      </c>
      <c r="I21" s="14">
        <f t="shared" ca="1" si="6"/>
        <v>45565</v>
      </c>
      <c r="J21" s="14">
        <f t="shared" ca="1" si="6"/>
        <v>45657</v>
      </c>
      <c r="K21" s="14">
        <f t="shared" ca="1" si="6"/>
        <v>45747</v>
      </c>
      <c r="L21" s="14">
        <f ca="1">EOMONTH(DATE(YEAR(L22),ROUNDUP(MONTH(L22)/3,0)*3,1),0)</f>
        <v>45838</v>
      </c>
      <c r="M21" s="14">
        <f ca="1">EOMONTH(DATE(YEAR(M22),ROUNDUP(MONTH(M22)/3,0)*3,1),0)</f>
        <v>45930</v>
      </c>
      <c r="N21" s="14">
        <f ca="1">EOMONTH(DATE(YEAR(N22),ROUNDUP(MONTH(N22)/3,0)*3,1),0)</f>
        <v>46022</v>
      </c>
      <c r="O21" s="14">
        <f>EOMONTH(DATE(YEAR(O22),ROUNDUP(MONTH(O22)/3,0)*3,1),0)</f>
        <v>91</v>
      </c>
      <c r="Q21" s="24" t="str">
        <v>ORLY US EQUITY</v>
      </c>
      <c r="R21" s="24">
        <v>0</v>
      </c>
      <c r="S21" s="25">
        <v>0</v>
      </c>
      <c r="T21" s="26">
        <v>0</v>
      </c>
      <c r="U21" s="30" t="str">
        <v/>
      </c>
      <c r="V21" s="29" t="str">
        <v/>
      </c>
      <c r="W21" s="29" t="str">
        <v/>
      </c>
      <c r="X21" s="29" t="str">
        <v/>
      </c>
      <c r="Y21" s="29" t="str">
        <v/>
      </c>
    </row>
    <row r="22" spans="1:25" x14ac:dyDescent="0.25">
      <c r="D22" s="1" cm="1">
        <f t="array" aca="1" ref="D22:N23" ca="1">+_xll.BDH($B$2,C23,$B$3,$B$4,"DIR=H")</f>
        <v>45107</v>
      </c>
      <c r="E22" s="1">
        <f ca="1"/>
        <v>45199</v>
      </c>
      <c r="F22" s="1">
        <f ca="1"/>
        <v>45291</v>
      </c>
      <c r="G22" s="1">
        <f ca="1"/>
        <v>45382</v>
      </c>
      <c r="H22" s="1">
        <f ca="1"/>
        <v>45473</v>
      </c>
      <c r="I22" s="1">
        <f ca="1"/>
        <v>45565</v>
      </c>
      <c r="J22" s="1">
        <f ca="1"/>
        <v>45657</v>
      </c>
      <c r="K22" s="1">
        <f ca="1"/>
        <v>45747</v>
      </c>
      <c r="L22" s="1">
        <f ca="1"/>
        <v>45838</v>
      </c>
      <c r="M22" s="1">
        <f ca="1"/>
        <v>45930</v>
      </c>
      <c r="N22" s="1">
        <f ca="1"/>
        <v>46022</v>
      </c>
      <c r="O22" s="1"/>
      <c r="P22" s="1"/>
      <c r="Q22" s="24" t="str" cm="1">
        <f t="array" ref="Q22:Y25">_xlfn.LET(
  _xlpm.d, L45:O45,
  _xlpm.v, L47:O47,
  _xlpm.yy, L48:O48,
  _xlpm.qq, L49:O49,
  _xlpm.dyy, L50:O50,
  _xlpm.dqq, L51:O51,
  _xlpm.dd, TRANSPOSE(_xlpm.d),
  _xlpm.clean, _xlfn.LAMBDA(_xlpm.x, IF(_xlpm.x="","",_xlpm.x)),
_xlfn.HSTACK(
  _xlfn.MAKEARRAY(ROWS(_xlpm.dd),1, _xlfn.LAMBDA(_xlpm.r,_xlpm.c,$B$2)),
  _xlpm.dd,
  _xlfn.MAKEARRAY(ROWS(_xlpm.dd),1, _xlfn.LAMBDA(_xlpm.r,_xlpm.c,A47)),
  _xlfn.MAKEARRAY(ROWS(_xlpm.dd),1, _xlfn.LAMBDA(_xlpm.r,_xlpm.c,B47)),
  CLEAN(TRANSPOSE(_xlpm.v)),
  CLEAN(TRANSPOSE(_xlpm.yy)),
  CLEAN(TRANSPOSE(_xlpm.qq)),
  CLEAN(TRANSPOSE(_xlpm.dyy)),
  CLEAN(TRANSPOSE(_xlpm.dqq))
))</f>
        <v>ORLY US EQUITY</v>
      </c>
      <c r="R22" s="24">
        <v>0</v>
      </c>
      <c r="S22" s="25">
        <v>0</v>
      </c>
      <c r="T22" s="26">
        <v>0</v>
      </c>
      <c r="U22" s="27" t="str">
        <v/>
      </c>
      <c r="V22" s="28" t="str">
        <v/>
      </c>
      <c r="W22" s="29" t="str">
        <v/>
      </c>
      <c r="X22" s="28" t="str">
        <v/>
      </c>
      <c r="Y22" s="29" t="str">
        <v/>
      </c>
    </row>
    <row r="23" spans="1:25" x14ac:dyDescent="0.25">
      <c r="A23" s="16" t="s">
        <v>9</v>
      </c>
      <c r="B23" s="16" t="s">
        <v>15</v>
      </c>
      <c r="C23" s="9" t="s">
        <v>7</v>
      </c>
      <c r="D23" s="3">
        <f ca="1"/>
        <v>20.982399999999998</v>
      </c>
      <c r="E23" s="3">
        <f ca="1"/>
        <v>21.345300000000002</v>
      </c>
      <c r="F23" s="3">
        <f ca="1"/>
        <v>18.7561</v>
      </c>
      <c r="G23" s="3">
        <f ca="1"/>
        <v>18.924399999999999</v>
      </c>
      <c r="H23" s="3">
        <f ca="1"/>
        <v>20.2073</v>
      </c>
      <c r="I23" s="3">
        <f ca="1"/>
        <v>20.546199999999999</v>
      </c>
      <c r="J23" s="3">
        <f ca="1"/>
        <v>18.0352</v>
      </c>
      <c r="K23" s="3">
        <f ca="1"/>
        <v>17.923100000000002</v>
      </c>
      <c r="L23" s="3">
        <f ca="1"/>
        <v>20.209</v>
      </c>
      <c r="M23" s="3">
        <f ca="1"/>
        <v>20.7422</v>
      </c>
      <c r="N23" s="3">
        <f ca="1"/>
        <v>18.771000000000001</v>
      </c>
      <c r="Q23" s="24" t="str">
        <v>ORLY US EQUITY</v>
      </c>
      <c r="R23" s="24">
        <v>0</v>
      </c>
      <c r="S23" s="25">
        <v>0</v>
      </c>
      <c r="T23" s="26">
        <v>0</v>
      </c>
      <c r="U23" s="27" t="str">
        <v/>
      </c>
      <c r="V23" s="28" t="str">
        <v/>
      </c>
      <c r="W23" s="29" t="str">
        <v/>
      </c>
      <c r="X23" s="28" t="str">
        <v/>
      </c>
      <c r="Y23" s="29" t="str">
        <v/>
      </c>
    </row>
    <row r="24" spans="1:25" x14ac:dyDescent="0.25">
      <c r="C24" s="4" t="s">
        <v>4</v>
      </c>
      <c r="D24" s="5"/>
      <c r="E24" s="4"/>
      <c r="F24" s="4"/>
      <c r="G24" s="4"/>
      <c r="H24" s="7">
        <f t="shared" ref="H24:O24" ca="1" si="7">(H23-D23)*100</f>
        <v>-77.509999999999835</v>
      </c>
      <c r="I24" s="7">
        <f t="shared" ca="1" si="7"/>
        <v>-79.910000000000281</v>
      </c>
      <c r="J24" s="7">
        <f t="shared" ca="1" si="7"/>
        <v>-72.090000000000032</v>
      </c>
      <c r="K24" s="7">
        <f t="shared" ca="1" si="7"/>
        <v>-100.1299999999997</v>
      </c>
      <c r="L24" s="7">
        <f t="shared" ca="1" si="7"/>
        <v>0.16999999999995907</v>
      </c>
      <c r="M24" s="7">
        <f t="shared" ca="1" si="7"/>
        <v>19.600000000000151</v>
      </c>
      <c r="N24" s="7">
        <f t="shared" ca="1" si="7"/>
        <v>73.580000000000112</v>
      </c>
      <c r="O24" s="7">
        <f t="shared" ca="1" si="7"/>
        <v>-1792.3100000000002</v>
      </c>
      <c r="Q24" s="24" t="str">
        <v>ORLY US EQUITY</v>
      </c>
      <c r="R24" s="24">
        <v>0</v>
      </c>
      <c r="S24" s="25">
        <v>0</v>
      </c>
      <c r="T24" s="26">
        <v>0</v>
      </c>
      <c r="U24" s="27" t="str">
        <v/>
      </c>
      <c r="V24" s="28" t="str">
        <v/>
      </c>
      <c r="W24" s="29" t="str">
        <v/>
      </c>
      <c r="X24" s="28" t="str">
        <v/>
      </c>
      <c r="Y24" s="29" t="str">
        <v/>
      </c>
    </row>
    <row r="25" spans="1:25" x14ac:dyDescent="0.25">
      <c r="C25" s="4" t="s">
        <v>19</v>
      </c>
      <c r="D25" s="1"/>
      <c r="K25" s="7"/>
      <c r="L25" s="7"/>
      <c r="M25" s="7"/>
      <c r="N25" s="7"/>
      <c r="O25" s="7"/>
      <c r="Q25" s="24" t="str">
        <v>ORLY US EQUITY</v>
      </c>
      <c r="R25" s="24">
        <v>0</v>
      </c>
      <c r="S25" s="25">
        <v>0</v>
      </c>
      <c r="T25" s="26">
        <v>0</v>
      </c>
      <c r="U25" s="27" t="str">
        <v/>
      </c>
      <c r="V25" s="28" t="str">
        <v/>
      </c>
      <c r="W25" s="29" t="str">
        <v/>
      </c>
      <c r="X25" s="28" t="str">
        <v/>
      </c>
      <c r="Y25" s="29" t="str">
        <v/>
      </c>
    </row>
    <row r="26" spans="1:25" x14ac:dyDescent="0.25">
      <c r="C26" s="4" t="s">
        <v>23</v>
      </c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24" t="str" cm="1">
        <f t="array" ref="Q26:Y29">_xlfn.LET(
  _xlpm.d, L53:O53,
  _xlpm.v, L55:O55,
  _xlpm.yy, L56:O56,
  _xlpm.qq, L57:O57,
  _xlpm.dyy, L58:O58,
  _xlpm.dqq, L59:O59,
  _xlpm.dd, TRANSPOSE(_xlpm.d),
  _xlpm.clean, _xlfn.LAMBDA(_xlpm.x, IF(_xlpm.x="","",_xlpm.x)),
_xlfn.HSTACK(
  _xlfn.MAKEARRAY(ROWS(_xlpm.dd),1, _xlfn.LAMBDA(_xlpm.r,_xlpm.c,$B$2)),
  _xlpm.dd,
  _xlfn.MAKEARRAY(ROWS(_xlpm.dd),1, _xlfn.LAMBDA(_xlpm.r,_xlpm.c,A55)),
  _xlfn.MAKEARRAY(ROWS(_xlpm.dd),1, _xlfn.LAMBDA(_xlpm.r,_xlpm.c,B55)),
  CLEAN(TRANSPOSE(_xlpm.v)),
  CLEAN(TRANSPOSE(_xlpm.yy)),
  CLEAN(TRANSPOSE(_xlpm.qq)),
  CLEAN(TRANSPOSE(_xlpm.dyy)),
  CLEAN(TRANSPOSE(_xlpm.dqq))
))</f>
        <v>ORLY US EQUITY</v>
      </c>
      <c r="R26" s="24">
        <v>0</v>
      </c>
      <c r="S26" s="25">
        <v>0</v>
      </c>
      <c r="T26" s="26">
        <v>0</v>
      </c>
      <c r="U26" s="27" t="str">
        <v/>
      </c>
      <c r="V26" s="28" t="str">
        <v/>
      </c>
      <c r="W26" s="29" t="str">
        <v/>
      </c>
      <c r="X26" s="28" t="str">
        <v/>
      </c>
      <c r="Y26" s="29" t="str">
        <v/>
      </c>
    </row>
    <row r="27" spans="1:25" x14ac:dyDescent="0.25">
      <c r="C27" s="4" t="s">
        <v>5</v>
      </c>
      <c r="D27" s="1"/>
      <c r="K27" s="7"/>
      <c r="L27" s="7">
        <f ca="1">(L23-K23)*100</f>
        <v>228.5899999999998</v>
      </c>
      <c r="M27" s="7">
        <f t="shared" ref="M27:O27" ca="1" si="8">(M23-L23)*100</f>
        <v>53.320000000000078</v>
      </c>
      <c r="N27" s="7">
        <f t="shared" ca="1" si="8"/>
        <v>-197.11999999999995</v>
      </c>
      <c r="O27" s="7">
        <f t="shared" ca="1" si="8"/>
        <v>-1877.1000000000001</v>
      </c>
      <c r="Q27" s="24" t="str">
        <v>ORLY US EQUITY</v>
      </c>
      <c r="R27" s="24">
        <v>0</v>
      </c>
      <c r="S27" s="25">
        <v>0</v>
      </c>
      <c r="T27" s="26">
        <v>0</v>
      </c>
      <c r="U27" s="27" t="str">
        <v/>
      </c>
      <c r="V27" s="28" t="str">
        <v/>
      </c>
      <c r="W27" s="29" t="str">
        <v/>
      </c>
      <c r="X27" s="28" t="str">
        <v/>
      </c>
      <c r="Y27" s="29" t="str">
        <v/>
      </c>
    </row>
    <row r="28" spans="1:25" x14ac:dyDescent="0.25">
      <c r="C28" s="4"/>
      <c r="D28" s="1"/>
      <c r="K28" s="7"/>
      <c r="L28" s="7"/>
      <c r="M28" s="7"/>
      <c r="N28" s="7"/>
      <c r="O28" s="7"/>
      <c r="Q28" s="24" t="str">
        <v>ORLY US EQUITY</v>
      </c>
      <c r="R28" s="24">
        <v>0</v>
      </c>
      <c r="S28" s="25">
        <v>0</v>
      </c>
      <c r="T28" s="26">
        <v>0</v>
      </c>
      <c r="U28" s="27" t="str">
        <v/>
      </c>
      <c r="V28" s="28" t="str">
        <v/>
      </c>
      <c r="W28" s="29" t="str">
        <v/>
      </c>
      <c r="X28" s="28" t="str">
        <v/>
      </c>
      <c r="Y28" s="29" t="str">
        <v/>
      </c>
    </row>
    <row r="29" spans="1:25" x14ac:dyDescent="0.25">
      <c r="C29" s="13" t="s">
        <v>12</v>
      </c>
      <c r="D29" s="14">
        <f t="shared" ref="D29:L29" si="9">EOMONTH(DATE(YEAR(D30),ROUNDUP(MONTH(D30)/3,0)*3,1),0)</f>
        <v>45016</v>
      </c>
      <c r="E29" s="14">
        <f t="shared" si="9"/>
        <v>45107</v>
      </c>
      <c r="F29" s="14">
        <f t="shared" si="9"/>
        <v>45199</v>
      </c>
      <c r="G29" s="14">
        <f t="shared" si="9"/>
        <v>45291</v>
      </c>
      <c r="H29" s="14">
        <f t="shared" si="9"/>
        <v>45382</v>
      </c>
      <c r="I29" s="14">
        <f t="shared" si="9"/>
        <v>45473</v>
      </c>
      <c r="J29" s="14">
        <f t="shared" si="9"/>
        <v>45565</v>
      </c>
      <c r="K29" s="14">
        <f t="shared" si="9"/>
        <v>45657</v>
      </c>
      <c r="L29" s="14">
        <f t="shared" si="9"/>
        <v>45747</v>
      </c>
      <c r="M29" s="14">
        <f>EOMONTH(DATE(YEAR(M30),ROUNDUP(MONTH(M30)/3,0)*3,1),0)</f>
        <v>45838</v>
      </c>
      <c r="N29" s="14">
        <f>EOMONTH(DATE(YEAR(N30),ROUNDUP(MONTH(N30)/3,0)*3,1),0)</f>
        <v>45930</v>
      </c>
      <c r="O29" s="14">
        <f>EOMONTH(DATE(YEAR(O30),ROUNDUP(MONTH(O30)/3,0)*3,1),0)</f>
        <v>46022</v>
      </c>
      <c r="Q29" s="24" t="str">
        <v>ORLY US EQUITY</v>
      </c>
      <c r="R29" s="24">
        <v>0</v>
      </c>
      <c r="S29" s="25">
        <v>0</v>
      </c>
      <c r="T29" s="26">
        <v>0</v>
      </c>
      <c r="U29" s="27" t="str">
        <v/>
      </c>
      <c r="V29" s="28" t="str">
        <v/>
      </c>
      <c r="W29" s="29" t="str">
        <v/>
      </c>
      <c r="X29" s="28" t="str">
        <v/>
      </c>
      <c r="Y29" s="29" t="str">
        <v/>
      </c>
    </row>
    <row r="30" spans="1:25" x14ac:dyDescent="0.25">
      <c r="D30" s="2">
        <v>45016</v>
      </c>
      <c r="E30" s="2">
        <v>45107</v>
      </c>
      <c r="F30" s="2">
        <v>45199</v>
      </c>
      <c r="G30" s="2">
        <v>45291</v>
      </c>
      <c r="H30" s="2">
        <v>45382</v>
      </c>
      <c r="I30" s="2">
        <v>45473</v>
      </c>
      <c r="J30" s="2">
        <v>45565</v>
      </c>
      <c r="K30" s="2">
        <v>45657</v>
      </c>
      <c r="L30" s="2">
        <v>45747</v>
      </c>
      <c r="M30" s="2">
        <v>45838</v>
      </c>
      <c r="N30" s="2">
        <v>45930</v>
      </c>
      <c r="O30" s="2">
        <v>46022</v>
      </c>
      <c r="Q30" s="24" t="str" cm="1">
        <f t="array" ref="Q30:Y33">_xlfn.LET(
  _xlpm.d, L61:O61,
  _xlpm.v, L63:O63,
  _xlpm.yy, L64:O64,
  _xlpm.qq, L65:O65,
  _xlpm.dyy, L66:O66,
  _xlpm.dqq, L67:O67,
  _xlpm.dd, TRANSPOSE(_xlpm.d),
  _xlpm.clean, _xlfn.LAMBDA(_xlpm.x, IF(_xlpm.x="","",_xlpm.x)),
_xlfn.HSTACK(
  _xlfn.MAKEARRAY(ROWS(_xlpm.dd),1, _xlfn.LAMBDA(_xlpm.r,_xlpm.c,$B$2)),
  _xlpm.dd,
  _xlfn.MAKEARRAY(ROWS(_xlpm.dd),1, _xlfn.LAMBDA(_xlpm.r,_xlpm.c,A63)),
  _xlfn.MAKEARRAY(ROWS(_xlpm.dd),1, _xlfn.LAMBDA(_xlpm.r,_xlpm.c,B63)),
  CLEAN(TRANSPOSE(_xlpm.v)),
  CLEAN(TRANSPOSE(_xlpm.yy)),
  CLEAN(TRANSPOSE(_xlpm.qq)),
  CLEAN(TRANSPOSE(_xlpm.dyy)),
  CLEAN(TRANSPOSE(_xlpm.dqq))
))</f>
        <v>ORLY US EQUITY</v>
      </c>
      <c r="R30" s="24">
        <v>0</v>
      </c>
      <c r="S30" s="25">
        <v>0</v>
      </c>
      <c r="T30" s="26">
        <v>0</v>
      </c>
      <c r="U30" s="27" t="str">
        <v/>
      </c>
      <c r="V30" s="28" t="str">
        <v/>
      </c>
      <c r="W30" s="29" t="str">
        <v/>
      </c>
      <c r="X30" s="28" t="str">
        <v/>
      </c>
      <c r="Y30" s="29" t="str">
        <v/>
      </c>
    </row>
    <row r="31" spans="1:25" x14ac:dyDescent="0.25">
      <c r="A31" s="16" t="s">
        <v>21</v>
      </c>
      <c r="B31" s="16" t="s">
        <v>32</v>
      </c>
      <c r="C31" s="2" t="s">
        <v>31</v>
      </c>
      <c r="D31" s="10"/>
      <c r="E31" s="10"/>
      <c r="F31" s="10"/>
      <c r="G31" s="8">
        <v>3.4000000000000002E-2</v>
      </c>
      <c r="H31" s="8">
        <v>3.4000000000000002E-2</v>
      </c>
      <c r="I31" s="8">
        <v>2.3E-2</v>
      </c>
      <c r="J31" s="8">
        <v>1.4999999999999999E-2</v>
      </c>
      <c r="K31" s="8">
        <v>4.3999999999999997E-2</v>
      </c>
      <c r="L31" s="8">
        <v>3.5999999999999997E-2</v>
      </c>
      <c r="M31" s="8">
        <v>4.1000000000000002E-2</v>
      </c>
      <c r="N31" s="8">
        <v>5.6000000000000001E-2</v>
      </c>
      <c r="O31" s="8">
        <v>5.6000000000000001E-2</v>
      </c>
      <c r="Q31" s="24" t="str">
        <v>ORLY US EQUITY</v>
      </c>
      <c r="R31" s="24">
        <v>0</v>
      </c>
      <c r="S31" s="25">
        <v>0</v>
      </c>
      <c r="T31" s="26">
        <v>0</v>
      </c>
      <c r="U31" s="27" t="str">
        <v/>
      </c>
      <c r="V31" s="28" t="str">
        <v/>
      </c>
      <c r="W31" s="29" t="str">
        <v/>
      </c>
      <c r="X31" s="28" t="str">
        <v/>
      </c>
      <c r="Y31" s="29" t="str">
        <v/>
      </c>
    </row>
    <row r="32" spans="1:25" x14ac:dyDescent="0.25">
      <c r="C32" s="4" t="s">
        <v>4</v>
      </c>
      <c r="D32" s="5"/>
      <c r="E32" s="4"/>
      <c r="F32" s="4"/>
      <c r="G32" s="4"/>
      <c r="H32" s="7"/>
      <c r="I32" s="7"/>
      <c r="J32" s="7"/>
      <c r="K32" s="7">
        <f t="shared" ref="K32:O32" si="10">(K31-G31)*10000</f>
        <v>99.999999999999943</v>
      </c>
      <c r="L32" s="7">
        <f t="shared" si="10"/>
        <v>19.999999999999947</v>
      </c>
      <c r="M32" s="7">
        <f t="shared" si="10"/>
        <v>180.00000000000003</v>
      </c>
      <c r="N32" s="7">
        <f t="shared" si="10"/>
        <v>410</v>
      </c>
      <c r="O32" s="7">
        <f t="shared" si="10"/>
        <v>120.00000000000004</v>
      </c>
      <c r="Q32" s="24" t="str">
        <v>ORLY US EQUITY</v>
      </c>
      <c r="R32" s="24">
        <v>0</v>
      </c>
      <c r="S32" s="25">
        <v>0</v>
      </c>
      <c r="T32" s="26">
        <v>0</v>
      </c>
      <c r="U32" s="27" t="str">
        <v/>
      </c>
      <c r="V32" s="28" t="str">
        <v/>
      </c>
      <c r="W32" s="29" t="str">
        <v/>
      </c>
      <c r="X32" s="28" t="str">
        <v/>
      </c>
      <c r="Y32" s="29" t="str">
        <v/>
      </c>
    </row>
    <row r="33" spans="1:25" x14ac:dyDescent="0.25">
      <c r="C33" s="4" t="s">
        <v>19</v>
      </c>
      <c r="D33" s="1"/>
      <c r="K33" s="7"/>
      <c r="L33" s="7"/>
      <c r="M33" s="7"/>
      <c r="N33" s="7"/>
      <c r="O33" s="7"/>
      <c r="Q33" s="24" t="str">
        <v>ORLY US EQUITY</v>
      </c>
      <c r="R33" s="24">
        <v>0</v>
      </c>
      <c r="S33" s="25">
        <v>0</v>
      </c>
      <c r="T33" s="26">
        <v>0</v>
      </c>
      <c r="U33" s="27" t="str">
        <v/>
      </c>
      <c r="V33" s="28" t="str">
        <v/>
      </c>
      <c r="W33" s="29" t="str">
        <v/>
      </c>
      <c r="X33" s="28" t="str">
        <v/>
      </c>
      <c r="Y33" s="29" t="str">
        <v/>
      </c>
    </row>
    <row r="34" spans="1:25" x14ac:dyDescent="0.25">
      <c r="C34" s="4" t="s">
        <v>23</v>
      </c>
      <c r="D34" s="1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25" x14ac:dyDescent="0.25">
      <c r="C35" s="4" t="s">
        <v>5</v>
      </c>
      <c r="D35" s="1"/>
      <c r="G35" s="7">
        <f t="shared" ref="G35:K35" si="11">(G31-F31)*10000</f>
        <v>340</v>
      </c>
      <c r="H35" s="7">
        <f t="shared" si="11"/>
        <v>0</v>
      </c>
      <c r="I35" s="7">
        <f t="shared" si="11"/>
        <v>-110.00000000000003</v>
      </c>
      <c r="J35" s="7">
        <f t="shared" si="11"/>
        <v>-80</v>
      </c>
      <c r="K35" s="7">
        <f t="shared" si="11"/>
        <v>290</v>
      </c>
      <c r="L35" s="7">
        <f>(L31-K31)*10000</f>
        <v>-80</v>
      </c>
      <c r="M35" s="7">
        <f t="shared" ref="M35:O35" si="12">(M31-L31)*10000</f>
        <v>50.000000000000043</v>
      </c>
      <c r="N35" s="7">
        <f t="shared" si="12"/>
        <v>150</v>
      </c>
      <c r="O35" s="7">
        <f t="shared" si="12"/>
        <v>0</v>
      </c>
    </row>
    <row r="36" spans="1:25" x14ac:dyDescent="0.25">
      <c r="C36" s="4"/>
      <c r="D36" s="1"/>
      <c r="K36" s="7"/>
      <c r="L36" s="7"/>
      <c r="M36" s="7"/>
      <c r="N36" s="7"/>
      <c r="O36" s="7"/>
    </row>
    <row r="37" spans="1:25" x14ac:dyDescent="0.25"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25" x14ac:dyDescent="0.2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25" x14ac:dyDescent="0.25">
      <c r="A39" s="16"/>
      <c r="B39" s="16"/>
      <c r="C39" s="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25" x14ac:dyDescent="0.25">
      <c r="C40" s="4"/>
      <c r="D40" s="5"/>
      <c r="E40" s="4"/>
      <c r="F40" s="4"/>
      <c r="G40" s="12"/>
      <c r="H40" s="12"/>
      <c r="I40" s="12"/>
      <c r="J40" s="12"/>
      <c r="K40" s="12"/>
      <c r="L40" s="12"/>
      <c r="M40" s="12"/>
      <c r="N40" s="12"/>
      <c r="O40" s="12"/>
    </row>
    <row r="41" spans="1:25" x14ac:dyDescent="0.25">
      <c r="C41" s="4"/>
      <c r="D41" s="1"/>
      <c r="L41" s="7"/>
      <c r="M41" s="7"/>
      <c r="N41" s="7"/>
      <c r="O41" s="7"/>
    </row>
    <row r="42" spans="1:25" x14ac:dyDescent="0.25">
      <c r="C42" s="4"/>
      <c r="D42" s="1"/>
      <c r="E42" s="6"/>
      <c r="F42" s="6"/>
      <c r="G42" s="6"/>
      <c r="H42" s="6"/>
      <c r="I42" s="6"/>
      <c r="J42" s="6"/>
      <c r="K42" s="6"/>
      <c r="L42" s="7"/>
      <c r="M42" s="7"/>
      <c r="N42" s="7"/>
      <c r="O42" s="7"/>
    </row>
    <row r="43" spans="1:25" x14ac:dyDescent="0.25">
      <c r="C43" s="4"/>
      <c r="D43" s="1"/>
      <c r="L43" s="12"/>
      <c r="M43" s="12"/>
      <c r="N43" s="12"/>
      <c r="O43" s="12"/>
    </row>
    <row r="44" spans="1:25" x14ac:dyDescent="0.25">
      <c r="C44" s="4"/>
      <c r="D44" s="1"/>
      <c r="L44" s="7"/>
      <c r="M44" s="7"/>
      <c r="N44" s="7"/>
      <c r="O44" s="7"/>
    </row>
    <row r="45" spans="1:25" x14ac:dyDescent="0.25"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Q45" s="1"/>
      <c r="T45" s="11"/>
      <c r="U45" s="12"/>
      <c r="V45" s="7"/>
      <c r="W45" s="12"/>
      <c r="X45" s="7"/>
    </row>
    <row r="46" spans="1: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Q46" s="1"/>
      <c r="T46" s="11"/>
      <c r="U46" s="12"/>
      <c r="V46" s="7"/>
      <c r="W46" s="12"/>
      <c r="X46" s="7"/>
    </row>
    <row r="47" spans="1:25" x14ac:dyDescent="0.25">
      <c r="A47" s="16"/>
      <c r="B47" s="16"/>
      <c r="C47" s="9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Q47" s="1"/>
      <c r="T47" s="11"/>
      <c r="U47" s="12"/>
      <c r="V47" s="7"/>
      <c r="W47" s="12"/>
      <c r="X47" s="7"/>
    </row>
    <row r="48" spans="1:25" x14ac:dyDescent="0.25">
      <c r="C48" s="4"/>
      <c r="D48" s="5"/>
      <c r="E48" s="4"/>
      <c r="F48" s="4"/>
      <c r="G48" s="4"/>
      <c r="H48" s="7"/>
      <c r="I48" s="7"/>
      <c r="J48" s="7"/>
      <c r="K48" s="7"/>
      <c r="L48" s="7"/>
      <c r="M48" s="7"/>
      <c r="N48" s="7"/>
      <c r="O48" s="7"/>
    </row>
    <row r="49" spans="1:15" x14ac:dyDescent="0.25">
      <c r="C49" s="4"/>
      <c r="D49" s="1"/>
      <c r="K49" s="7"/>
      <c r="L49" s="7"/>
      <c r="M49" s="7"/>
      <c r="N49" s="7"/>
      <c r="O49" s="7"/>
    </row>
    <row r="50" spans="1:15" x14ac:dyDescent="0.25">
      <c r="C50" s="4"/>
      <c r="D50" s="1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25">
      <c r="C51" s="4"/>
      <c r="D51" s="1"/>
      <c r="K51" s="7"/>
      <c r="L51" s="7"/>
      <c r="M51" s="7"/>
      <c r="N51" s="7"/>
      <c r="O51" s="7"/>
    </row>
    <row r="52" spans="1:15" x14ac:dyDescent="0.25">
      <c r="C52" s="4"/>
      <c r="D52" s="1"/>
      <c r="G52" s="1"/>
    </row>
    <row r="53" spans="1:15" x14ac:dyDescent="0.25"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16"/>
      <c r="B55" s="16"/>
      <c r="C55" s="9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x14ac:dyDescent="0.25">
      <c r="C56" s="4"/>
      <c r="D56" s="5"/>
      <c r="E56" s="4"/>
      <c r="F56" s="4"/>
      <c r="G56" s="4"/>
      <c r="H56" s="7"/>
      <c r="I56" s="7"/>
      <c r="J56" s="7"/>
      <c r="K56" s="7"/>
      <c r="L56" s="7"/>
      <c r="M56" s="7"/>
      <c r="N56" s="7"/>
      <c r="O56" s="7"/>
    </row>
    <row r="57" spans="1:15" x14ac:dyDescent="0.25">
      <c r="C57" s="4"/>
      <c r="D57" s="1"/>
      <c r="K57" s="7"/>
      <c r="L57" s="7"/>
      <c r="M57" s="7"/>
      <c r="N57" s="7"/>
      <c r="O57" s="7"/>
    </row>
    <row r="58" spans="1:15" x14ac:dyDescent="0.25">
      <c r="C58" s="4"/>
      <c r="D58" s="1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25">
      <c r="C59" s="4"/>
      <c r="D59" s="1"/>
      <c r="K59" s="7"/>
      <c r="L59" s="7"/>
      <c r="M59" s="7"/>
      <c r="N59" s="7"/>
      <c r="O59" s="7"/>
    </row>
    <row r="60" spans="1:15" x14ac:dyDescent="0.25">
      <c r="C60" s="4"/>
      <c r="D60" s="1"/>
      <c r="G60" s="1"/>
    </row>
    <row r="61" spans="1:15" x14ac:dyDescent="0.25"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16"/>
      <c r="B63" s="16"/>
      <c r="C63" s="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x14ac:dyDescent="0.25">
      <c r="C64" s="4"/>
      <c r="D64" s="5"/>
      <c r="E64" s="4"/>
      <c r="F64" s="4"/>
      <c r="G64" s="4"/>
      <c r="H64" s="7"/>
      <c r="I64" s="7"/>
      <c r="J64" s="7"/>
      <c r="K64" s="7"/>
      <c r="L64" s="7"/>
      <c r="M64" s="7"/>
      <c r="N64" s="7"/>
      <c r="O64" s="7"/>
    </row>
    <row r="65" spans="3:15" x14ac:dyDescent="0.25">
      <c r="C65" s="4"/>
      <c r="D65" s="1"/>
      <c r="K65" s="7"/>
      <c r="L65" s="7"/>
      <c r="M65" s="7"/>
      <c r="N65" s="7"/>
      <c r="O65" s="7"/>
    </row>
    <row r="66" spans="3:15" x14ac:dyDescent="0.25">
      <c r="C66" s="4"/>
      <c r="D66" s="1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3:15" x14ac:dyDescent="0.25">
      <c r="C67" s="4"/>
      <c r="D67" s="1"/>
      <c r="K67" s="7"/>
      <c r="L67" s="7"/>
      <c r="M67" s="7"/>
      <c r="N67" s="7"/>
      <c r="O6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3F62-2E38-4AB1-8975-1D019FF47852}">
  <dimension ref="A1:AG72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32" sqref="G32"/>
    </sheetView>
  </sheetViews>
  <sheetFormatPr defaultRowHeight="15" x14ac:dyDescent="0.25"/>
  <cols>
    <col min="1" max="1" width="14.7109375" bestFit="1" customWidth="1"/>
    <col min="2" max="2" width="20" bestFit="1" customWidth="1"/>
    <col min="3" max="3" width="20.42578125" bestFit="1" customWidth="1"/>
    <col min="4" max="4" width="10.140625" bestFit="1" customWidth="1"/>
    <col min="5" max="6" width="9.42578125" bestFit="1" customWidth="1"/>
    <col min="7" max="10" width="10.42578125" customWidth="1"/>
    <col min="11" max="11" width="10" bestFit="1" customWidth="1"/>
    <col min="12" max="13" width="9.42578125" bestFit="1" customWidth="1"/>
    <col min="14" max="14" width="11.28515625" bestFit="1" customWidth="1"/>
    <col min="15" max="15" width="10.42578125" bestFit="1" customWidth="1"/>
    <col min="16" max="23" width="10.42578125" customWidth="1"/>
    <col min="24" max="24" width="9" customWidth="1"/>
    <col min="25" max="25" width="12.42578125" bestFit="1" customWidth="1"/>
    <col min="26" max="26" width="14.42578125" bestFit="1" customWidth="1"/>
    <col min="27" max="27" width="8.5703125" bestFit="1" customWidth="1"/>
    <col min="28" max="28" width="20.28515625" bestFit="1" customWidth="1"/>
    <col min="29" max="29" width="7.42578125" bestFit="1" customWidth="1"/>
    <col min="30" max="30" width="10.7109375" bestFit="1" customWidth="1"/>
    <col min="31" max="31" width="9.140625" bestFit="1" customWidth="1"/>
    <col min="32" max="32" width="10.42578125" bestFit="1" customWidth="1"/>
    <col min="33" max="33" width="9.140625" bestFit="1" customWidth="1"/>
  </cols>
  <sheetData>
    <row r="1" spans="1:33" x14ac:dyDescent="0.25">
      <c r="A1" s="22" t="s">
        <v>22</v>
      </c>
      <c r="B1" s="22" t="s">
        <v>22</v>
      </c>
      <c r="C1" s="22" t="s">
        <v>22</v>
      </c>
      <c r="D1" s="22" t="s">
        <v>22</v>
      </c>
      <c r="E1" s="22" t="s">
        <v>22</v>
      </c>
      <c r="F1" s="22" t="s">
        <v>22</v>
      </c>
      <c r="G1" s="22" t="s">
        <v>22</v>
      </c>
      <c r="H1" s="22" t="s">
        <v>22</v>
      </c>
      <c r="I1" s="22" t="s">
        <v>22</v>
      </c>
      <c r="J1" s="22" t="s">
        <v>22</v>
      </c>
      <c r="K1" s="22" t="s">
        <v>22</v>
      </c>
      <c r="L1" s="22" t="s">
        <v>22</v>
      </c>
      <c r="M1" s="22" t="s">
        <v>22</v>
      </c>
      <c r="N1" s="22" t="s">
        <v>22</v>
      </c>
      <c r="O1" s="22" t="s">
        <v>22</v>
      </c>
      <c r="P1" s="22" t="s">
        <v>22</v>
      </c>
      <c r="Q1" s="22" t="s">
        <v>22</v>
      </c>
      <c r="R1" s="22" t="s">
        <v>22</v>
      </c>
      <c r="S1" s="22" t="s">
        <v>22</v>
      </c>
      <c r="T1" s="22" t="s">
        <v>22</v>
      </c>
      <c r="U1" s="22" t="s">
        <v>22</v>
      </c>
      <c r="V1" s="22" t="s">
        <v>22</v>
      </c>
      <c r="W1" s="22" t="s">
        <v>22</v>
      </c>
      <c r="Y1" s="23" t="s">
        <v>13</v>
      </c>
      <c r="Z1" s="23" t="s">
        <v>11</v>
      </c>
      <c r="AA1" s="23" t="s">
        <v>18</v>
      </c>
      <c r="AB1" s="23" t="s">
        <v>17</v>
      </c>
      <c r="AC1" s="23" t="s">
        <v>10</v>
      </c>
      <c r="AD1" s="23" t="s">
        <v>16</v>
      </c>
      <c r="AE1" s="23" t="s">
        <v>20</v>
      </c>
      <c r="AF1" s="23" t="s">
        <v>24</v>
      </c>
      <c r="AG1" s="23" t="s">
        <v>25</v>
      </c>
    </row>
    <row r="2" spans="1:33" x14ac:dyDescent="0.25">
      <c r="A2" s="17" t="s">
        <v>1</v>
      </c>
      <c r="B2" s="31" t="s">
        <v>30</v>
      </c>
      <c r="Y2" s="24" t="str" cm="1">
        <f t="array" ref="Y2:AG12">_xlfn.LET(
  _xlpm.d, L5:V5,
  _xlpm.v, L8:V8,
  _xlpm.yy, L9:V9,
  _xlpm.qq, L10:V10,
  _xlpm.dyy, L11:V11,
  _xlpm.dqq, L12:V12,
  _xlpm.dd, TRANSPOSE(_xlpm.d),
  _xlpm.clean, _xlfn.LAMBDA(_xlpm.x, IF(_xlpm.x="","",_xlpm.x)),
_xlfn.HSTACK(
  _xlfn.MAKEARRAY(ROWS(_xlpm.dd),1, _xlfn.LAMBDA(_xlpm.r,_xlpm.c,$B$2)),
  _xlpm.dd,
  _xlfn.MAKEARRAY(ROWS(_xlpm.dd),1, _xlfn.LAMBDA(_xlpm.r,_xlpm.c,A8)),
  _xlfn.MAKEARRAY(ROWS(_xlpm.dd),1, _xlfn.LAMBDA(_xlpm.r,_xlpm.c,B8)),
  CLEAN(TRANSPOSE(_xlpm.v)),
  CLEAN(TRANSPOSE(_xlpm.yy)),
  CLEAN(TRANSPOSE(_xlpm.qq)),
  CLEAN(TRANSPOSE(_xlpm.dyy)),
  CLEAN(TRANSPOSE(_xlpm.dqq))
))</f>
        <v>VVV US EQUITY</v>
      </c>
      <c r="Z2" s="24">
        <v>45747</v>
      </c>
      <c r="AA2" s="25" t="str">
        <v>canonical</v>
      </c>
      <c r="AB2" s="26" t="str">
        <v>revenue</v>
      </c>
      <c r="AC2" s="27" t="str">
        <v>403.2</v>
      </c>
      <c r="AD2" s="28" t="str">
        <v>0.0373038332904554</v>
      </c>
      <c r="AE2" s="29" t="str">
        <v>-722.301784931547</v>
      </c>
      <c r="AF2" s="28" t="str">
        <v>-909.980535019974</v>
      </c>
      <c r="AG2" s="29" t="str">
        <v>-0.0267921795800146</v>
      </c>
    </row>
    <row r="3" spans="1:33" x14ac:dyDescent="0.25">
      <c r="A3" s="18" t="s">
        <v>3</v>
      </c>
      <c r="B3" s="19">
        <f>+B4-365*3</f>
        <v>44927</v>
      </c>
      <c r="Y3" s="24" t="str">
        <v>VVV US EQUITY</v>
      </c>
      <c r="Z3" s="24">
        <v>45838</v>
      </c>
      <c r="AA3" s="25" t="str">
        <v>canonical</v>
      </c>
      <c r="AB3" s="26" t="str">
        <v>revenue</v>
      </c>
      <c r="AC3" s="27" t="str">
        <v>439</v>
      </c>
      <c r="AD3" s="28" t="str">
        <v>0.041765543426673</v>
      </c>
      <c r="AE3" s="29" t="str">
        <v>44.6171013621766</v>
      </c>
      <c r="AF3" s="29" t="str">
        <v>-783.833135642893</v>
      </c>
      <c r="AG3" s="29" t="str">
        <v>0.0887896825396826</v>
      </c>
    </row>
    <row r="4" spans="1:33" x14ac:dyDescent="0.25">
      <c r="A4" s="20" t="s">
        <v>2</v>
      </c>
      <c r="B4" s="21">
        <v>46022</v>
      </c>
      <c r="Y4" s="24" t="str">
        <v>VVV US EQUITY</v>
      </c>
      <c r="Z4" s="24">
        <v>45930</v>
      </c>
      <c r="AA4" s="25" t="str">
        <v>canonical</v>
      </c>
      <c r="AB4" s="26" t="str">
        <v>revenue</v>
      </c>
      <c r="AC4" s="27" t="str">
        <v>453.8</v>
      </c>
      <c r="AD4" s="28" t="str">
        <v>0.042020665901263</v>
      </c>
      <c r="AE4" s="29" t="str">
        <v>2.55122474589919</v>
      </c>
      <c r="AF4" s="29" t="str">
        <v>-746.460007654037</v>
      </c>
      <c r="AG4" s="29" t="str">
        <v>0.0337129840546697</v>
      </c>
    </row>
    <row r="5" spans="1:33" x14ac:dyDescent="0.25">
      <c r="C5" s="13" t="s">
        <v>12</v>
      </c>
      <c r="D5" s="14">
        <f>EOMONTH(DATE(YEAR(D7),ROUNDUP(MONTH(D7)/3,0)*3,1),0)</f>
        <v>45016</v>
      </c>
      <c r="E5" s="14">
        <f>EOMONTH(DATE(YEAR(E7),ROUNDUP(MONTH(E7)/3,0)*3,1),0)</f>
        <v>45107</v>
      </c>
      <c r="F5" s="14">
        <f>EOMONTH(DATE(YEAR(F7),ROUNDUP(MONTH(F7)/3,0)*3,1),0)</f>
        <v>45199</v>
      </c>
      <c r="G5" s="14">
        <f t="shared" ref="G5:K5" si="0">EOMONTH(DATE(YEAR(G7),ROUNDUP(MONTH(G7)/3,0)*3,1),0)</f>
        <v>45291</v>
      </c>
      <c r="H5" s="14">
        <f t="shared" si="0"/>
        <v>45382</v>
      </c>
      <c r="I5" s="14">
        <f t="shared" si="0"/>
        <v>45473</v>
      </c>
      <c r="J5" s="14">
        <f t="shared" si="0"/>
        <v>45565</v>
      </c>
      <c r="K5" s="14">
        <f t="shared" si="0"/>
        <v>45657</v>
      </c>
      <c r="L5" s="14">
        <f t="shared" ref="L5:V5" si="1">EOMONTH(DATE(YEAR(L7),ROUNDUP(MONTH(L7)/3,0)*3,1),0)</f>
        <v>45747</v>
      </c>
      <c r="M5" s="14">
        <f t="shared" si="1"/>
        <v>45838</v>
      </c>
      <c r="N5" s="14">
        <f t="shared" si="1"/>
        <v>45930</v>
      </c>
      <c r="O5" s="14">
        <f t="shared" si="1"/>
        <v>46022</v>
      </c>
      <c r="P5" s="14">
        <f t="shared" si="1"/>
        <v>46112</v>
      </c>
      <c r="Q5" s="14">
        <f t="shared" si="1"/>
        <v>46203</v>
      </c>
      <c r="R5" s="14">
        <f t="shared" si="1"/>
        <v>46295</v>
      </c>
      <c r="S5" s="14">
        <f t="shared" si="1"/>
        <v>46387</v>
      </c>
      <c r="T5" s="14">
        <f t="shared" si="1"/>
        <v>46477</v>
      </c>
      <c r="U5" s="14">
        <f t="shared" si="1"/>
        <v>46568</v>
      </c>
      <c r="V5" s="14">
        <f t="shared" si="1"/>
        <v>46660</v>
      </c>
      <c r="W5" s="14"/>
      <c r="Y5" s="24" t="str">
        <v>VVV US EQUITY</v>
      </c>
      <c r="Z5" s="24">
        <v>46022</v>
      </c>
      <c r="AA5" s="25" t="str">
        <v>canonical</v>
      </c>
      <c r="AB5" s="26" t="str">
        <v>revenue</v>
      </c>
      <c r="AC5" s="27" t="str">
        <v>461.8</v>
      </c>
      <c r="AD5" s="28" t="str">
        <v>0.114651218923485</v>
      </c>
      <c r="AE5" s="29" t="str">
        <v>726.305530222224</v>
      </c>
      <c r="AF5" s="29" t="str">
        <v>51.1720713987529</v>
      </c>
      <c r="AG5" s="29" t="str">
        <v>0.0176289114147201</v>
      </c>
    </row>
    <row r="6" spans="1:33" x14ac:dyDescent="0.25">
      <c r="C6" s="13"/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V6" s="2" t="s">
        <v>43</v>
      </c>
      <c r="W6" s="2"/>
      <c r="Y6" s="24" t="str">
        <v>VVV US EQUITY</v>
      </c>
      <c r="Z6" s="24">
        <v>46112</v>
      </c>
      <c r="AA6" s="25" t="str">
        <v>canonical</v>
      </c>
      <c r="AB6" s="26" t="str">
        <v>revenue</v>
      </c>
      <c r="AC6" s="27" t="str">
        <v>505.72101828317</v>
      </c>
      <c r="AD6" s="28" t="str">
        <v>0.254268398519768</v>
      </c>
      <c r="AE6" s="29" t="str">
        <v>1396.17179596283</v>
      </c>
      <c r="AF6" s="29" t="str">
        <v>2169.64565229313</v>
      </c>
      <c r="AG6" s="29" t="str">
        <v>0.0951083115703129</v>
      </c>
    </row>
    <row r="7" spans="1:33" x14ac:dyDescent="0.25">
      <c r="D7" s="15" cm="1">
        <f t="array" ref="D7:O8">+_xll.BDH($B$2,C8,$B$3,$B$4,"DIR=H")</f>
        <v>45016</v>
      </c>
      <c r="E7" s="1">
        <v>45107</v>
      </c>
      <c r="F7" s="1">
        <v>45199</v>
      </c>
      <c r="G7" s="1">
        <v>45291</v>
      </c>
      <c r="H7" s="1">
        <v>45382</v>
      </c>
      <c r="I7" s="1">
        <v>45473</v>
      </c>
      <c r="J7" s="1">
        <v>45565</v>
      </c>
      <c r="K7" s="1">
        <v>45657</v>
      </c>
      <c r="L7" s="1">
        <v>45747</v>
      </c>
      <c r="M7" s="1">
        <v>45838</v>
      </c>
      <c r="N7" s="1">
        <v>45930</v>
      </c>
      <c r="O7" s="1">
        <v>46022</v>
      </c>
      <c r="P7" s="2">
        <v>46112</v>
      </c>
      <c r="Q7" s="2">
        <v>46203</v>
      </c>
      <c r="R7" s="2">
        <v>46295</v>
      </c>
      <c r="S7" s="2">
        <v>46387</v>
      </c>
      <c r="T7" s="2">
        <v>46477</v>
      </c>
      <c r="U7" s="2">
        <v>46568</v>
      </c>
      <c r="V7" s="2">
        <v>46660</v>
      </c>
      <c r="W7" s="2"/>
      <c r="X7" s="1"/>
      <c r="Y7" s="24" t="str">
        <v>VVV US EQUITY</v>
      </c>
      <c r="Z7" s="24">
        <v>46203</v>
      </c>
      <c r="AA7" s="25" t="str">
        <v>canonical</v>
      </c>
      <c r="AB7" s="26" t="str">
        <v>revenue</v>
      </c>
      <c r="AC7" s="30" t="str">
        <v>541.769541704265</v>
      </c>
      <c r="AD7" s="29" t="str">
        <v>0.234099183836595</v>
      </c>
      <c r="AE7" s="29" t="str">
        <v>-201.692146831729</v>
      </c>
      <c r="AF7" s="29" t="str">
        <v>1923.33640409922</v>
      </c>
      <c r="AG7" s="29" t="str">
        <v>0.0712814419765919</v>
      </c>
    </row>
    <row r="8" spans="1:33" x14ac:dyDescent="0.25">
      <c r="A8" s="16" t="s">
        <v>9</v>
      </c>
      <c r="B8" s="16" t="s">
        <v>8</v>
      </c>
      <c r="C8" s="9" t="s">
        <v>0</v>
      </c>
      <c r="D8" s="11">
        <v>344.5</v>
      </c>
      <c r="E8" s="11">
        <v>376.2</v>
      </c>
      <c r="F8" s="11">
        <v>390</v>
      </c>
      <c r="G8" s="11">
        <v>373.4</v>
      </c>
      <c r="H8" s="11">
        <v>388.7</v>
      </c>
      <c r="I8" s="11">
        <v>421.4</v>
      </c>
      <c r="J8" s="11">
        <v>435.5</v>
      </c>
      <c r="K8" s="11">
        <v>414.3</v>
      </c>
      <c r="L8" s="11">
        <v>403.2</v>
      </c>
      <c r="M8" s="11">
        <v>439</v>
      </c>
      <c r="N8" s="11">
        <v>453.8</v>
      </c>
      <c r="O8" s="3">
        <v>461.8</v>
      </c>
      <c r="P8" s="33">
        <v>505.72101828317045</v>
      </c>
      <c r="Q8" s="33">
        <v>541.76954170426529</v>
      </c>
      <c r="R8" s="33">
        <v>560.26367264432781</v>
      </c>
      <c r="S8" s="33">
        <v>535.22056212032635</v>
      </c>
      <c r="T8" s="33">
        <v>551.63696783807416</v>
      </c>
      <c r="U8" s="33">
        <v>589.76297558586555</v>
      </c>
      <c r="V8" s="33">
        <v>604.56346124198728</v>
      </c>
      <c r="W8" s="33"/>
      <c r="X8" s="1"/>
      <c r="Y8" s="24" t="str">
        <v>VVV US EQUITY</v>
      </c>
      <c r="Z8" s="24">
        <v>46295</v>
      </c>
      <c r="AA8" s="25" t="str">
        <v>canonical</v>
      </c>
      <c r="AB8" s="26" t="str">
        <v>revenue</v>
      </c>
      <c r="AC8" s="30" t="str">
        <v>560.263672644328</v>
      </c>
      <c r="AD8" s="29" t="str">
        <v>0.234604831741577</v>
      </c>
      <c r="AE8" s="29" t="str">
        <v>5.05647904982309</v>
      </c>
      <c r="AF8" s="29" t="str">
        <v>1925.84165840314</v>
      </c>
      <c r="AG8" s="29" t="str">
        <v>0.0341365276495331</v>
      </c>
    </row>
    <row r="9" spans="1:33" x14ac:dyDescent="0.25">
      <c r="C9" s="4" t="s">
        <v>4</v>
      </c>
      <c r="D9" s="5"/>
      <c r="E9" s="4"/>
      <c r="F9" s="4"/>
      <c r="G9" s="12"/>
      <c r="H9" s="12">
        <f t="shared" ref="H9:O9" si="2">+H8/D8-1</f>
        <v>0.1283018867924528</v>
      </c>
      <c r="I9" s="12">
        <f t="shared" si="2"/>
        <v>0.12014885699096234</v>
      </c>
      <c r="J9" s="12">
        <f t="shared" si="2"/>
        <v>0.1166666666666667</v>
      </c>
      <c r="K9" s="12">
        <f t="shared" si="2"/>
        <v>0.10953401178361011</v>
      </c>
      <c r="L9" s="12">
        <f t="shared" si="2"/>
        <v>3.730383329045539E-2</v>
      </c>
      <c r="M9" s="12">
        <f t="shared" si="2"/>
        <v>4.1765543426673046E-2</v>
      </c>
      <c r="N9" s="12">
        <f t="shared" si="2"/>
        <v>4.2020665901262966E-2</v>
      </c>
      <c r="O9" s="12">
        <f t="shared" si="2"/>
        <v>0.1146512189234854</v>
      </c>
      <c r="P9" s="12">
        <f t="shared" ref="P9" si="3">+P8/L8-1</f>
        <v>0.25426839851976801</v>
      </c>
      <c r="Q9" s="12">
        <f t="shared" ref="Q9" si="4">+Q8/M8-1</f>
        <v>0.23409918383659511</v>
      </c>
      <c r="R9" s="12">
        <f t="shared" ref="R9" si="5">+R8/N8-1</f>
        <v>0.23460483174157742</v>
      </c>
      <c r="S9" s="12">
        <f t="shared" ref="S9" si="6">+S8/O8-1</f>
        <v>0.15898779151218356</v>
      </c>
      <c r="T9" s="12">
        <f t="shared" ref="T9" si="7">+T8/P8-1</f>
        <v>9.079304180549963E-2</v>
      </c>
      <c r="U9" s="12">
        <f t="shared" ref="U9" si="8">+U8/Q8-1</f>
        <v>8.8586437935631146E-2</v>
      </c>
      <c r="V9" s="12">
        <f t="shared" ref="V9" si="9">+V8/R8-1</f>
        <v>7.9069535935774038E-2</v>
      </c>
      <c r="X9" s="3"/>
      <c r="Y9" s="24" t="str">
        <v>VVV US EQUITY</v>
      </c>
      <c r="Z9" s="24">
        <v>46387</v>
      </c>
      <c r="AA9" s="25" t="str">
        <v>canonical</v>
      </c>
      <c r="AB9" s="26" t="str">
        <v>revenue</v>
      </c>
      <c r="AC9" s="30" t="str">
        <v>535.220562120326</v>
      </c>
      <c r="AD9" s="29" t="str">
        <v>0.158987791512184</v>
      </c>
      <c r="AE9" s="29" t="str">
        <v>-756.170402293939</v>
      </c>
      <c r="AF9" s="29" t="str">
        <v>443.365725886982</v>
      </c>
      <c r="AG9" s="29" t="str">
        <v>-0.0446987940620943</v>
      </c>
    </row>
    <row r="10" spans="1:33" x14ac:dyDescent="0.25">
      <c r="C10" s="4" t="s">
        <v>19</v>
      </c>
      <c r="D10" s="1"/>
      <c r="L10" s="7">
        <f>(L9-K9)*10000</f>
        <v>-722.30178493154722</v>
      </c>
      <c r="M10" s="7">
        <f>(M9-L9)*10000</f>
        <v>44.617101362176555</v>
      </c>
      <c r="N10" s="7">
        <f>(N9-M9)*10000</f>
        <v>2.5512247458991943</v>
      </c>
      <c r="O10" s="7">
        <f>(O9-N9)*10000</f>
        <v>726.30553022222432</v>
      </c>
      <c r="P10" s="7">
        <f t="shared" ref="P10:V10" si="10">(P9-O9)*10000</f>
        <v>1396.1717959628261</v>
      </c>
      <c r="Q10" s="7">
        <f t="shared" si="10"/>
        <v>-201.69214683172899</v>
      </c>
      <c r="R10" s="7">
        <f t="shared" si="10"/>
        <v>5.0564790498230927</v>
      </c>
      <c r="S10" s="7">
        <f t="shared" si="10"/>
        <v>-756.17040229393865</v>
      </c>
      <c r="T10" s="7">
        <f t="shared" si="10"/>
        <v>-681.94749706683933</v>
      </c>
      <c r="U10" s="7">
        <f t="shared" si="10"/>
        <v>-22.066038698684842</v>
      </c>
      <c r="V10" s="7">
        <f t="shared" si="10"/>
        <v>-95.169019998571088</v>
      </c>
      <c r="W10" s="7"/>
      <c r="Y10" s="24" t="str">
        <v>VVV US EQUITY</v>
      </c>
      <c r="Z10" s="24">
        <v>46477</v>
      </c>
      <c r="AA10" s="25" t="str">
        <v>canonical</v>
      </c>
      <c r="AB10" s="26" t="str">
        <v>revenue</v>
      </c>
      <c r="AC10" s="30" t="str">
        <v>551.636967838074</v>
      </c>
      <c r="AD10" s="29" t="str">
        <v>0.0907930418054996</v>
      </c>
      <c r="AE10" s="29" t="str">
        <v>-681.947497066839</v>
      </c>
      <c r="AF10" s="29" t="str">
        <v>-1634.75356714268</v>
      </c>
      <c r="AG10" s="29" t="str">
        <v>0.0306722253956624</v>
      </c>
    </row>
    <row r="11" spans="1:33" x14ac:dyDescent="0.25">
      <c r="C11" s="4" t="s">
        <v>45</v>
      </c>
      <c r="D11" s="1"/>
      <c r="E11" s="6"/>
      <c r="F11" s="6"/>
      <c r="G11" s="6"/>
      <c r="H11" s="6"/>
      <c r="I11" s="6"/>
      <c r="J11" s="6"/>
      <c r="K11" s="6"/>
      <c r="L11" s="7">
        <f>(L9-H9)*10000</f>
        <v>-909.98053501997413</v>
      </c>
      <c r="M11" s="7">
        <f>(M9-I9)*10000</f>
        <v>-783.8331356428929</v>
      </c>
      <c r="N11" s="7">
        <f>(N9-J9)*10000</f>
        <v>-746.46000765403733</v>
      </c>
      <c r="O11" s="7">
        <f>(O9-K9)*10000</f>
        <v>51.172071398752905</v>
      </c>
      <c r="P11" s="7">
        <f t="shared" ref="P11:V11" si="11">(P9-L9)*10000</f>
        <v>2169.6456522931262</v>
      </c>
      <c r="Q11" s="7">
        <f t="shared" si="11"/>
        <v>1923.3364040992208</v>
      </c>
      <c r="R11" s="7">
        <f t="shared" si="11"/>
        <v>1925.8416584031445</v>
      </c>
      <c r="S11" s="7">
        <f t="shared" si="11"/>
        <v>443.36572588698164</v>
      </c>
      <c r="T11" s="7">
        <f t="shared" si="11"/>
        <v>-1634.7535671426838</v>
      </c>
      <c r="U11" s="7">
        <f t="shared" si="11"/>
        <v>-1455.1274590096398</v>
      </c>
      <c r="V11" s="7">
        <f t="shared" si="11"/>
        <v>-1555.3529580580339</v>
      </c>
      <c r="W11" s="7"/>
      <c r="Y11" s="24" t="str">
        <v>VVV US EQUITY</v>
      </c>
      <c r="Z11" s="24">
        <v>46568</v>
      </c>
      <c r="AA11" s="25" t="str">
        <v>canonical</v>
      </c>
      <c r="AB11" s="26" t="str">
        <v>revenue</v>
      </c>
      <c r="AC11" s="27" t="str">
        <v>589.762975585866</v>
      </c>
      <c r="AD11" s="28" t="str">
        <v>0.0885864379356311</v>
      </c>
      <c r="AE11" s="29" t="str">
        <v>-22.0660386986848</v>
      </c>
      <c r="AF11" s="28" t="str">
        <v>-1455.12745900964</v>
      </c>
      <c r="AG11" s="29" t="str">
        <v>0.0691143088129345</v>
      </c>
    </row>
    <row r="12" spans="1:33" x14ac:dyDescent="0.25">
      <c r="C12" s="4" t="s">
        <v>5</v>
      </c>
      <c r="D12" s="1"/>
      <c r="L12" s="12">
        <f t="shared" ref="L12:O12" si="12">L8/K8-1</f>
        <v>-2.6792179580014563E-2</v>
      </c>
      <c r="M12" s="12">
        <f t="shared" si="12"/>
        <v>8.8789682539682557E-2</v>
      </c>
      <c r="N12" s="12">
        <f t="shared" si="12"/>
        <v>3.3712984054669715E-2</v>
      </c>
      <c r="O12" s="12">
        <f t="shared" si="12"/>
        <v>1.7628911414720116E-2</v>
      </c>
      <c r="P12" s="12">
        <f t="shared" ref="P12" si="13">P8/O8-1</f>
        <v>9.5108311570312853E-2</v>
      </c>
      <c r="Q12" s="12">
        <f t="shared" ref="Q12" si="14">Q8/P8-1</f>
        <v>7.1281441976591919E-2</v>
      </c>
      <c r="R12" s="12">
        <f t="shared" ref="R12" si="15">R8/Q8-1</f>
        <v>3.4136527649533122E-2</v>
      </c>
      <c r="S12" s="12">
        <f t="shared" ref="S12" si="16">S8/R8-1</f>
        <v>-4.4698794062094316E-2</v>
      </c>
      <c r="T12" s="12">
        <f t="shared" ref="T12" si="17">T8/S8-1</f>
        <v>3.0672225395662389E-2</v>
      </c>
      <c r="U12" s="12">
        <f t="shared" ref="U12" si="18">U8/T8-1</f>
        <v>6.9114308812934455E-2</v>
      </c>
      <c r="V12" s="12">
        <f t="shared" ref="V12" si="19">V8/U8-1</f>
        <v>2.5095650742434472E-2</v>
      </c>
      <c r="W12" s="12"/>
      <c r="Y12" s="24" t="str">
        <v>VVV US EQUITY</v>
      </c>
      <c r="Z12" s="24">
        <v>46660</v>
      </c>
      <c r="AA12" s="25" t="str">
        <v>canonical</v>
      </c>
      <c r="AB12" s="26" t="str">
        <v>revenue</v>
      </c>
      <c r="AC12" s="27" t="str">
        <v>604.563461241987</v>
      </c>
      <c r="AD12" s="28" t="str">
        <v>0.079069535935774</v>
      </c>
      <c r="AE12" s="29" t="str">
        <v>-95.1690199985711</v>
      </c>
      <c r="AF12" s="28" t="str">
        <v>-1555.35295805803</v>
      </c>
      <c r="AG12" s="29" t="str">
        <v>0.0250956507424345</v>
      </c>
    </row>
    <row r="13" spans="1:33" x14ac:dyDescent="0.25">
      <c r="Y13" s="24" t="str" cm="1">
        <f t="array" ref="Y13:AG23">_xlfn.LET(
  _xlpm.d, L14:V14,
  _xlpm.v, L17:V17,
  _xlpm.yy, L18:V18,
  _xlpm.qq, L19:V19,
  _xlpm.dyy, L20:V20,
  _xlpm.dqq, L21:V21,
  _xlpm.dd, TRANSPOSE(_xlpm.d),
  _xlpm.clean, _xlfn.LAMBDA(_xlpm.x, IF(_xlpm.x="","",_xlpm.x)),
_xlfn.HSTACK(
  _xlfn.MAKEARRAY(ROWS(_xlpm.dd),1, _xlfn.LAMBDA(_xlpm.r,_xlpm.c,$B$2)),
  _xlpm.dd,
  _xlfn.MAKEARRAY(ROWS(_xlpm.dd),1, _xlfn.LAMBDA(_xlpm.r,_xlpm.c,A17)),
  _xlfn.MAKEARRAY(ROWS(_xlpm.dd),1, _xlfn.LAMBDA(_xlpm.r,_xlpm.c,B17)),
  CLEAN(TRANSPOSE(_xlpm.v)),
  CLEAN(TRANSPOSE(_xlpm.yy)),
  CLEAN(TRANSPOSE(_xlpm.qq)),
  CLEAN(TRANSPOSE(_xlpm.dyy)),
  CLEAN(TRANSPOSE(_xlpm.dqq))
))</f>
        <v>VVV US EQUITY</v>
      </c>
      <c r="Z13" s="24">
        <v>45747</v>
      </c>
      <c r="AA13" s="25" t="str">
        <v>canonical</v>
      </c>
      <c r="AB13" s="26" t="str">
        <v>gross_margin_gaap</v>
      </c>
      <c r="AC13" s="27" t="str">
        <v>37.3264</v>
      </c>
      <c r="AD13" s="28" t="str">
        <v>-28.6200000000001</v>
      </c>
      <c r="AE13" s="29" t="str">
        <v>-109.11</v>
      </c>
      <c r="AF13" s="28" t="str">
        <v>-112.09</v>
      </c>
      <c r="AG13" s="29" t="str">
        <v>42.08</v>
      </c>
    </row>
    <row r="14" spans="1:33" x14ac:dyDescent="0.25">
      <c r="C14" s="13" t="s">
        <v>12</v>
      </c>
      <c r="D14" s="14">
        <f>EOMONTH(DATE(YEAR(D16),ROUNDUP(MONTH(D16)/3,0)*3,1),0)</f>
        <v>45016</v>
      </c>
      <c r="E14" s="14">
        <f>EOMONTH(DATE(YEAR(E16),ROUNDUP(MONTH(E16)/3,0)*3,1),0)</f>
        <v>45107</v>
      </c>
      <c r="F14" s="14">
        <f>EOMONTH(DATE(YEAR(F16),ROUNDUP(MONTH(F16)/3,0)*3,1),0)</f>
        <v>45199</v>
      </c>
      <c r="G14" s="14">
        <f t="shared" ref="G14:K14" si="20">EOMONTH(DATE(YEAR(G16),ROUNDUP(MONTH(G16)/3,0)*3,1),0)</f>
        <v>45291</v>
      </c>
      <c r="H14" s="14">
        <f t="shared" si="20"/>
        <v>45382</v>
      </c>
      <c r="I14" s="14">
        <f t="shared" si="20"/>
        <v>45473</v>
      </c>
      <c r="J14" s="14">
        <f t="shared" si="20"/>
        <v>45565</v>
      </c>
      <c r="K14" s="14">
        <f t="shared" si="20"/>
        <v>45657</v>
      </c>
      <c r="L14" s="14">
        <f>EOMONTH(DATE(YEAR(L16),ROUNDUP(MONTH(L16)/3,0)*3,1),0)</f>
        <v>45747</v>
      </c>
      <c r="M14" s="14">
        <f>EOMONTH(DATE(YEAR(M16),ROUNDUP(MONTH(M16)/3,0)*3,1),0)</f>
        <v>45838</v>
      </c>
      <c r="N14" s="14">
        <f>EOMONTH(DATE(YEAR(N16),ROUNDUP(MONTH(N16)/3,0)*3,1),0)</f>
        <v>45930</v>
      </c>
      <c r="O14" s="14">
        <f>EOMONTH(DATE(YEAR(O16),ROUNDUP(MONTH(O16)/3,0)*3,1),0)</f>
        <v>46022</v>
      </c>
      <c r="P14" s="14">
        <f t="shared" ref="P14:V14" si="21">EOMONTH(DATE(YEAR(P16),ROUNDUP(MONTH(P16)/3,0)*3,1),0)</f>
        <v>46112</v>
      </c>
      <c r="Q14" s="14">
        <f t="shared" si="21"/>
        <v>46203</v>
      </c>
      <c r="R14" s="14">
        <f t="shared" si="21"/>
        <v>46295</v>
      </c>
      <c r="S14" s="14">
        <f t="shared" si="21"/>
        <v>46387</v>
      </c>
      <c r="T14" s="14">
        <f t="shared" si="21"/>
        <v>46477</v>
      </c>
      <c r="U14" s="14">
        <f t="shared" si="21"/>
        <v>46568</v>
      </c>
      <c r="V14" s="14">
        <f t="shared" si="21"/>
        <v>46660</v>
      </c>
      <c r="W14" s="14"/>
      <c r="Y14" s="24" t="str">
        <v>VVV US EQUITY</v>
      </c>
      <c r="Z14" s="24">
        <v>45838</v>
      </c>
      <c r="AA14" s="25" t="str">
        <v>canonical</v>
      </c>
      <c r="AB14" s="26" t="str">
        <v>gross_margin_gaap</v>
      </c>
      <c r="AC14" s="27" t="str">
        <v>40.4556</v>
      </c>
      <c r="AD14" s="28" t="str">
        <v>70.7099999999997</v>
      </c>
      <c r="AE14" s="29" t="str">
        <v>99.3299999999998</v>
      </c>
      <c r="AF14" s="28" t="str">
        <v>101.71</v>
      </c>
      <c r="AG14" s="29" t="str">
        <v>312.92</v>
      </c>
    </row>
    <row r="15" spans="1:33" x14ac:dyDescent="0.25">
      <c r="C15" s="13"/>
      <c r="D15" s="1" t="str">
        <f t="shared" ref="D15:V15" si="22">D$6</f>
        <v>actual</v>
      </c>
      <c r="E15" s="1" t="str">
        <f t="shared" si="22"/>
        <v>actual</v>
      </c>
      <c r="F15" s="1" t="str">
        <f t="shared" si="22"/>
        <v>actual</v>
      </c>
      <c r="G15" s="1" t="str">
        <f t="shared" si="22"/>
        <v>actual</v>
      </c>
      <c r="H15" s="1" t="str">
        <f t="shared" si="22"/>
        <v>actual</v>
      </c>
      <c r="I15" s="1" t="str">
        <f t="shared" si="22"/>
        <v>actual</v>
      </c>
      <c r="J15" s="1" t="str">
        <f t="shared" si="22"/>
        <v>actual</v>
      </c>
      <c r="K15" s="1" t="str">
        <f t="shared" si="22"/>
        <v>actual</v>
      </c>
      <c r="L15" s="1" t="str">
        <f t="shared" si="22"/>
        <v>actual</v>
      </c>
      <c r="M15" s="1" t="str">
        <f t="shared" si="22"/>
        <v>actual</v>
      </c>
      <c r="N15" s="1" t="str">
        <f t="shared" si="22"/>
        <v>actual</v>
      </c>
      <c r="O15" s="1" t="str">
        <f t="shared" si="22"/>
        <v>actual</v>
      </c>
      <c r="P15" s="1" t="str">
        <f t="shared" si="22"/>
        <v>forecast</v>
      </c>
      <c r="Q15" s="1" t="str">
        <f t="shared" si="22"/>
        <v>forecast</v>
      </c>
      <c r="R15" s="1" t="str">
        <f t="shared" si="22"/>
        <v>forecast</v>
      </c>
      <c r="S15" s="1" t="str">
        <f t="shared" si="22"/>
        <v>forecast</v>
      </c>
      <c r="T15" s="1" t="str">
        <f t="shared" si="22"/>
        <v>forecast</v>
      </c>
      <c r="U15" s="1" t="str">
        <f t="shared" si="22"/>
        <v>forecast</v>
      </c>
      <c r="V15" s="1" t="str">
        <f t="shared" si="22"/>
        <v>forecast</v>
      </c>
      <c r="W15" s="14"/>
      <c r="Y15" s="24" t="str">
        <v>VVV US EQUITY</v>
      </c>
      <c r="Z15" s="24">
        <v>45930</v>
      </c>
      <c r="AA15" s="25" t="str">
        <v>canonical</v>
      </c>
      <c r="AB15" s="26" t="str">
        <v>gross_margin_gaap</v>
      </c>
      <c r="AC15" s="27" t="str">
        <v>39.1141</v>
      </c>
      <c r="AD15" s="28" t="str">
        <v>0.959999999999894</v>
      </c>
      <c r="AE15" s="29" t="str">
        <v>-69.7499999999998</v>
      </c>
      <c r="AF15" s="28" t="str">
        <v>-106.930000000001</v>
      </c>
      <c r="AG15" s="29" t="str">
        <v>-134.15</v>
      </c>
    </row>
    <row r="16" spans="1:33" x14ac:dyDescent="0.25">
      <c r="D16" s="1" cm="1">
        <f t="array" ref="D16:O17">+_xll.BDH($B$2,C17,$B$3,$B$4,"DIR=H")</f>
        <v>45016</v>
      </c>
      <c r="E16" s="1">
        <v>45107</v>
      </c>
      <c r="F16" s="1">
        <v>45199</v>
      </c>
      <c r="G16" s="1">
        <v>45291</v>
      </c>
      <c r="H16" s="1">
        <v>45382</v>
      </c>
      <c r="I16" s="1">
        <v>45473</v>
      </c>
      <c r="J16" s="1">
        <v>45565</v>
      </c>
      <c r="K16" s="1">
        <v>45657</v>
      </c>
      <c r="L16" s="1">
        <v>45747</v>
      </c>
      <c r="M16" s="1">
        <v>45838</v>
      </c>
      <c r="N16" s="1">
        <v>45930</v>
      </c>
      <c r="O16" s="1">
        <v>46022</v>
      </c>
      <c r="P16" s="2">
        <f t="shared" ref="P16:V16" si="23">+P$7</f>
        <v>46112</v>
      </c>
      <c r="Q16" s="2">
        <f t="shared" si="23"/>
        <v>46203</v>
      </c>
      <c r="R16" s="2">
        <f t="shared" si="23"/>
        <v>46295</v>
      </c>
      <c r="S16" s="2">
        <f t="shared" si="23"/>
        <v>46387</v>
      </c>
      <c r="T16" s="2">
        <f t="shared" si="23"/>
        <v>46477</v>
      </c>
      <c r="U16" s="2">
        <f t="shared" si="23"/>
        <v>46568</v>
      </c>
      <c r="V16" s="2">
        <f t="shared" si="23"/>
        <v>46660</v>
      </c>
      <c r="W16" s="2"/>
      <c r="X16" s="1"/>
      <c r="Y16" s="24" t="str">
        <v>VVV US EQUITY</v>
      </c>
      <c r="Z16" s="24">
        <v>46022</v>
      </c>
      <c r="AA16" s="25" t="str">
        <v>canonical</v>
      </c>
      <c r="AB16" s="26" t="str">
        <v>gross_margin_gaap</v>
      </c>
      <c r="AC16" s="27" t="str">
        <v>37.3538</v>
      </c>
      <c r="AD16" s="28" t="str">
        <v>44.82</v>
      </c>
      <c r="AE16" s="29" t="str">
        <v>43.8600000000001</v>
      </c>
      <c r="AF16" s="28" t="str">
        <v>-35.6699999999996</v>
      </c>
      <c r="AG16" s="29" t="str">
        <v>-176.03</v>
      </c>
    </row>
    <row r="17" spans="1:33" x14ac:dyDescent="0.25">
      <c r="A17" s="16" t="s">
        <v>9</v>
      </c>
      <c r="B17" s="16" t="s">
        <v>14</v>
      </c>
      <c r="C17" s="9" t="s">
        <v>6</v>
      </c>
      <c r="D17" s="3">
        <v>36.777900000000002</v>
      </c>
      <c r="E17" s="3">
        <v>40.058500000000002</v>
      </c>
      <c r="F17" s="3">
        <v>38.025599999999997</v>
      </c>
      <c r="G17" s="3">
        <v>36.100700000000003</v>
      </c>
      <c r="H17" s="3">
        <v>37.6126</v>
      </c>
      <c r="I17" s="3">
        <v>39.7485</v>
      </c>
      <c r="J17" s="3">
        <v>39.104500000000002</v>
      </c>
      <c r="K17" s="3">
        <v>36.9056</v>
      </c>
      <c r="L17" s="3">
        <v>37.3264</v>
      </c>
      <c r="M17" s="3">
        <v>40.455599999999997</v>
      </c>
      <c r="N17" s="3">
        <v>39.114100000000001</v>
      </c>
      <c r="O17" s="3">
        <v>37.3538</v>
      </c>
      <c r="P17" s="34">
        <v>37.750494412137009</v>
      </c>
      <c r="Q17" s="34">
        <v>39.716627157172717</v>
      </c>
      <c r="R17" s="34">
        <v>38.835211225733573</v>
      </c>
      <c r="S17" s="34">
        <v>37.162287615725987</v>
      </c>
      <c r="T17" s="34">
        <v>37.740677553010002</v>
      </c>
      <c r="U17" s="34">
        <v>40.314388300201422</v>
      </c>
      <c r="V17" s="34">
        <v>39.905430131897532</v>
      </c>
      <c r="Y17" s="24" t="str">
        <v>VVV US EQUITY</v>
      </c>
      <c r="Z17" s="24">
        <v>46112</v>
      </c>
      <c r="AA17" s="25" t="str">
        <v>canonical</v>
      </c>
      <c r="AB17" s="26" t="str">
        <v>gross_margin_gaap</v>
      </c>
      <c r="AC17" s="27" t="str">
        <v>37.750494412137</v>
      </c>
      <c r="AD17" s="28" t="str">
        <v>42.4094412137009</v>
      </c>
      <c r="AE17" s="29" t="str">
        <v>-2.41055878629908</v>
      </c>
      <c r="AF17" s="28" t="str">
        <v>71.029441213701</v>
      </c>
      <c r="AG17" s="29" t="str">
        <v>39.6694412137009</v>
      </c>
    </row>
    <row r="18" spans="1:33" x14ac:dyDescent="0.25">
      <c r="C18" s="4" t="s">
        <v>4</v>
      </c>
      <c r="D18" s="5"/>
      <c r="E18" s="4"/>
      <c r="F18" s="4"/>
      <c r="G18" s="4"/>
      <c r="H18" s="7">
        <f t="shared" ref="H18:R18" si="24">(H17-D17)*100</f>
        <v>83.4699999999998</v>
      </c>
      <c r="I18" s="7">
        <f t="shared" si="24"/>
        <v>-31.000000000000227</v>
      </c>
      <c r="J18" s="7">
        <f t="shared" si="24"/>
        <v>107.89000000000044</v>
      </c>
      <c r="K18" s="7">
        <f t="shared" si="24"/>
        <v>80.48999999999964</v>
      </c>
      <c r="L18" s="7">
        <f t="shared" si="24"/>
        <v>-28.62000000000009</v>
      </c>
      <c r="M18" s="7">
        <f t="shared" si="24"/>
        <v>70.709999999999695</v>
      </c>
      <c r="N18" s="7">
        <f t="shared" si="24"/>
        <v>0.95999999999989427</v>
      </c>
      <c r="O18" s="7">
        <f t="shared" si="24"/>
        <v>44.819999999999993</v>
      </c>
      <c r="P18" s="7">
        <f t="shared" si="24"/>
        <v>42.409441213700916</v>
      </c>
      <c r="Q18" s="7">
        <f t="shared" si="24"/>
        <v>-73.897284282728037</v>
      </c>
      <c r="R18" s="7">
        <f t="shared" si="24"/>
        <v>-27.888877426642722</v>
      </c>
      <c r="S18" s="7">
        <f t="shared" ref="S18" si="25">(S17-O17)*100</f>
        <v>-19.151238427401296</v>
      </c>
      <c r="T18" s="7">
        <f t="shared" ref="T18" si="26">(T17-P17)*100</f>
        <v>-0.98168591270066941</v>
      </c>
      <c r="U18" s="7">
        <f t="shared" ref="U18" si="27">(U17-Q17)*100</f>
        <v>59.776114302870553</v>
      </c>
      <c r="V18" s="7">
        <f t="shared" ref="V18" si="28">(V17-R17)*100</f>
        <v>107.02189061639586</v>
      </c>
      <c r="W18" s="7"/>
      <c r="Y18" s="24" t="str">
        <v>VVV US EQUITY</v>
      </c>
      <c r="Z18" s="24">
        <v>46203</v>
      </c>
      <c r="AA18" s="25" t="str">
        <v>canonical</v>
      </c>
      <c r="AB18" s="26" t="str">
        <v>gross_margin_gaap</v>
      </c>
      <c r="AC18" s="27" t="str">
        <v>39.7166271571727</v>
      </c>
      <c r="AD18" s="28" t="str">
        <v>-73.897284282728</v>
      </c>
      <c r="AE18" s="29" t="str">
        <v>-116.306725496429</v>
      </c>
      <c r="AF18" s="28" t="str">
        <v>-144.607284282728</v>
      </c>
      <c r="AG18" s="29" t="str">
        <v>196.613274503571</v>
      </c>
    </row>
    <row r="19" spans="1:33" x14ac:dyDescent="0.25">
      <c r="C19" s="4" t="s">
        <v>19</v>
      </c>
      <c r="D19" s="1"/>
      <c r="I19" s="7">
        <f t="shared" ref="I19:K19" si="29">I18-H18</f>
        <v>-114.47000000000003</v>
      </c>
      <c r="J19" s="7">
        <f t="shared" si="29"/>
        <v>138.89000000000067</v>
      </c>
      <c r="K19" s="7">
        <f t="shared" si="29"/>
        <v>-27.400000000000801</v>
      </c>
      <c r="L19" s="7">
        <f>L18-K18</f>
        <v>-109.10999999999973</v>
      </c>
      <c r="M19" s="7">
        <f t="shared" ref="M19:R19" si="30">M18-L18</f>
        <v>99.329999999999785</v>
      </c>
      <c r="N19" s="7">
        <f t="shared" si="30"/>
        <v>-69.749999999999801</v>
      </c>
      <c r="O19" s="7">
        <f t="shared" si="30"/>
        <v>43.860000000000099</v>
      </c>
      <c r="P19" s="7">
        <f t="shared" si="30"/>
        <v>-2.4105587862990774</v>
      </c>
      <c r="Q19" s="7">
        <f t="shared" si="30"/>
        <v>-116.30672549642895</v>
      </c>
      <c r="R19" s="7">
        <f t="shared" si="30"/>
        <v>46.008406856085315</v>
      </c>
      <c r="S19" s="7">
        <f t="shared" ref="S19" si="31">S18-R18</f>
        <v>8.7376389992414261</v>
      </c>
      <c r="T19" s="7">
        <f t="shared" ref="T19" si="32">T18-S18</f>
        <v>18.169552514700626</v>
      </c>
      <c r="U19" s="7">
        <f t="shared" ref="U19" si="33">U18-T18</f>
        <v>60.757800215571223</v>
      </c>
      <c r="V19" s="7">
        <f t="shared" ref="V19" si="34">V18-U18</f>
        <v>47.245776313525312</v>
      </c>
      <c r="W19" s="7"/>
      <c r="Y19" s="24" t="str">
        <v>VVV US EQUITY</v>
      </c>
      <c r="Z19" s="24">
        <v>46295</v>
      </c>
      <c r="AA19" s="25" t="str">
        <v>canonical</v>
      </c>
      <c r="AB19" s="26" t="str">
        <v>gross_margin_gaap</v>
      </c>
      <c r="AC19" s="27" t="str">
        <v>38.8352112257336</v>
      </c>
      <c r="AD19" s="28" t="str">
        <v>-27.8888774266427</v>
      </c>
      <c r="AE19" s="29" t="str">
        <v>46.0084068560853</v>
      </c>
      <c r="AF19" s="28" t="str">
        <v>-28.8488774266426</v>
      </c>
      <c r="AG19" s="29" t="str">
        <v>-88.1415931439143</v>
      </c>
    </row>
    <row r="20" spans="1:33" x14ac:dyDescent="0.25">
      <c r="C20" s="4" t="s">
        <v>45</v>
      </c>
      <c r="D20" s="1"/>
      <c r="E20" s="6"/>
      <c r="F20" s="6"/>
      <c r="G20" s="6"/>
      <c r="H20" s="6"/>
      <c r="I20" s="6"/>
      <c r="J20" s="6"/>
      <c r="K20" s="6"/>
      <c r="L20" s="7">
        <f>L18-H18</f>
        <v>-112.08999999999989</v>
      </c>
      <c r="M20" s="7">
        <f t="shared" ref="M20:R20" si="35">M18-I18</f>
        <v>101.70999999999992</v>
      </c>
      <c r="N20" s="7">
        <f t="shared" si="35"/>
        <v>-106.93000000000055</v>
      </c>
      <c r="O20" s="7">
        <f t="shared" si="35"/>
        <v>-35.669999999999646</v>
      </c>
      <c r="P20" s="7">
        <f t="shared" si="35"/>
        <v>71.029441213701006</v>
      </c>
      <c r="Q20" s="7">
        <f t="shared" si="35"/>
        <v>-144.60728428272773</v>
      </c>
      <c r="R20" s="7">
        <f t="shared" si="35"/>
        <v>-28.848877426642616</v>
      </c>
      <c r="S20" s="7">
        <f t="shared" ref="S20" si="36">S18-O18</f>
        <v>-63.971238427401289</v>
      </c>
      <c r="T20" s="7">
        <f t="shared" ref="T20" si="37">T18-P18</f>
        <v>-43.391127126401585</v>
      </c>
      <c r="U20" s="7">
        <f t="shared" ref="U20" si="38">U18-Q18</f>
        <v>133.67339858559859</v>
      </c>
      <c r="V20" s="7">
        <f t="shared" ref="V20" si="39">V18-R18</f>
        <v>134.91076804303859</v>
      </c>
      <c r="W20" s="7"/>
      <c r="Y20" s="24" t="str">
        <v>VVV US EQUITY</v>
      </c>
      <c r="Z20" s="24">
        <v>46387</v>
      </c>
      <c r="AA20" s="25" t="str">
        <v>canonical</v>
      </c>
      <c r="AB20" s="26" t="str">
        <v>gross_margin_gaap</v>
      </c>
      <c r="AC20" s="27" t="str">
        <v>37.162287615726</v>
      </c>
      <c r="AD20" s="28" t="str">
        <v>-19.1512384274013</v>
      </c>
      <c r="AE20" s="29" t="str">
        <v>8.73763899924143</v>
      </c>
      <c r="AF20" s="28" t="str">
        <v>-63.9712384274013</v>
      </c>
      <c r="AG20" s="29" t="str">
        <v>-167.292361000759</v>
      </c>
    </row>
    <row r="21" spans="1:33" x14ac:dyDescent="0.25">
      <c r="C21" s="4" t="s">
        <v>5</v>
      </c>
      <c r="D21" s="1"/>
      <c r="E21" s="7">
        <f t="shared" ref="E21:K21" si="40">(E17-D17)*100</f>
        <v>328.05999999999995</v>
      </c>
      <c r="F21" s="7">
        <f t="shared" si="40"/>
        <v>-203.2900000000005</v>
      </c>
      <c r="G21" s="7">
        <f t="shared" si="40"/>
        <v>-192.48999999999938</v>
      </c>
      <c r="H21" s="7">
        <f t="shared" si="40"/>
        <v>151.18999999999971</v>
      </c>
      <c r="I21" s="7">
        <f t="shared" si="40"/>
        <v>213.58999999999995</v>
      </c>
      <c r="J21" s="7">
        <f t="shared" si="40"/>
        <v>-64.399999999999835</v>
      </c>
      <c r="K21" s="7">
        <f t="shared" si="40"/>
        <v>-219.89000000000019</v>
      </c>
      <c r="L21" s="7">
        <f>(L17-K17)*100</f>
        <v>42.079999999999984</v>
      </c>
      <c r="M21" s="7">
        <f t="shared" ref="M21:R21" si="41">(M17-L17)*100</f>
        <v>312.91999999999973</v>
      </c>
      <c r="N21" s="7">
        <f t="shared" si="41"/>
        <v>-134.14999999999964</v>
      </c>
      <c r="O21" s="7">
        <f t="shared" si="41"/>
        <v>-176.03000000000009</v>
      </c>
      <c r="P21" s="7">
        <f t="shared" si="41"/>
        <v>39.669441213700907</v>
      </c>
      <c r="Q21" s="7">
        <f t="shared" si="41"/>
        <v>196.61327450357078</v>
      </c>
      <c r="R21" s="7">
        <f t="shared" si="41"/>
        <v>-88.141593143914321</v>
      </c>
      <c r="S21" s="7">
        <f t="shared" ref="S21" si="42">(S17-R17)*100</f>
        <v>-167.29236100075866</v>
      </c>
      <c r="T21" s="7">
        <f t="shared" ref="T21" si="43">(T17-S17)*100</f>
        <v>57.838993728401533</v>
      </c>
      <c r="U21" s="7">
        <f t="shared" ref="U21" si="44">(U17-T17)*100</f>
        <v>257.37107471914203</v>
      </c>
      <c r="V21" s="7">
        <f t="shared" ref="V21" si="45">(V17-U17)*100</f>
        <v>-40.895816830389009</v>
      </c>
      <c r="W21" s="7"/>
      <c r="Y21" s="24" t="str">
        <v>VVV US EQUITY</v>
      </c>
      <c r="Z21" s="24">
        <v>46477</v>
      </c>
      <c r="AA21" s="25" t="str">
        <v>canonical</v>
      </c>
      <c r="AB21" s="26" t="str">
        <v>gross_margin_gaap</v>
      </c>
      <c r="AC21" s="27" t="str">
        <v>37.74067755301</v>
      </c>
      <c r="AD21" s="28" t="str">
        <v>-0.981685912700669</v>
      </c>
      <c r="AE21" s="29" t="str">
        <v>18.1695525147006</v>
      </c>
      <c r="AF21" s="28" t="str">
        <v>-43.3911271264016</v>
      </c>
      <c r="AG21" s="29" t="str">
        <v>57.8389937284015</v>
      </c>
    </row>
    <row r="22" spans="1:33" x14ac:dyDescent="0.25">
      <c r="Y22" s="24" t="str">
        <v>VVV US EQUITY</v>
      </c>
      <c r="Z22" s="24">
        <v>46568</v>
      </c>
      <c r="AA22" s="25" t="str">
        <v>canonical</v>
      </c>
      <c r="AB22" s="26" t="str">
        <v>gross_margin_gaap</v>
      </c>
      <c r="AC22" s="27" t="str">
        <v>40.3143883002014</v>
      </c>
      <c r="AD22" s="28" t="str">
        <v>59.7761143028706</v>
      </c>
      <c r="AE22" s="29" t="str">
        <v>60.7578002155712</v>
      </c>
      <c r="AF22" s="28" t="str">
        <v>133.673398585599</v>
      </c>
      <c r="AG22" s="29" t="str">
        <v>257.371074719142</v>
      </c>
    </row>
    <row r="23" spans="1:33" x14ac:dyDescent="0.25">
      <c r="C23" s="13" t="s">
        <v>12</v>
      </c>
      <c r="D23" s="14">
        <f>EOMONTH(DATE(YEAR(D25),ROUNDUP(MONTH(D25)/3,0)*3,1),0)</f>
        <v>45016</v>
      </c>
      <c r="E23" s="14">
        <f>EOMONTH(DATE(YEAR(E25),ROUNDUP(MONTH(E25)/3,0)*3,1),0)</f>
        <v>45107</v>
      </c>
      <c r="F23" s="14">
        <f>EOMONTH(DATE(YEAR(F25),ROUNDUP(MONTH(F25)/3,0)*3,1),0)</f>
        <v>45199</v>
      </c>
      <c r="G23" s="14">
        <f t="shared" ref="G23:K23" si="46">EOMONTH(DATE(YEAR(G25),ROUNDUP(MONTH(G25)/3,0)*3,1),0)</f>
        <v>45291</v>
      </c>
      <c r="H23" s="14">
        <f t="shared" si="46"/>
        <v>45382</v>
      </c>
      <c r="I23" s="14">
        <f t="shared" si="46"/>
        <v>45473</v>
      </c>
      <c r="J23" s="14">
        <f t="shared" si="46"/>
        <v>45565</v>
      </c>
      <c r="K23" s="14">
        <f t="shared" si="46"/>
        <v>45657</v>
      </c>
      <c r="L23" s="14">
        <f>EOMONTH(DATE(YEAR(L25),ROUNDUP(MONTH(L25)/3,0)*3,1),0)</f>
        <v>45747</v>
      </c>
      <c r="M23" s="14">
        <f>EOMONTH(DATE(YEAR(M25),ROUNDUP(MONTH(M25)/3,0)*3,1),0)</f>
        <v>45838</v>
      </c>
      <c r="N23" s="14">
        <f>EOMONTH(DATE(YEAR(N25),ROUNDUP(MONTH(N25)/3,0)*3,1),0)</f>
        <v>45930</v>
      </c>
      <c r="O23" s="14">
        <f>EOMONTH(DATE(YEAR(O25),ROUNDUP(MONTH(O25)/3,0)*3,1),0)</f>
        <v>46022</v>
      </c>
      <c r="P23" s="14">
        <f t="shared" ref="P23" si="47">EOMONTH(DATE(YEAR(P25),ROUNDUP(MONTH(P25)/3,0)*3,1),0)</f>
        <v>46112</v>
      </c>
      <c r="Q23" s="14">
        <f t="shared" ref="Q23" si="48">EOMONTH(DATE(YEAR(Q25),ROUNDUP(MONTH(Q25)/3,0)*3,1),0)</f>
        <v>46203</v>
      </c>
      <c r="R23" s="14">
        <f t="shared" ref="R23" si="49">EOMONTH(DATE(YEAR(R25),ROUNDUP(MONTH(R25)/3,0)*3,1),0)</f>
        <v>46295</v>
      </c>
      <c r="S23" s="14">
        <f t="shared" ref="S23" si="50">EOMONTH(DATE(YEAR(S25),ROUNDUP(MONTH(S25)/3,0)*3,1),0)</f>
        <v>46387</v>
      </c>
      <c r="T23" s="14">
        <f t="shared" ref="T23" si="51">EOMONTH(DATE(YEAR(T25),ROUNDUP(MONTH(T25)/3,0)*3,1),0)</f>
        <v>46477</v>
      </c>
      <c r="U23" s="14">
        <f t="shared" ref="U23" si="52">EOMONTH(DATE(YEAR(U25),ROUNDUP(MONTH(U25)/3,0)*3,1),0)</f>
        <v>46568</v>
      </c>
      <c r="V23" s="14">
        <f t="shared" ref="V23" si="53">EOMONTH(DATE(YEAR(V25),ROUNDUP(MONTH(V25)/3,0)*3,1),0)</f>
        <v>46660</v>
      </c>
      <c r="W23" s="14"/>
      <c r="Y23" s="24" t="str">
        <v>VVV US EQUITY</v>
      </c>
      <c r="Z23" s="24">
        <v>46660</v>
      </c>
      <c r="AA23" s="25" t="str">
        <v>canonical</v>
      </c>
      <c r="AB23" s="26" t="str">
        <v>gross_margin_gaap</v>
      </c>
      <c r="AC23" s="27" t="str">
        <v>39.9054301318975</v>
      </c>
      <c r="AD23" s="28" t="str">
        <v>107.021890616396</v>
      </c>
      <c r="AE23" s="29" t="str">
        <v>47.2457763135253</v>
      </c>
      <c r="AF23" s="28" t="str">
        <v>134.910768043039</v>
      </c>
      <c r="AG23" s="29" t="str">
        <v>-40.895816830389</v>
      </c>
    </row>
    <row r="24" spans="1:33" x14ac:dyDescent="0.25">
      <c r="C24" s="13"/>
      <c r="D24" s="1" t="str">
        <f t="shared" ref="D24:V24" si="54">D$6</f>
        <v>actual</v>
      </c>
      <c r="E24" s="1" t="str">
        <f t="shared" si="54"/>
        <v>actual</v>
      </c>
      <c r="F24" s="1" t="str">
        <f t="shared" si="54"/>
        <v>actual</v>
      </c>
      <c r="G24" s="1" t="str">
        <f t="shared" si="54"/>
        <v>actual</v>
      </c>
      <c r="H24" s="1" t="str">
        <f t="shared" si="54"/>
        <v>actual</v>
      </c>
      <c r="I24" s="1" t="str">
        <f t="shared" si="54"/>
        <v>actual</v>
      </c>
      <c r="J24" s="1" t="str">
        <f t="shared" si="54"/>
        <v>actual</v>
      </c>
      <c r="K24" s="1" t="str">
        <f t="shared" si="54"/>
        <v>actual</v>
      </c>
      <c r="L24" s="1" t="str">
        <f t="shared" si="54"/>
        <v>actual</v>
      </c>
      <c r="M24" s="1" t="str">
        <f t="shared" si="54"/>
        <v>actual</v>
      </c>
      <c r="N24" s="1" t="str">
        <f t="shared" si="54"/>
        <v>actual</v>
      </c>
      <c r="O24" s="1" t="str">
        <f t="shared" si="54"/>
        <v>actual</v>
      </c>
      <c r="P24" s="1" t="str">
        <f t="shared" si="54"/>
        <v>forecast</v>
      </c>
      <c r="Q24" s="1" t="str">
        <f t="shared" si="54"/>
        <v>forecast</v>
      </c>
      <c r="R24" s="1" t="str">
        <f t="shared" si="54"/>
        <v>forecast</v>
      </c>
      <c r="S24" s="1" t="str">
        <f t="shared" si="54"/>
        <v>forecast</v>
      </c>
      <c r="T24" s="1" t="str">
        <f t="shared" si="54"/>
        <v>forecast</v>
      </c>
      <c r="U24" s="1" t="str">
        <f t="shared" si="54"/>
        <v>forecast</v>
      </c>
      <c r="V24" s="1" t="str">
        <f t="shared" si="54"/>
        <v>forecast</v>
      </c>
      <c r="W24" s="14"/>
      <c r="Y24" s="24" t="str" cm="1">
        <f t="array" ref="Y24:AG34">_xlfn.LET(
  _xlpm.d, L23:V23,
  _xlpm.v, L26:V26,
  _xlpm.yy, L27:V27,
  _xlpm.qq, L28:V28,
  _xlpm.dyy, L29:V29,
  _xlpm.dqq, L30:V30,
  _xlpm.dd, TRANSPOSE(_xlpm.d),
  _xlpm.clean, _xlfn.LAMBDA(_xlpm.x, IF(_xlpm.x="","",_xlpm.x)),
_xlfn.HSTACK(
  _xlfn.MAKEARRAY(ROWS(_xlpm.dd),1, _xlfn.LAMBDA(_xlpm.r,_xlpm.c,$B$2)),
  _xlpm.dd,
  _xlfn.MAKEARRAY(ROWS(_xlpm.dd),1, _xlfn.LAMBDA(_xlpm.r,_xlpm.c,A26)),
  _xlfn.MAKEARRAY(ROWS(_xlpm.dd),1, _xlfn.LAMBDA(_xlpm.r,_xlpm.c,B26)),
  CLEAN(TRANSPOSE(_xlpm.v)),
  CLEAN(TRANSPOSE(_xlpm.yy)),
  CLEAN(TRANSPOSE(_xlpm.qq)),
  CLEAN(TRANSPOSE(_xlpm.dyy)),
  CLEAN(TRANSPOSE(_xlpm.dqq))
))</f>
        <v>VVV US EQUITY</v>
      </c>
      <c r="Z24" s="24">
        <v>45747</v>
      </c>
      <c r="AA24" s="25" t="str">
        <v>canonical</v>
      </c>
      <c r="AB24" s="26" t="str">
        <v>operating_margin_gaap</v>
      </c>
      <c r="AC24" s="27" t="str">
        <v>16.5923</v>
      </c>
      <c r="AD24" s="28" t="str">
        <v>-306.3</v>
      </c>
      <c r="AE24" s="29" t="str">
        <v>-2095.37</v>
      </c>
      <c r="AF24" s="28" t="str">
        <v>-495.34</v>
      </c>
      <c r="AG24" s="29" t="str">
        <v>-1811.68</v>
      </c>
    </row>
    <row r="25" spans="1:33" x14ac:dyDescent="0.25">
      <c r="D25" s="1" cm="1">
        <f t="array" ref="D25:O26">+_xll.BDH($B$2,C26,$B$3,$B$4,"DIR=H")</f>
        <v>45016</v>
      </c>
      <c r="E25" s="1">
        <v>45107</v>
      </c>
      <c r="F25" s="1">
        <v>45199</v>
      </c>
      <c r="G25" s="1">
        <v>45291</v>
      </c>
      <c r="H25" s="1">
        <v>45382</v>
      </c>
      <c r="I25" s="1">
        <v>45473</v>
      </c>
      <c r="J25" s="1">
        <v>45565</v>
      </c>
      <c r="K25" s="1">
        <v>45657</v>
      </c>
      <c r="L25" s="1">
        <v>45747</v>
      </c>
      <c r="M25" s="1">
        <v>45838</v>
      </c>
      <c r="N25" s="1">
        <v>45930</v>
      </c>
      <c r="O25" s="1">
        <v>46022</v>
      </c>
      <c r="P25" s="2">
        <f t="shared" ref="P25:V25" si="55">+P$7</f>
        <v>46112</v>
      </c>
      <c r="Q25" s="2">
        <f t="shared" si="55"/>
        <v>46203</v>
      </c>
      <c r="R25" s="2">
        <f t="shared" si="55"/>
        <v>46295</v>
      </c>
      <c r="S25" s="2">
        <f t="shared" si="55"/>
        <v>46387</v>
      </c>
      <c r="T25" s="2">
        <f t="shared" si="55"/>
        <v>46477</v>
      </c>
      <c r="U25" s="2">
        <f t="shared" si="55"/>
        <v>46568</v>
      </c>
      <c r="V25" s="2">
        <f t="shared" si="55"/>
        <v>46660</v>
      </c>
      <c r="W25" s="1"/>
      <c r="X25" s="1"/>
      <c r="Y25" s="24" t="str">
        <v>VVV US EQUITY</v>
      </c>
      <c r="Z25" s="24">
        <v>45838</v>
      </c>
      <c r="AA25" s="25" t="str">
        <v>canonical</v>
      </c>
      <c r="AB25" s="26" t="str">
        <v>operating_margin_gaap</v>
      </c>
      <c r="AC25" s="27" t="str">
        <v>21.5718</v>
      </c>
      <c r="AD25" s="28" t="str">
        <v>-59.2400000000001</v>
      </c>
      <c r="AE25" s="29" t="str">
        <v>247.06</v>
      </c>
      <c r="AF25" s="28" t="str">
        <v>23.6499999999996</v>
      </c>
      <c r="AG25" s="29" t="str">
        <v>497.95</v>
      </c>
    </row>
    <row r="26" spans="1:33" x14ac:dyDescent="0.25">
      <c r="A26" s="16" t="s">
        <v>9</v>
      </c>
      <c r="B26" s="16" t="s">
        <v>15</v>
      </c>
      <c r="C26" s="9" t="s">
        <v>7</v>
      </c>
      <c r="D26" s="3">
        <v>17.764900000000001</v>
      </c>
      <c r="E26" s="3">
        <v>22.993099999999998</v>
      </c>
      <c r="F26" s="3">
        <v>18</v>
      </c>
      <c r="G26" s="3">
        <v>16.8184</v>
      </c>
      <c r="H26" s="3">
        <v>19.6553</v>
      </c>
      <c r="I26" s="3">
        <v>22.164200000000001</v>
      </c>
      <c r="J26" s="3">
        <v>30.907</v>
      </c>
      <c r="K26" s="3">
        <v>34.709099999999999</v>
      </c>
      <c r="L26" s="3">
        <v>16.592300000000002</v>
      </c>
      <c r="M26" s="3">
        <v>21.5718</v>
      </c>
      <c r="N26" s="3">
        <v>18.6205</v>
      </c>
      <c r="O26" s="3">
        <v>3.9628000000000001</v>
      </c>
      <c r="P26" s="34">
        <v>17.639181814723926</v>
      </c>
      <c r="Q26" s="34">
        <v>20.639528799865904</v>
      </c>
      <c r="R26" s="34">
        <v>20.227648170003228</v>
      </c>
      <c r="S26" s="34">
        <v>17.296481918760986</v>
      </c>
      <c r="T26" s="34">
        <v>18.147070759323842</v>
      </c>
      <c r="U26" s="34">
        <v>21.862186518635362</v>
      </c>
      <c r="V26" s="34">
        <v>21.632473167169334</v>
      </c>
      <c r="Y26" s="24" t="str">
        <v>VVV US EQUITY</v>
      </c>
      <c r="Z26" s="24">
        <v>45930</v>
      </c>
      <c r="AA26" s="25" t="str">
        <v>canonical</v>
      </c>
      <c r="AB26" s="26" t="str">
        <v>operating_margin_gaap</v>
      </c>
      <c r="AC26" s="27" t="str">
        <v>18.6205</v>
      </c>
      <c r="AD26" s="28" t="str">
        <v>-1228.65</v>
      </c>
      <c r="AE26" s="29" t="str">
        <v>-1169.41</v>
      </c>
      <c r="AF26" s="28" t="str">
        <v>-2519.35</v>
      </c>
      <c r="AG26" s="29" t="str">
        <v>-295.13</v>
      </c>
    </row>
    <row r="27" spans="1:33" x14ac:dyDescent="0.25">
      <c r="C27" s="4" t="s">
        <v>4</v>
      </c>
      <c r="D27" s="5"/>
      <c r="E27" s="4"/>
      <c r="F27" s="4"/>
      <c r="G27" s="4"/>
      <c r="H27" s="7">
        <f t="shared" ref="H27" si="56">(H26-D26)*100</f>
        <v>189.03999999999996</v>
      </c>
      <c r="I27" s="7">
        <f t="shared" ref="I27" si="57">(I26-E26)*100</f>
        <v>-82.889999999999731</v>
      </c>
      <c r="J27" s="7">
        <f t="shared" ref="J27" si="58">(J26-F26)*100</f>
        <v>1290.7</v>
      </c>
      <c r="K27" s="7">
        <f t="shared" ref="K27" si="59">(K26-G26)*100</f>
        <v>1789.07</v>
      </c>
      <c r="L27" s="7">
        <f t="shared" ref="L27" si="60">(L26-H26)*100</f>
        <v>-306.2999999999999</v>
      </c>
      <c r="M27" s="7">
        <f t="shared" ref="M27" si="61">(M26-I26)*100</f>
        <v>-59.240000000000137</v>
      </c>
      <c r="N27" s="7">
        <f t="shared" ref="N27" si="62">(N26-J26)*100</f>
        <v>-1228.6500000000001</v>
      </c>
      <c r="O27" s="7">
        <f t="shared" ref="O27" si="63">(O26-K26)*100</f>
        <v>-3074.6299999999997</v>
      </c>
      <c r="P27" s="7">
        <f t="shared" ref="P27" si="64">(P26-L26)*100</f>
        <v>104.68818147239247</v>
      </c>
      <c r="Q27" s="7">
        <f t="shared" ref="Q27" si="65">(Q26-M26)*100</f>
        <v>-93.227120013409603</v>
      </c>
      <c r="R27" s="7">
        <f t="shared" ref="R27" si="66">(R26-N26)*100</f>
        <v>160.7148170003228</v>
      </c>
      <c r="S27" s="7">
        <f t="shared" ref="S27" si="67">(S26-O26)*100</f>
        <v>1333.3681918760985</v>
      </c>
      <c r="T27" s="7">
        <f t="shared" ref="T27" si="68">(T26-P26)*100</f>
        <v>50.788894459991596</v>
      </c>
      <c r="U27" s="7">
        <f t="shared" ref="U27" si="69">(U26-Q26)*100</f>
        <v>122.26577187694581</v>
      </c>
      <c r="V27" s="7">
        <f t="shared" ref="V27" si="70">(V26-R26)*100</f>
        <v>140.48249971661056</v>
      </c>
      <c r="W27" s="7"/>
      <c r="Y27" s="24" t="str">
        <v>VVV US EQUITY</v>
      </c>
      <c r="Z27" s="24">
        <v>46022</v>
      </c>
      <c r="AA27" s="25" t="str">
        <v>canonical</v>
      </c>
      <c r="AB27" s="26" t="str">
        <v>operating_margin_gaap</v>
      </c>
      <c r="AC27" s="27" t="str">
        <v>3.9628</v>
      </c>
      <c r="AD27" s="28" t="str">
        <v>-3074.63</v>
      </c>
      <c r="AE27" s="29" t="str">
        <v>-1845.98</v>
      </c>
      <c r="AF27" s="28" t="str">
        <v>-4863.7</v>
      </c>
      <c r="AG27" s="29" t="str">
        <v>-1465.77</v>
      </c>
    </row>
    <row r="28" spans="1:33" x14ac:dyDescent="0.25">
      <c r="C28" s="4" t="s">
        <v>19</v>
      </c>
      <c r="D28" s="1"/>
      <c r="I28" s="7">
        <f t="shared" ref="I28" si="71">I27-H27</f>
        <v>-271.92999999999972</v>
      </c>
      <c r="J28" s="7">
        <f t="shared" ref="J28" si="72">J27-I27</f>
        <v>1373.5899999999997</v>
      </c>
      <c r="K28" s="7">
        <f t="shared" ref="K28" si="73">K27-J27</f>
        <v>498.36999999999989</v>
      </c>
      <c r="L28" s="7">
        <f>L27-K27</f>
        <v>-2095.37</v>
      </c>
      <c r="M28" s="7">
        <f t="shared" ref="M28" si="74">M27-L27</f>
        <v>247.05999999999977</v>
      </c>
      <c r="N28" s="7">
        <f t="shared" ref="N28" si="75">N27-M27</f>
        <v>-1169.4099999999999</v>
      </c>
      <c r="O28" s="7">
        <f t="shared" ref="O28" si="76">O27-N27</f>
        <v>-1845.9799999999996</v>
      </c>
      <c r="P28" s="7">
        <f t="shared" ref="P28" si="77">P27-O27</f>
        <v>3179.3181814723921</v>
      </c>
      <c r="Q28" s="7">
        <f t="shared" ref="Q28" si="78">Q27-P27</f>
        <v>-197.91530148580208</v>
      </c>
      <c r="R28" s="7">
        <f t="shared" ref="R28" si="79">R27-Q27</f>
        <v>253.9419370137324</v>
      </c>
      <c r="S28" s="7">
        <f t="shared" ref="S28" si="80">S27-R27</f>
        <v>1172.6533748757756</v>
      </c>
      <c r="T28" s="7">
        <f t="shared" ref="T28" si="81">T27-S27</f>
        <v>-1282.579297416107</v>
      </c>
      <c r="U28" s="7">
        <f t="shared" ref="U28" si="82">U27-T27</f>
        <v>71.47687741695421</v>
      </c>
      <c r="V28" s="7">
        <f t="shared" ref="V28" si="83">V27-U27</f>
        <v>18.216727839664756</v>
      </c>
      <c r="W28" s="7"/>
      <c r="Y28" s="24" t="str">
        <v>VVV US EQUITY</v>
      </c>
      <c r="Z28" s="24">
        <v>46112</v>
      </c>
      <c r="AA28" s="25" t="str">
        <v>canonical</v>
      </c>
      <c r="AB28" s="26" t="str">
        <v>operating_margin_gaap</v>
      </c>
      <c r="AC28" s="27" t="str">
        <v>17.6391818147239</v>
      </c>
      <c r="AD28" s="28" t="str">
        <v>104.688181472392</v>
      </c>
      <c r="AE28" s="29" t="str">
        <v>3179.31818147239</v>
      </c>
      <c r="AF28" s="28" t="str">
        <v>410.988181472392</v>
      </c>
      <c r="AG28" s="29" t="str">
        <v>1367.63818147239</v>
      </c>
    </row>
    <row r="29" spans="1:33" x14ac:dyDescent="0.25">
      <c r="C29" s="4" t="s">
        <v>45</v>
      </c>
      <c r="D29" s="1"/>
      <c r="E29" s="6"/>
      <c r="F29" s="6"/>
      <c r="G29" s="6"/>
      <c r="H29" s="6"/>
      <c r="I29" s="6"/>
      <c r="J29" s="6"/>
      <c r="K29" s="6"/>
      <c r="L29" s="7">
        <f>L27-H27</f>
        <v>-495.33999999999986</v>
      </c>
      <c r="M29" s="7">
        <f t="shared" ref="M29" si="84">M27-I27</f>
        <v>23.649999999999594</v>
      </c>
      <c r="N29" s="7">
        <f t="shared" ref="N29" si="85">N27-J27</f>
        <v>-2519.3500000000004</v>
      </c>
      <c r="O29" s="7">
        <f t="shared" ref="O29" si="86">O27-K27</f>
        <v>-4863.7</v>
      </c>
      <c r="P29" s="7">
        <f t="shared" ref="P29" si="87">P27-L27</f>
        <v>410.9881814723924</v>
      </c>
      <c r="Q29" s="7">
        <f t="shared" ref="Q29" si="88">Q27-M27</f>
        <v>-33.987120013409466</v>
      </c>
      <c r="R29" s="7">
        <f t="shared" ref="R29" si="89">R27-N27</f>
        <v>1389.364817000323</v>
      </c>
      <c r="S29" s="7">
        <f t="shared" ref="S29" si="90">S27-O27</f>
        <v>4407.9981918760986</v>
      </c>
      <c r="T29" s="7">
        <f t="shared" ref="T29" si="91">T27-P27</f>
        <v>-53.899287012400876</v>
      </c>
      <c r="U29" s="7">
        <f t="shared" ref="U29" si="92">U27-Q27</f>
        <v>215.49289189035539</v>
      </c>
      <c r="V29" s="7">
        <f t="shared" ref="V29" si="93">V27-R27</f>
        <v>-20.232317283712234</v>
      </c>
      <c r="W29" s="7"/>
      <c r="Y29" s="24" t="str">
        <v>VVV US EQUITY</v>
      </c>
      <c r="Z29" s="24">
        <v>46203</v>
      </c>
      <c r="AA29" s="25" t="str">
        <v>canonical</v>
      </c>
      <c r="AB29" s="26" t="str">
        <v>operating_margin_gaap</v>
      </c>
      <c r="AC29" s="27" t="str">
        <v>20.6395287998659</v>
      </c>
      <c r="AD29" s="28" t="str">
        <v>-93.2271200134096</v>
      </c>
      <c r="AE29" s="29" t="str">
        <v>-197.915301485802</v>
      </c>
      <c r="AF29" s="28" t="str">
        <v>-33.9871200134095</v>
      </c>
      <c r="AG29" s="29" t="str">
        <v>300.034698514198</v>
      </c>
    </row>
    <row r="30" spans="1:33" x14ac:dyDescent="0.25">
      <c r="C30" s="4" t="s">
        <v>5</v>
      </c>
      <c r="D30" s="1"/>
      <c r="E30" s="7">
        <f t="shared" ref="E30" si="94">(E26-D26)*100</f>
        <v>522.81999999999971</v>
      </c>
      <c r="F30" s="7">
        <f t="shared" ref="F30" si="95">(F26-E26)*100</f>
        <v>-499.30999999999983</v>
      </c>
      <c r="G30" s="7">
        <f t="shared" ref="G30" si="96">(G26-F26)*100</f>
        <v>-118.15999999999995</v>
      </c>
      <c r="H30" s="7">
        <f t="shared" ref="H30" si="97">(H26-G26)*100</f>
        <v>283.69</v>
      </c>
      <c r="I30" s="7">
        <f t="shared" ref="I30" si="98">(I26-H26)*100</f>
        <v>250.89000000000004</v>
      </c>
      <c r="J30" s="7">
        <f t="shared" ref="J30" si="99">(J26-I26)*100</f>
        <v>874.27999999999986</v>
      </c>
      <c r="K30" s="7">
        <f t="shared" ref="K30" si="100">(K26-J26)*100</f>
        <v>380.20999999999992</v>
      </c>
      <c r="L30" s="7">
        <f>(L26-K26)*100</f>
        <v>-1811.6799999999998</v>
      </c>
      <c r="M30" s="7">
        <f t="shared" ref="M30" si="101">(M26-L26)*100</f>
        <v>497.94999999999982</v>
      </c>
      <c r="N30" s="7">
        <f t="shared" ref="N30" si="102">(N26-M26)*100</f>
        <v>-295.13</v>
      </c>
      <c r="O30" s="7">
        <f t="shared" ref="O30" si="103">(O26-N26)*100</f>
        <v>-1465.77</v>
      </c>
      <c r="P30" s="7">
        <f t="shared" ref="P30" si="104">(P26-O26)*100</f>
        <v>1367.6381814723927</v>
      </c>
      <c r="Q30" s="7">
        <f t="shared" ref="Q30" si="105">(Q26-P26)*100</f>
        <v>300.03469851419771</v>
      </c>
      <c r="R30" s="7">
        <f t="shared" ref="R30" si="106">(R26-Q26)*100</f>
        <v>-41.188062986267582</v>
      </c>
      <c r="S30" s="7">
        <f t="shared" ref="S30" si="107">(S26-R26)*100</f>
        <v>-293.11662512422424</v>
      </c>
      <c r="T30" s="7">
        <f t="shared" ref="T30" si="108">(T26-S26)*100</f>
        <v>85.058884056285677</v>
      </c>
      <c r="U30" s="7">
        <f t="shared" ref="U30" si="109">(U26-T26)*100</f>
        <v>371.51157593115192</v>
      </c>
      <c r="V30" s="7">
        <f t="shared" ref="V30" si="110">(V26-U26)*100</f>
        <v>-22.971335146602812</v>
      </c>
      <c r="W30" s="7"/>
      <c r="Y30" s="24" t="str">
        <v>VVV US EQUITY</v>
      </c>
      <c r="Z30" s="24">
        <v>46295</v>
      </c>
      <c r="AA30" s="25" t="str">
        <v>canonical</v>
      </c>
      <c r="AB30" s="26" t="str">
        <v>operating_margin_gaap</v>
      </c>
      <c r="AC30" s="27" t="str">
        <v>20.2276481700032</v>
      </c>
      <c r="AD30" s="28" t="str">
        <v>160.714817000323</v>
      </c>
      <c r="AE30" s="29" t="str">
        <v>253.941937013732</v>
      </c>
      <c r="AF30" s="28" t="str">
        <v>1389.36481700032</v>
      </c>
      <c r="AG30" s="29" t="str">
        <v>-41.1880629862676</v>
      </c>
    </row>
    <row r="31" spans="1:33" x14ac:dyDescent="0.25">
      <c r="C31" s="4"/>
      <c r="D31" s="1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Y31" s="24" t="str">
        <v>VVV US EQUITY</v>
      </c>
      <c r="Z31" s="24">
        <v>46387</v>
      </c>
      <c r="AA31" s="25" t="str">
        <v>canonical</v>
      </c>
      <c r="AB31" s="26" t="str">
        <v>operating_margin_gaap</v>
      </c>
      <c r="AC31" s="27" t="str">
        <v>17.296481918761</v>
      </c>
      <c r="AD31" s="28" t="str">
        <v>1333.3681918761</v>
      </c>
      <c r="AE31" s="29" t="str">
        <v>1172.65337487578</v>
      </c>
      <c r="AF31" s="28" t="str">
        <v>4407.9981918761</v>
      </c>
      <c r="AG31" s="29" t="str">
        <v>-293.116625124224</v>
      </c>
    </row>
    <row r="32" spans="1:33" x14ac:dyDescent="0.25">
      <c r="C32" s="13" t="s">
        <v>12</v>
      </c>
      <c r="D32" s="14">
        <f t="shared" ref="D32:L32" si="111">EOMONTH(DATE(YEAR(D34),ROUNDUP(MONTH(D34)/3,0)*3,1),0)</f>
        <v>45016</v>
      </c>
      <c r="E32" s="14">
        <f t="shared" si="111"/>
        <v>45107</v>
      </c>
      <c r="F32" s="14">
        <f t="shared" si="111"/>
        <v>45199</v>
      </c>
      <c r="G32" s="14">
        <f t="shared" si="111"/>
        <v>45291</v>
      </c>
      <c r="H32" s="14">
        <f t="shared" si="111"/>
        <v>45382</v>
      </c>
      <c r="I32" s="14">
        <f t="shared" si="111"/>
        <v>45473</v>
      </c>
      <c r="J32" s="14">
        <f t="shared" si="111"/>
        <v>45565</v>
      </c>
      <c r="K32" s="14">
        <f t="shared" si="111"/>
        <v>45657</v>
      </c>
      <c r="L32" s="14">
        <f t="shared" si="111"/>
        <v>45747</v>
      </c>
      <c r="M32" s="14">
        <f>EOMONTH(DATE(YEAR(M34),ROUNDUP(MONTH(M34)/3,0)*3,1),0)</f>
        <v>45838</v>
      </c>
      <c r="N32" s="14">
        <f>EOMONTH(DATE(YEAR(N34),ROUNDUP(MONTH(N34)/3,0)*3,1),0)</f>
        <v>45930</v>
      </c>
      <c r="O32" s="14">
        <f>EOMONTH(DATE(YEAR(O34),ROUNDUP(MONTH(O34)/3,0)*3,1),0)</f>
        <v>46022</v>
      </c>
      <c r="P32" s="14">
        <f t="shared" ref="P32" si="112">EOMONTH(DATE(YEAR(P34),ROUNDUP(MONTH(P34)/3,0)*3,1),0)</f>
        <v>46112</v>
      </c>
      <c r="Q32" s="14">
        <f t="shared" ref="Q32" si="113">EOMONTH(DATE(YEAR(Q34),ROUNDUP(MONTH(Q34)/3,0)*3,1),0)</f>
        <v>46203</v>
      </c>
      <c r="R32" s="14">
        <f t="shared" ref="R32" si="114">EOMONTH(DATE(YEAR(R34),ROUNDUP(MONTH(R34)/3,0)*3,1),0)</f>
        <v>46295</v>
      </c>
      <c r="S32" s="14">
        <f t="shared" ref="S32" si="115">EOMONTH(DATE(YEAR(S34),ROUNDUP(MONTH(S34)/3,0)*3,1),0)</f>
        <v>46387</v>
      </c>
      <c r="T32" s="14">
        <f t="shared" ref="T32" si="116">EOMONTH(DATE(YEAR(T34),ROUNDUP(MONTH(T34)/3,0)*3,1),0)</f>
        <v>46477</v>
      </c>
      <c r="U32" s="14">
        <f t="shared" ref="U32" si="117">EOMONTH(DATE(YEAR(U34),ROUNDUP(MONTH(U34)/3,0)*3,1),0)</f>
        <v>46568</v>
      </c>
      <c r="V32" s="14">
        <f t="shared" ref="V32" si="118">EOMONTH(DATE(YEAR(V34),ROUNDUP(MONTH(V34)/3,0)*3,1),0)</f>
        <v>46660</v>
      </c>
      <c r="W32" s="14"/>
      <c r="Y32" s="24" t="str">
        <v>VVV US EQUITY</v>
      </c>
      <c r="Z32" s="24">
        <v>46477</v>
      </c>
      <c r="AA32" s="25" t="str">
        <v>canonical</v>
      </c>
      <c r="AB32" s="26" t="str">
        <v>operating_margin_gaap</v>
      </c>
      <c r="AC32" s="27" t="str">
        <v>18.1470707593238</v>
      </c>
      <c r="AD32" s="28" t="str">
        <v>50.7888944599916</v>
      </c>
      <c r="AE32" s="29" t="str">
        <v>-1282.57929741611</v>
      </c>
      <c r="AF32" s="28" t="str">
        <v>-53.8992870124009</v>
      </c>
      <c r="AG32" s="29" t="str">
        <v>85.0588840562857</v>
      </c>
    </row>
    <row r="33" spans="1:33" x14ac:dyDescent="0.25">
      <c r="C33" s="13"/>
      <c r="D33" s="1" t="str">
        <f t="shared" ref="D33:V33" si="119">D$6</f>
        <v>actual</v>
      </c>
      <c r="E33" s="1" t="str">
        <f t="shared" si="119"/>
        <v>actual</v>
      </c>
      <c r="F33" s="1" t="str">
        <f t="shared" si="119"/>
        <v>actual</v>
      </c>
      <c r="G33" s="1" t="str">
        <f t="shared" si="119"/>
        <v>actual</v>
      </c>
      <c r="H33" s="1" t="str">
        <f t="shared" si="119"/>
        <v>actual</v>
      </c>
      <c r="I33" s="1" t="str">
        <f t="shared" si="119"/>
        <v>actual</v>
      </c>
      <c r="J33" s="1" t="str">
        <f t="shared" si="119"/>
        <v>actual</v>
      </c>
      <c r="K33" s="1" t="str">
        <f t="shared" si="119"/>
        <v>actual</v>
      </c>
      <c r="L33" s="1" t="str">
        <f t="shared" si="119"/>
        <v>actual</v>
      </c>
      <c r="M33" s="1" t="str">
        <f t="shared" si="119"/>
        <v>actual</v>
      </c>
      <c r="N33" s="1" t="str">
        <f t="shared" si="119"/>
        <v>actual</v>
      </c>
      <c r="O33" s="1" t="str">
        <f t="shared" si="119"/>
        <v>actual</v>
      </c>
      <c r="P33" s="1" t="str">
        <f t="shared" si="119"/>
        <v>forecast</v>
      </c>
      <c r="Q33" s="1" t="str">
        <f t="shared" si="119"/>
        <v>forecast</v>
      </c>
      <c r="R33" s="1" t="str">
        <f t="shared" si="119"/>
        <v>forecast</v>
      </c>
      <c r="S33" s="1" t="str">
        <f t="shared" si="119"/>
        <v>forecast</v>
      </c>
      <c r="T33" s="1" t="str">
        <f t="shared" si="119"/>
        <v>forecast</v>
      </c>
      <c r="U33" s="1" t="str">
        <f t="shared" si="119"/>
        <v>forecast</v>
      </c>
      <c r="V33" s="1" t="str">
        <f t="shared" si="119"/>
        <v>forecast</v>
      </c>
      <c r="W33" s="14"/>
      <c r="Y33" s="24" t="str">
        <v>VVV US EQUITY</v>
      </c>
      <c r="Z33" s="24">
        <v>46568</v>
      </c>
      <c r="AA33" s="25" t="str">
        <v>canonical</v>
      </c>
      <c r="AB33" s="26" t="str">
        <v>operating_margin_gaap</v>
      </c>
      <c r="AC33" s="27" t="str">
        <v>21.8621865186354</v>
      </c>
      <c r="AD33" s="28" t="str">
        <v>122.265771876946</v>
      </c>
      <c r="AE33" s="29" t="str">
        <v>71.4768774169542</v>
      </c>
      <c r="AF33" s="28" t="str">
        <v>215.492891890355</v>
      </c>
      <c r="AG33" s="29" t="str">
        <v>371.511575931152</v>
      </c>
    </row>
    <row r="34" spans="1:33" x14ac:dyDescent="0.25">
      <c r="D34" s="2">
        <v>45016</v>
      </c>
      <c r="E34" s="2">
        <v>45107</v>
      </c>
      <c r="F34" s="2">
        <v>45199</v>
      </c>
      <c r="G34" s="2">
        <v>45291</v>
      </c>
      <c r="H34" s="2">
        <v>45382</v>
      </c>
      <c r="I34" s="2">
        <v>45473</v>
      </c>
      <c r="J34" s="2">
        <v>45565</v>
      </c>
      <c r="K34" s="2">
        <v>45657</v>
      </c>
      <c r="L34" s="2">
        <v>45747</v>
      </c>
      <c r="M34" s="2">
        <v>45838</v>
      </c>
      <c r="N34" s="2">
        <v>45930</v>
      </c>
      <c r="O34" s="2">
        <v>46022</v>
      </c>
      <c r="P34" s="2">
        <f t="shared" ref="P34:V34" si="120">+P$7</f>
        <v>46112</v>
      </c>
      <c r="Q34" s="2">
        <f t="shared" si="120"/>
        <v>46203</v>
      </c>
      <c r="R34" s="2">
        <f t="shared" si="120"/>
        <v>46295</v>
      </c>
      <c r="S34" s="2">
        <f t="shared" si="120"/>
        <v>46387</v>
      </c>
      <c r="T34" s="2">
        <f t="shared" si="120"/>
        <v>46477</v>
      </c>
      <c r="U34" s="2">
        <f t="shared" si="120"/>
        <v>46568</v>
      </c>
      <c r="V34" s="2">
        <f t="shared" si="120"/>
        <v>46660</v>
      </c>
      <c r="W34" s="2"/>
      <c r="Y34" s="24" t="str">
        <v>VVV US EQUITY</v>
      </c>
      <c r="Z34" s="24">
        <v>46660</v>
      </c>
      <c r="AA34" s="25" t="str">
        <v>canonical</v>
      </c>
      <c r="AB34" s="26" t="str">
        <v>operating_margin_gaap</v>
      </c>
      <c r="AC34" s="27" t="str">
        <v>21.6324731671693</v>
      </c>
      <c r="AD34" s="28" t="str">
        <v>140.482499716611</v>
      </c>
      <c r="AE34" s="29" t="str">
        <v>18.2167278396648</v>
      </c>
      <c r="AF34" s="28" t="str">
        <v>-20.2323172837122</v>
      </c>
      <c r="AG34" s="29" t="str">
        <v>-22.9713351466028</v>
      </c>
    </row>
    <row r="35" spans="1:33" x14ac:dyDescent="0.25">
      <c r="A35" s="16" t="s">
        <v>21</v>
      </c>
      <c r="B35" s="16" t="s">
        <v>32</v>
      </c>
      <c r="C35" s="2" t="s">
        <v>31</v>
      </c>
      <c r="D35" s="8">
        <v>0.13500000000000001</v>
      </c>
      <c r="E35" s="8">
        <v>0.125</v>
      </c>
      <c r="F35" s="8">
        <v>0.19</v>
      </c>
      <c r="G35" s="8">
        <v>7.0999999999999994E-2</v>
      </c>
      <c r="H35" s="8">
        <v>7.6999999999999999E-2</v>
      </c>
      <c r="I35" s="8">
        <v>6.5000000000000002E-2</v>
      </c>
      <c r="J35" s="8">
        <v>5.3999999999999999E-2</v>
      </c>
      <c r="K35" s="8">
        <v>0.08</v>
      </c>
      <c r="L35" s="8">
        <v>5.8000000000000003E-2</v>
      </c>
      <c r="M35" s="8">
        <v>4.9000000000000002E-2</v>
      </c>
      <c r="N35" s="8">
        <v>0.06</v>
      </c>
      <c r="O35" s="8">
        <v>5.8000000000000003E-2</v>
      </c>
      <c r="P35" s="35">
        <v>5.3503095336359878E-2</v>
      </c>
      <c r="Q35" s="35">
        <v>5.7514170040485819E-2</v>
      </c>
      <c r="R35" s="35">
        <v>5.0511867088607595E-2</v>
      </c>
      <c r="S35" s="35">
        <v>3.5506801399144965E-2</v>
      </c>
      <c r="T35" s="35">
        <v>4.0498854087089385E-2</v>
      </c>
      <c r="U35" s="35">
        <v>3.7502807937102214E-2</v>
      </c>
      <c r="V35" s="35">
        <v>4.0994869915720045E-2</v>
      </c>
      <c r="W35" s="8"/>
      <c r="Y35" s="24" t="str" cm="1">
        <f t="array" ref="Y35:AG45">_xlfn.LET(
  _xlpm.d, L32:V32,
  _xlpm.v, L35:V35,
  _xlpm.yy, L36:V36,
  _xlpm.qq, L37:V37,
  _xlpm.dyy, L38:V38,
  _xlpm.dqq, L39:V39,
  _xlpm.dd, TRANSPOSE(_xlpm.d),
  _xlpm.clean, _xlfn.LAMBDA(_xlpm.x, IF(_xlpm.x="","",_xlpm.x)),
_xlfn.HSTACK(
  _xlfn.MAKEARRAY(ROWS(_xlpm.dd),1, _xlfn.LAMBDA(_xlpm.r,_xlpm.c,$B$2)),
  _xlpm.dd,
  _xlfn.MAKEARRAY(ROWS(_xlpm.dd),1, _xlfn.LAMBDA(_xlpm.r,_xlpm.c,A35)),
  _xlfn.MAKEARRAY(ROWS(_xlpm.dd),1, _xlfn.LAMBDA(_xlpm.r,_xlpm.c,B35)),
  CLEAN(TRANSPOSE(_xlpm.v)),
  CLEAN(TRANSPOSE(_xlpm.yy)),
  CLEAN(TRANSPOSE(_xlpm.qq)),
  CLEAN(TRANSPOSE(_xlpm.dyy)),
  CLEAN(TRANSPOSE(_xlpm.dqq))
))</f>
        <v>VVV US EQUITY</v>
      </c>
      <c r="Z35" s="24">
        <v>45747</v>
      </c>
      <c r="AA35" s="25" t="str">
        <v>custom</v>
      </c>
      <c r="AB35" s="26" t="str">
        <v>sss_growth</v>
      </c>
      <c r="AC35" s="27" t="str">
        <v>0.058</v>
      </c>
      <c r="AD35" s="28" t="str">
        <v>-190</v>
      </c>
      <c r="AE35" s="29" t="str">
        <v>-280</v>
      </c>
      <c r="AF35" s="28" t="str">
        <v/>
      </c>
      <c r="AG35" s="29" t="str">
        <v>-220</v>
      </c>
    </row>
    <row r="36" spans="1:33" x14ac:dyDescent="0.25">
      <c r="C36" s="4" t="s">
        <v>4</v>
      </c>
      <c r="D36" s="5"/>
      <c r="E36" s="4"/>
      <c r="F36" s="4"/>
      <c r="G36" s="5"/>
      <c r="H36" s="4"/>
      <c r="I36" s="4"/>
      <c r="J36" s="4"/>
      <c r="K36" s="7">
        <f>(K35-G35)*10000</f>
        <v>90.000000000000085</v>
      </c>
      <c r="L36" s="7">
        <f t="shared" ref="L36:R36" si="121">(L35-H35)*10000</f>
        <v>-189.99999999999997</v>
      </c>
      <c r="M36" s="7">
        <f t="shared" si="121"/>
        <v>-160</v>
      </c>
      <c r="N36" s="7">
        <f t="shared" si="121"/>
        <v>59.999999999999986</v>
      </c>
      <c r="O36" s="7">
        <f t="shared" si="121"/>
        <v>-220</v>
      </c>
      <c r="P36" s="7">
        <f t="shared" si="121"/>
        <v>-44.969046636401252</v>
      </c>
      <c r="Q36" s="7">
        <f t="shared" si="121"/>
        <v>85.14170040485817</v>
      </c>
      <c r="R36" s="7">
        <f t="shared" si="121"/>
        <v>-94.881329113924025</v>
      </c>
      <c r="S36" s="7">
        <f t="shared" ref="S36" si="122">(S35-O35)*10000</f>
        <v>-224.93198600855038</v>
      </c>
      <c r="T36" s="7">
        <f t="shared" ref="T36" si="123">(T35-P35)*10000</f>
        <v>-130.04241249270493</v>
      </c>
      <c r="U36" s="7">
        <f t="shared" ref="U36" si="124">(U35-Q35)*10000</f>
        <v>-200.11362103383604</v>
      </c>
      <c r="V36" s="7">
        <f t="shared" ref="V36" si="125">(V35-R35)*10000</f>
        <v>-95.16997172887551</v>
      </c>
      <c r="W36" s="7"/>
      <c r="Y36" s="24" t="str">
        <v>VVV US EQUITY</v>
      </c>
      <c r="Z36" s="24">
        <v>45838</v>
      </c>
      <c r="AA36" s="25" t="str">
        <v>custom</v>
      </c>
      <c r="AB36" s="26" t="str">
        <v>sss_growth</v>
      </c>
      <c r="AC36" s="27" t="str">
        <v>0.049</v>
      </c>
      <c r="AD36" s="28" t="str">
        <v>-160</v>
      </c>
      <c r="AE36" s="29" t="str">
        <v>30</v>
      </c>
      <c r="AF36" s="28" t="str">
        <v/>
      </c>
      <c r="AG36" s="29" t="str">
        <v>-90</v>
      </c>
    </row>
    <row r="37" spans="1:33" x14ac:dyDescent="0.25">
      <c r="C37" s="4" t="s">
        <v>19</v>
      </c>
      <c r="D37" s="1"/>
      <c r="G37" s="1"/>
      <c r="L37" s="7">
        <f t="shared" ref="L37" si="126">L36-K36</f>
        <v>-280.00000000000006</v>
      </c>
      <c r="M37" s="7">
        <f t="shared" ref="M37" si="127">M36-L36</f>
        <v>29.999999999999972</v>
      </c>
      <c r="N37" s="7">
        <f t="shared" ref="N37" si="128">N36-M36</f>
        <v>220</v>
      </c>
      <c r="O37" s="7">
        <f>O36-N36</f>
        <v>-280</v>
      </c>
      <c r="P37" s="7">
        <f t="shared" ref="P37" si="129">P36-O36</f>
        <v>175.03095336359874</v>
      </c>
      <c r="Q37" s="7">
        <f t="shared" ref="Q37" si="130">Q36-P36</f>
        <v>130.11074704125943</v>
      </c>
      <c r="R37" s="7">
        <f t="shared" ref="R37" si="131">R36-Q36</f>
        <v>-180.02302951878221</v>
      </c>
      <c r="S37" s="7">
        <f t="shared" ref="S37" si="132">S36-R36</f>
        <v>-130.05065689462634</v>
      </c>
      <c r="T37" s="7">
        <f t="shared" ref="T37" si="133">T36-S36</f>
        <v>94.889573515845456</v>
      </c>
      <c r="U37" s="7">
        <f t="shared" ref="U37" si="134">U36-T36</f>
        <v>-70.071208541131114</v>
      </c>
      <c r="V37" s="7">
        <f t="shared" ref="V37" si="135">V36-U36</f>
        <v>104.94364930496053</v>
      </c>
      <c r="W37" s="7"/>
      <c r="Y37" s="24" t="str">
        <v>VVV US EQUITY</v>
      </c>
      <c r="Z37" s="24">
        <v>45930</v>
      </c>
      <c r="AA37" s="25" t="str">
        <v>custom</v>
      </c>
      <c r="AB37" s="26" t="str">
        <v>sss_growth</v>
      </c>
      <c r="AC37" s="27" t="str">
        <v>0.06</v>
      </c>
      <c r="AD37" s="28" t="str">
        <v>60</v>
      </c>
      <c r="AE37" s="29" t="str">
        <v>220</v>
      </c>
      <c r="AF37" s="28" t="str">
        <v/>
      </c>
      <c r="AG37" s="29" t="str">
        <v>110</v>
      </c>
    </row>
    <row r="38" spans="1:33" x14ac:dyDescent="0.25">
      <c r="C38" s="4" t="s">
        <v>23</v>
      </c>
      <c r="D38" s="1"/>
      <c r="E38" s="7"/>
      <c r="F38" s="7"/>
      <c r="G38" s="1"/>
      <c r="H38" s="6"/>
      <c r="I38" s="6"/>
      <c r="J38" s="6"/>
      <c r="K38" s="6"/>
      <c r="L38" s="6"/>
      <c r="M38" s="6"/>
      <c r="N38" s="6"/>
      <c r="O38" s="7">
        <f>O36-K36</f>
        <v>-310.00000000000011</v>
      </c>
      <c r="P38" s="7">
        <f t="shared" ref="P38" si="136">P36-L36</f>
        <v>145.03095336359871</v>
      </c>
      <c r="Q38" s="7">
        <f t="shared" ref="Q38" si="137">Q36-M36</f>
        <v>245.14170040485817</v>
      </c>
      <c r="R38" s="7">
        <f t="shared" ref="R38" si="138">R36-N36</f>
        <v>-154.88132911392401</v>
      </c>
      <c r="S38" s="7">
        <f t="shared" ref="S38" si="139">S36-O36</f>
        <v>-4.9319860085503819</v>
      </c>
      <c r="T38" s="7">
        <f t="shared" ref="T38" si="140">T36-P36</f>
        <v>-85.073365856303667</v>
      </c>
      <c r="U38" s="7">
        <f t="shared" ref="U38" si="141">U36-Q36</f>
        <v>-285.25532143869418</v>
      </c>
      <c r="V38" s="7">
        <f t="shared" ref="V38" si="142">V36-R36</f>
        <v>-0.28864261495148469</v>
      </c>
      <c r="W38" s="7"/>
      <c r="Y38" s="24" t="str">
        <v>VVV US EQUITY</v>
      </c>
      <c r="Z38" s="24">
        <v>46022</v>
      </c>
      <c r="AA38" s="25" t="str">
        <v>custom</v>
      </c>
      <c r="AB38" s="26" t="str">
        <v>sss_growth</v>
      </c>
      <c r="AC38" s="27" t="str">
        <v>0.058</v>
      </c>
      <c r="AD38" s="28" t="str">
        <v>-220</v>
      </c>
      <c r="AE38" s="29" t="str">
        <v>-280</v>
      </c>
      <c r="AF38" s="28" t="str">
        <v>-310</v>
      </c>
      <c r="AG38" s="29" t="str">
        <v>-19.9999999999999</v>
      </c>
    </row>
    <row r="39" spans="1:33" x14ac:dyDescent="0.25">
      <c r="C39" s="4" t="s">
        <v>5</v>
      </c>
      <c r="D39" s="1"/>
      <c r="G39" s="1"/>
      <c r="H39" s="7">
        <f>(H35-G35)*10000</f>
        <v>60.000000000000057</v>
      </c>
      <c r="I39" s="7">
        <f t="shared" ref="I39:R39" si="143">(I35-H35)*10000</f>
        <v>-119.99999999999997</v>
      </c>
      <c r="J39" s="7">
        <f t="shared" si="143"/>
        <v>-110.00000000000003</v>
      </c>
      <c r="K39" s="7">
        <f t="shared" si="143"/>
        <v>260</v>
      </c>
      <c r="L39" s="7">
        <f t="shared" si="143"/>
        <v>-220</v>
      </c>
      <c r="M39" s="7">
        <f t="shared" si="143"/>
        <v>-90.000000000000014</v>
      </c>
      <c r="N39" s="7">
        <f t="shared" si="143"/>
        <v>109.99999999999996</v>
      </c>
      <c r="O39" s="7">
        <f t="shared" si="143"/>
        <v>-19.999999999999947</v>
      </c>
      <c r="P39" s="7">
        <f t="shared" si="143"/>
        <v>-44.969046636401252</v>
      </c>
      <c r="Q39" s="7">
        <f t="shared" si="143"/>
        <v>40.110747041259415</v>
      </c>
      <c r="R39" s="7">
        <f t="shared" si="143"/>
        <v>-70.023029518782238</v>
      </c>
      <c r="S39" s="7">
        <f t="shared" ref="S39:V39" si="144">(S35-R35)*10000</f>
        <v>-150.05065689462631</v>
      </c>
      <c r="T39" s="7">
        <f t="shared" si="144"/>
        <v>49.920526879444203</v>
      </c>
      <c r="U39" s="7">
        <f t="shared" si="144"/>
        <v>-29.960461499871709</v>
      </c>
      <c r="V39" s="7">
        <f t="shared" si="144"/>
        <v>34.9206197861783</v>
      </c>
      <c r="W39" s="7"/>
      <c r="Y39" s="24" t="str">
        <v>VVV US EQUITY</v>
      </c>
      <c r="Z39" s="24">
        <v>46112</v>
      </c>
      <c r="AA39" s="25" t="str">
        <v>custom</v>
      </c>
      <c r="AB39" s="26" t="str">
        <v>sss_growth</v>
      </c>
      <c r="AC39" s="27" t="str">
        <v>0.0535030953363599</v>
      </c>
      <c r="AD39" s="28" t="str">
        <v>-44.9690466364013</v>
      </c>
      <c r="AE39" s="29" t="str">
        <v>175.030953363599</v>
      </c>
      <c r="AF39" s="28" t="str">
        <v>145.030953363599</v>
      </c>
      <c r="AG39" s="29" t="str">
        <v>-44.9690466364013</v>
      </c>
    </row>
    <row r="40" spans="1:33" x14ac:dyDescent="0.25">
      <c r="C40" s="4"/>
      <c r="D40" s="1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Y40" s="24" t="str">
        <v>VVV US EQUITY</v>
      </c>
      <c r="Z40" s="24">
        <v>46203</v>
      </c>
      <c r="AA40" s="25" t="str">
        <v>custom</v>
      </c>
      <c r="AB40" s="26" t="str">
        <v>sss_growth</v>
      </c>
      <c r="AC40" s="27" t="str">
        <v>0.0575141700404858</v>
      </c>
      <c r="AD40" s="28" t="str">
        <v>85.1417004048582</v>
      </c>
      <c r="AE40" s="29" t="str">
        <v>130.110747041259</v>
      </c>
      <c r="AF40" s="28" t="str">
        <v>245.141700404858</v>
      </c>
      <c r="AG40" s="29" t="str">
        <v>40.1107470412594</v>
      </c>
    </row>
    <row r="41" spans="1:33" x14ac:dyDescent="0.25">
      <c r="C41" s="13" t="s">
        <v>12</v>
      </c>
      <c r="D41" s="14">
        <f t="shared" ref="D41:L41" si="145">EOMONTH(DATE(YEAR(D43),ROUNDUP(MONTH(D43)/3,0)*3,1),0)</f>
        <v>45016</v>
      </c>
      <c r="E41" s="14">
        <f t="shared" si="145"/>
        <v>45107</v>
      </c>
      <c r="F41" s="14">
        <f t="shared" si="145"/>
        <v>45199</v>
      </c>
      <c r="G41" s="14">
        <f t="shared" si="145"/>
        <v>45291</v>
      </c>
      <c r="H41" s="14">
        <f t="shared" si="145"/>
        <v>45382</v>
      </c>
      <c r="I41" s="14">
        <f t="shared" si="145"/>
        <v>45473</v>
      </c>
      <c r="J41" s="14">
        <f t="shared" si="145"/>
        <v>45565</v>
      </c>
      <c r="K41" s="14">
        <f t="shared" si="145"/>
        <v>45657</v>
      </c>
      <c r="L41" s="14">
        <f t="shared" si="145"/>
        <v>45747</v>
      </c>
      <c r="M41" s="14">
        <f>EOMONTH(DATE(YEAR(M43),ROUNDUP(MONTH(M43)/3,0)*3,1),0)</f>
        <v>45838</v>
      </c>
      <c r="N41" s="14">
        <f>EOMONTH(DATE(YEAR(N43),ROUNDUP(MONTH(N43)/3,0)*3,1),0)</f>
        <v>45930</v>
      </c>
      <c r="O41" s="14">
        <f>EOMONTH(DATE(YEAR(O43),ROUNDUP(MONTH(O43)/3,0)*3,1),0)</f>
        <v>46022</v>
      </c>
      <c r="P41" s="14">
        <f t="shared" ref="P41:V41" si="146">EOMONTH(DATE(YEAR(P43),ROUNDUP(MONTH(P43)/3,0)*3,1),0)</f>
        <v>46112</v>
      </c>
      <c r="Q41" s="14">
        <f t="shared" si="146"/>
        <v>46203</v>
      </c>
      <c r="R41" s="14">
        <f t="shared" si="146"/>
        <v>46295</v>
      </c>
      <c r="S41" s="14">
        <f t="shared" si="146"/>
        <v>46387</v>
      </c>
      <c r="T41" s="14">
        <f t="shared" si="146"/>
        <v>46477</v>
      </c>
      <c r="U41" s="14">
        <f t="shared" si="146"/>
        <v>46568</v>
      </c>
      <c r="V41" s="14">
        <f t="shared" si="146"/>
        <v>46660</v>
      </c>
      <c r="W41" s="7"/>
      <c r="Y41" s="24" t="str">
        <v>VVV US EQUITY</v>
      </c>
      <c r="Z41" s="24">
        <v>46295</v>
      </c>
      <c r="AA41" s="25" t="str">
        <v>custom</v>
      </c>
      <c r="AB41" s="26" t="str">
        <v>sss_growth</v>
      </c>
      <c r="AC41" s="27" t="str">
        <v>0.0505118670886076</v>
      </c>
      <c r="AD41" s="28" t="str">
        <v>-94.881329113924</v>
      </c>
      <c r="AE41" s="29" t="str">
        <v>-180.023029518782</v>
      </c>
      <c r="AF41" s="28" t="str">
        <v>-154.881329113924</v>
      </c>
      <c r="AG41" s="29" t="str">
        <v>-70.0230295187822</v>
      </c>
    </row>
    <row r="42" spans="1:33" x14ac:dyDescent="0.25">
      <c r="C42" s="13"/>
      <c r="D42" s="1" t="str">
        <f t="shared" ref="D42:V42" si="147">D$6</f>
        <v>actual</v>
      </c>
      <c r="E42" s="1" t="str">
        <f t="shared" si="147"/>
        <v>actual</v>
      </c>
      <c r="F42" s="1" t="str">
        <f t="shared" si="147"/>
        <v>actual</v>
      </c>
      <c r="G42" s="1" t="str">
        <f t="shared" si="147"/>
        <v>actual</v>
      </c>
      <c r="H42" s="1" t="str">
        <f t="shared" si="147"/>
        <v>actual</v>
      </c>
      <c r="I42" s="1" t="str">
        <f t="shared" si="147"/>
        <v>actual</v>
      </c>
      <c r="J42" s="1" t="str">
        <f t="shared" si="147"/>
        <v>actual</v>
      </c>
      <c r="K42" s="1" t="str">
        <f t="shared" si="147"/>
        <v>actual</v>
      </c>
      <c r="L42" s="1" t="str">
        <f t="shared" si="147"/>
        <v>actual</v>
      </c>
      <c r="M42" s="1" t="str">
        <f t="shared" si="147"/>
        <v>actual</v>
      </c>
      <c r="N42" s="1" t="str">
        <f t="shared" si="147"/>
        <v>actual</v>
      </c>
      <c r="O42" s="1" t="str">
        <f t="shared" si="147"/>
        <v>actual</v>
      </c>
      <c r="P42" s="1" t="str">
        <f t="shared" si="147"/>
        <v>forecast</v>
      </c>
      <c r="Q42" s="1" t="str">
        <f t="shared" si="147"/>
        <v>forecast</v>
      </c>
      <c r="R42" s="1" t="str">
        <f t="shared" si="147"/>
        <v>forecast</v>
      </c>
      <c r="S42" s="1" t="str">
        <f t="shared" si="147"/>
        <v>forecast</v>
      </c>
      <c r="T42" s="1" t="str">
        <f t="shared" si="147"/>
        <v>forecast</v>
      </c>
      <c r="U42" s="1" t="str">
        <f t="shared" si="147"/>
        <v>forecast</v>
      </c>
      <c r="V42" s="1" t="str">
        <f t="shared" si="147"/>
        <v>forecast</v>
      </c>
      <c r="W42" s="14"/>
      <c r="Y42" s="24" t="str">
        <v>VVV US EQUITY</v>
      </c>
      <c r="Z42" s="24">
        <v>46387</v>
      </c>
      <c r="AA42" s="25" t="str">
        <v>custom</v>
      </c>
      <c r="AB42" s="26" t="str">
        <v>sss_growth</v>
      </c>
      <c r="AC42" s="27" t="str">
        <v>0.035506801399145</v>
      </c>
      <c r="AD42" s="28" t="str">
        <v>-224.93198600855</v>
      </c>
      <c r="AE42" s="29" t="str">
        <v>-130.050656894626</v>
      </c>
      <c r="AF42" s="28" t="str">
        <v>-4.93198600855038</v>
      </c>
      <c r="AG42" s="29" t="str">
        <v>-150.050656894626</v>
      </c>
    </row>
    <row r="43" spans="1:33" x14ac:dyDescent="0.25">
      <c r="D43" s="2">
        <v>45016</v>
      </c>
      <c r="E43" s="2">
        <v>45107</v>
      </c>
      <c r="F43" s="2">
        <v>45199</v>
      </c>
      <c r="G43" s="2">
        <v>45291</v>
      </c>
      <c r="H43" s="2">
        <v>45382</v>
      </c>
      <c r="I43" s="2">
        <v>45473</v>
      </c>
      <c r="J43" s="2">
        <v>45565</v>
      </c>
      <c r="K43" s="2">
        <v>45657</v>
      </c>
      <c r="L43" s="2">
        <v>45747</v>
      </c>
      <c r="M43" s="2">
        <v>45838</v>
      </c>
      <c r="N43" s="2">
        <v>45930</v>
      </c>
      <c r="O43" s="2">
        <v>46022</v>
      </c>
      <c r="P43" s="2">
        <f t="shared" ref="P43:V43" si="148">+P$7</f>
        <v>46112</v>
      </c>
      <c r="Q43" s="2">
        <f t="shared" si="148"/>
        <v>46203</v>
      </c>
      <c r="R43" s="2">
        <f t="shared" si="148"/>
        <v>46295</v>
      </c>
      <c r="S43" s="2">
        <f t="shared" si="148"/>
        <v>46387</v>
      </c>
      <c r="T43" s="2">
        <f t="shared" si="148"/>
        <v>46477</v>
      </c>
      <c r="U43" s="2">
        <f t="shared" si="148"/>
        <v>46568</v>
      </c>
      <c r="V43" s="2">
        <f t="shared" si="148"/>
        <v>46660</v>
      </c>
      <c r="W43" s="2"/>
      <c r="Y43" s="24" t="str">
        <v>VVV US EQUITY</v>
      </c>
      <c r="Z43" s="24">
        <v>46477</v>
      </c>
      <c r="AA43" s="25" t="str">
        <v>custom</v>
      </c>
      <c r="AB43" s="26" t="str">
        <v>sss_growth</v>
      </c>
      <c r="AC43" s="27" t="str">
        <v>0.0404988540870894</v>
      </c>
      <c r="AD43" s="28" t="str">
        <v>-130.042412492705</v>
      </c>
      <c r="AE43" s="29" t="str">
        <v>94.8895735158455</v>
      </c>
      <c r="AF43" s="28" t="str">
        <v>-85.0733658563037</v>
      </c>
      <c r="AG43" s="29" t="str">
        <v>49.9205268794442</v>
      </c>
    </row>
    <row r="44" spans="1:33" x14ac:dyDescent="0.25">
      <c r="A44" s="16" t="s">
        <v>21</v>
      </c>
      <c r="B44" s="16" t="s">
        <v>46</v>
      </c>
      <c r="C44" s="2" t="s">
        <v>47</v>
      </c>
      <c r="D44" s="36">
        <v>1781</v>
      </c>
      <c r="E44" s="36">
        <v>1804</v>
      </c>
      <c r="F44" s="36">
        <v>1852</v>
      </c>
      <c r="G44" s="36">
        <v>1890</v>
      </c>
      <c r="H44" s="36">
        <v>1928</v>
      </c>
      <c r="I44" s="36">
        <v>1961</v>
      </c>
      <c r="J44" s="36">
        <v>2010</v>
      </c>
      <c r="K44" s="36">
        <v>2045</v>
      </c>
      <c r="L44" s="36">
        <v>2078</v>
      </c>
      <c r="M44" s="36">
        <v>2124</v>
      </c>
      <c r="N44" s="36">
        <v>2180</v>
      </c>
      <c r="O44" s="36">
        <v>2380</v>
      </c>
      <c r="P44" s="36">
        <v>2423</v>
      </c>
      <c r="Q44" s="36">
        <v>2470</v>
      </c>
      <c r="R44" s="36">
        <v>2528</v>
      </c>
      <c r="S44" s="36">
        <v>2573</v>
      </c>
      <c r="T44" s="36">
        <v>2618</v>
      </c>
      <c r="U44" s="36">
        <v>2671</v>
      </c>
      <c r="V44" s="36">
        <v>2729</v>
      </c>
      <c r="W44" s="10"/>
      <c r="Y44" s="24" t="str">
        <v>VVV US EQUITY</v>
      </c>
      <c r="Z44" s="24">
        <v>46568</v>
      </c>
      <c r="AA44" s="25" t="str">
        <v>custom</v>
      </c>
      <c r="AB44" s="26" t="str">
        <v>sss_growth</v>
      </c>
      <c r="AC44" s="27" t="str">
        <v>0.0375028079371022</v>
      </c>
      <c r="AD44" s="28" t="str">
        <v>-200.113621033836</v>
      </c>
      <c r="AE44" s="29" t="str">
        <v>-70.0712085411311</v>
      </c>
      <c r="AF44" s="28" t="str">
        <v>-285.255321438694</v>
      </c>
      <c r="AG44" s="29" t="str">
        <v>-29.9604614998717</v>
      </c>
    </row>
    <row r="45" spans="1:33" x14ac:dyDescent="0.25">
      <c r="C45" s="4" t="s">
        <v>4</v>
      </c>
      <c r="D45" s="5"/>
      <c r="E45" s="4"/>
      <c r="F45" s="4"/>
      <c r="G45" s="12"/>
      <c r="H45" s="12">
        <f t="shared" ref="H45" si="149">+H44/D44-1</f>
        <v>8.2537900056148139E-2</v>
      </c>
      <c r="I45" s="12">
        <f t="shared" ref="I45" si="150">+I44/E44-1</f>
        <v>8.7028824833702778E-2</v>
      </c>
      <c r="J45" s="12">
        <f t="shared" ref="J45" si="151">+J44/F44-1</f>
        <v>8.5313174946004322E-2</v>
      </c>
      <c r="K45" s="12">
        <f t="shared" ref="K45" si="152">+K44/G44-1</f>
        <v>8.2010582010582089E-2</v>
      </c>
      <c r="L45" s="12">
        <f t="shared" ref="L45" si="153">+L44/H44-1</f>
        <v>7.7800829875518618E-2</v>
      </c>
      <c r="M45" s="12">
        <f t="shared" ref="M45" si="154">+M44/I44-1</f>
        <v>8.3120856705762414E-2</v>
      </c>
      <c r="N45" s="12">
        <f t="shared" ref="N45" si="155">+N44/J44-1</f>
        <v>8.4577114427860645E-2</v>
      </c>
      <c r="O45" s="12">
        <f t="shared" ref="O45" si="156">+O44/K44-1</f>
        <v>0.16381418092909539</v>
      </c>
      <c r="P45" s="12">
        <f t="shared" ref="P45" si="157">+P44/L44-1</f>
        <v>0.16602502406159769</v>
      </c>
      <c r="Q45" s="12">
        <f t="shared" ref="Q45" si="158">+Q44/M44-1</f>
        <v>0.16290018832391717</v>
      </c>
      <c r="R45" s="12">
        <f t="shared" ref="R45" si="159">+R44/N44-1</f>
        <v>0.15963302752293584</v>
      </c>
      <c r="S45" s="12">
        <f t="shared" ref="S45" si="160">+S44/O44-1</f>
        <v>8.109243697478985E-2</v>
      </c>
      <c r="T45" s="12">
        <f t="shared" ref="T45" si="161">+T44/P44-1</f>
        <v>8.0478745356995507E-2</v>
      </c>
      <c r="U45" s="12">
        <f t="shared" ref="U45" si="162">+U44/Q44-1</f>
        <v>8.1376518218623461E-2</v>
      </c>
      <c r="V45" s="12">
        <f t="shared" ref="V45" si="163">+V44/R44-1</f>
        <v>7.9509493670886E-2</v>
      </c>
      <c r="W45" s="12"/>
      <c r="Y45" s="24" t="str">
        <v>VVV US EQUITY</v>
      </c>
      <c r="Z45" s="24">
        <v>46660</v>
      </c>
      <c r="AA45" s="25" t="str">
        <v>custom</v>
      </c>
      <c r="AB45" s="26" t="str">
        <v>sss_growth</v>
      </c>
      <c r="AC45" s="27" t="str">
        <v>0.04099486991572</v>
      </c>
      <c r="AD45" s="28" t="str">
        <v>-95.1699717288755</v>
      </c>
      <c r="AE45" s="29" t="str">
        <v>104.943649304961</v>
      </c>
      <c r="AF45" s="28" t="str">
        <v>-0.288642614951485</v>
      </c>
      <c r="AG45" s="29" t="str">
        <v>34.9206197861783</v>
      </c>
    </row>
    <row r="46" spans="1:33" x14ac:dyDescent="0.25">
      <c r="C46" s="4" t="s">
        <v>19</v>
      </c>
      <c r="D46" s="1"/>
      <c r="L46" s="7">
        <f>(L45-K45)*10000</f>
        <v>-42.097521350634715</v>
      </c>
      <c r="M46" s="7">
        <f>(M45-L45)*10000</f>
        <v>53.200268302437962</v>
      </c>
      <c r="N46" s="7">
        <f>(N45-M45)*10000</f>
        <v>14.562577220982309</v>
      </c>
      <c r="O46" s="7">
        <f>(O45-N45)*10000</f>
        <v>792.37066501234744</v>
      </c>
      <c r="P46" s="7">
        <f t="shared" ref="P46" si="164">(P45-O45)*10000</f>
        <v>22.108431325023048</v>
      </c>
      <c r="Q46" s="7">
        <f t="shared" ref="Q46" si="165">(Q45-P45)*10000</f>
        <v>-31.248357376805203</v>
      </c>
      <c r="R46" s="7">
        <f t="shared" ref="R46" si="166">(R45-Q45)*10000</f>
        <v>-32.671608009813284</v>
      </c>
      <c r="S46" s="7">
        <f t="shared" ref="S46" si="167">(S45-R45)*10000</f>
        <v>-785.40590548145997</v>
      </c>
      <c r="T46" s="7">
        <f t="shared" ref="T46" si="168">(T45-S45)*10000</f>
        <v>-6.13691617794343</v>
      </c>
      <c r="U46" s="7">
        <f t="shared" ref="U46" si="169">(U45-T45)*10000</f>
        <v>8.9777286162795455</v>
      </c>
      <c r="V46" s="7">
        <f t="shared" ref="V46" si="170">(V45-U45)*10000</f>
        <v>-18.670245477374614</v>
      </c>
      <c r="W46" s="7"/>
      <c r="Y46" s="24"/>
      <c r="Z46" s="24"/>
      <c r="AA46" s="25"/>
      <c r="AB46" s="26"/>
      <c r="AC46" s="27"/>
      <c r="AD46" s="28"/>
      <c r="AE46" s="29"/>
      <c r="AF46" s="28"/>
      <c r="AG46" s="29"/>
    </row>
    <row r="47" spans="1:33" x14ac:dyDescent="0.25">
      <c r="C47" s="4" t="s">
        <v>45</v>
      </c>
      <c r="D47" s="1"/>
      <c r="E47" s="6"/>
      <c r="F47" s="6"/>
      <c r="G47" s="6"/>
      <c r="H47" s="6"/>
      <c r="I47" s="6"/>
      <c r="J47" s="6"/>
      <c r="K47" s="6"/>
      <c r="L47" s="7">
        <f>(L45-H45)*10000</f>
        <v>-47.370701806295216</v>
      </c>
      <c r="M47" s="7">
        <f>(M45-I45)*10000</f>
        <v>-39.079681279403644</v>
      </c>
      <c r="N47" s="7">
        <f>(N45-J45)*10000</f>
        <v>-7.3606051814367746</v>
      </c>
      <c r="O47" s="7">
        <f>(O45-K45)*10000</f>
        <v>818.03598918513296</v>
      </c>
      <c r="P47" s="7">
        <f t="shared" ref="P47" si="171">(P45-L45)*10000</f>
        <v>882.2419418607908</v>
      </c>
      <c r="Q47" s="7">
        <f t="shared" ref="Q47" si="172">(Q45-M45)*10000</f>
        <v>797.79331618154754</v>
      </c>
      <c r="R47" s="7">
        <f t="shared" ref="R47" si="173">(R45-N45)*10000</f>
        <v>750.55913095075198</v>
      </c>
      <c r="S47" s="7">
        <f t="shared" ref="S47" si="174">(S45-O45)*10000</f>
        <v>-827.21743954305543</v>
      </c>
      <c r="T47" s="7">
        <f t="shared" ref="T47" si="175">(T45-P45)*10000</f>
        <v>-855.46278704602184</v>
      </c>
      <c r="U47" s="7">
        <f t="shared" ref="U47" si="176">(U45-Q45)*10000</f>
        <v>-815.23670105293706</v>
      </c>
      <c r="V47" s="7">
        <f t="shared" ref="V47" si="177">(V45-R45)*10000</f>
        <v>-801.23533852049843</v>
      </c>
      <c r="W47" s="7"/>
    </row>
    <row r="48" spans="1:33" x14ac:dyDescent="0.25">
      <c r="C48" s="4" t="s">
        <v>5</v>
      </c>
      <c r="D48" s="1"/>
      <c r="L48" s="12">
        <f t="shared" ref="L48" si="178">L44/K44-1</f>
        <v>1.6136919315403508E-2</v>
      </c>
      <c r="M48" s="12">
        <f t="shared" ref="M48" si="179">M44/L44-1</f>
        <v>2.2136669874879722E-2</v>
      </c>
      <c r="N48" s="12">
        <f t="shared" ref="N48" si="180">N44/M44-1</f>
        <v>2.6365348399246757E-2</v>
      </c>
      <c r="O48" s="12">
        <f t="shared" ref="O48" si="181">O44/N44-1</f>
        <v>9.174311926605494E-2</v>
      </c>
      <c r="P48" s="12">
        <f t="shared" ref="P48" si="182">P44/O44-1</f>
        <v>1.8067226890756238E-2</v>
      </c>
      <c r="Q48" s="12">
        <f t="shared" ref="Q48" si="183">Q44/P44-1</f>
        <v>1.9397441188609088E-2</v>
      </c>
      <c r="R48" s="12">
        <f t="shared" ref="R48" si="184">R44/Q44-1</f>
        <v>2.348178137651824E-2</v>
      </c>
      <c r="S48" s="12">
        <f t="shared" ref="S48" si="185">S44/R44-1</f>
        <v>1.7800632911392444E-2</v>
      </c>
      <c r="T48" s="12">
        <f t="shared" ref="T48" si="186">T44/S44-1</f>
        <v>1.748931208705784E-2</v>
      </c>
      <c r="U48" s="12">
        <f t="shared" ref="U48" si="187">U44/T44-1</f>
        <v>2.0244461420932058E-2</v>
      </c>
      <c r="V48" s="12">
        <f t="shared" ref="V48" si="188">V44/U44-1</f>
        <v>2.1714713590415657E-2</v>
      </c>
      <c r="W48" s="12"/>
    </row>
    <row r="49" spans="1:32" x14ac:dyDescent="0.25">
      <c r="C49" s="4"/>
      <c r="D49" s="1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32" x14ac:dyDescent="0.25"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Y50" s="1"/>
      <c r="AB50" s="11"/>
      <c r="AC50" s="12"/>
      <c r="AD50" s="7"/>
      <c r="AE50" s="12"/>
      <c r="AF50" s="7"/>
    </row>
    <row r="51" spans="1:32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Y51" s="1"/>
      <c r="AB51" s="11"/>
      <c r="AC51" s="12"/>
      <c r="AD51" s="7"/>
      <c r="AE51" s="12"/>
      <c r="AF51" s="7"/>
    </row>
    <row r="52" spans="1:32" x14ac:dyDescent="0.25">
      <c r="A52" s="16"/>
      <c r="B52" s="16"/>
      <c r="C52" s="9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Y52" s="1"/>
      <c r="AB52" s="11"/>
      <c r="AC52" s="12"/>
      <c r="AD52" s="7"/>
      <c r="AE52" s="12"/>
      <c r="AF52" s="7"/>
    </row>
    <row r="53" spans="1:32" x14ac:dyDescent="0.25">
      <c r="C53" s="4"/>
      <c r="D53" s="5"/>
      <c r="E53" s="4"/>
      <c r="F53" s="4"/>
      <c r="G53" s="4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32" x14ac:dyDescent="0.25">
      <c r="C54" s="4"/>
      <c r="D54" s="1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32" x14ac:dyDescent="0.25">
      <c r="C55" s="4"/>
      <c r="D55" s="1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32" x14ac:dyDescent="0.25">
      <c r="C56" s="4"/>
      <c r="D56" s="1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32" x14ac:dyDescent="0.25">
      <c r="C57" s="4"/>
      <c r="D57" s="1"/>
      <c r="G57" s="1"/>
    </row>
    <row r="58" spans="1:32" x14ac:dyDescent="0.25"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spans="1:32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32" x14ac:dyDescent="0.25">
      <c r="A60" s="16"/>
      <c r="B60" s="16"/>
      <c r="C60" s="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32" x14ac:dyDescent="0.25">
      <c r="C61" s="4"/>
      <c r="D61" s="5"/>
      <c r="E61" s="4"/>
      <c r="F61" s="4"/>
      <c r="G61" s="4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32" x14ac:dyDescent="0.25">
      <c r="C62" s="4"/>
      <c r="D62" s="1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32" x14ac:dyDescent="0.25">
      <c r="C63" s="4"/>
      <c r="D63" s="1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32" x14ac:dyDescent="0.25">
      <c r="C64" s="4"/>
      <c r="D64" s="1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25">
      <c r="C65" s="4"/>
      <c r="D65" s="1"/>
      <c r="G65" s="1"/>
    </row>
    <row r="66" spans="1:23" x14ac:dyDescent="0.25"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5">
      <c r="A68" s="16"/>
      <c r="B68" s="16"/>
      <c r="C68" s="9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x14ac:dyDescent="0.25">
      <c r="C69" s="4"/>
      <c r="D69" s="5"/>
      <c r="E69" s="4"/>
      <c r="F69" s="4"/>
      <c r="G69" s="4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25">
      <c r="C70" s="4"/>
      <c r="D70" s="1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25">
      <c r="C71" s="4"/>
      <c r="D71" s="1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25">
      <c r="C72" s="4"/>
      <c r="D72" s="1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AZO</vt:lpstr>
      <vt:lpstr>CASY</vt:lpstr>
      <vt:lpstr>MUSA</vt:lpstr>
      <vt:lpstr>ORLY</vt:lpstr>
      <vt:lpstr>VVV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Yuuji Anderson</dc:creator>
  <cp:lastModifiedBy>Yuuji Anderson</cp:lastModifiedBy>
  <dcterms:created xsi:type="dcterms:W3CDTF">2026-02-26T16:05:26Z</dcterms:created>
  <dcterms:modified xsi:type="dcterms:W3CDTF">2026-04-09T13:48:32Z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