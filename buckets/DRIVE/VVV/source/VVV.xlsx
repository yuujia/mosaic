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YuujiAnderson\Dropbox\Kaissa Consumer\Mosaic\buckets\DRIVE\VVV\source\"/>
    </mc:Choice>
  </mc:AlternateContent>
  <xr:revisionPtr revIDLastSave="0" documentId="13_ncr:1_{7E066E98-DDD8-4397-B8D1-2FA30EFDD2B8}" xr6:coauthVersionLast="47" xr6:coauthVersionMax="47" xr10:uidLastSave="{00000000-0000-0000-0000-000000000000}"/>
  <bookViews>
    <workbookView xWindow="28680" yWindow="-120" windowWidth="29040" windowHeight="15720" firstSheet="1" activeTab="2" xr2:uid="{B8752E26-7B61-41A4-96FE-4EDE49E5A71D}"/>
  </bookViews>
  <sheets>
    <sheet name="__FDSCACHE__" sheetId="7" state="veryHidden" r:id="rId1"/>
    <sheet name="JEF DISCLAIMER" sheetId="5" r:id="rId2"/>
    <sheet name="IS" sheetId="1" r:id="rId3"/>
    <sheet name="BS" sheetId="2" r:id="rId4"/>
    <sheet name="CF" sheetId="3" r:id="rId5"/>
  </sheets>
  <definedNames>
    <definedName name="__FDS_HYPERLINK_TOGGLE_STATE__" hidden="1">"ON"</definedName>
    <definedName name="aassas" hidden="1">{"PR1","pr1",TRUE,"Sch PR-1"}</definedName>
    <definedName name="adasdasdasdasd" hidden="1">{"PR1","pr1",TRUE,"Sch PR-1"}</definedName>
    <definedName name="AS2DocOpenMode" hidden="1">"AS2DocumentEdit"</definedName>
    <definedName name="asasasasas" hidden="1">{"PR1","pr1",TRUE,"Sch PR-1"}</definedName>
    <definedName name="assasdafsda" hidden="1">{"PR1","pr1",TRUE,"Sch PR-1"}</definedName>
    <definedName name="f" hidden="1">{"PR1","pr1",TRUE,"Sch PR-1"}</definedName>
    <definedName name="fasdfs" hidden="1">{#N/A,#N/A,FALSE,"Aging Summary";#N/A,#N/A,FALSE,"Ratio Analysis";#N/A,#N/A,FALSE,"Test 120 Day Accts";#N/A,#N/A,FALSE,"Tickmarks"}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41319.4380092593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39170.5951967593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no" hidden="1">{"PR1","pr1",TRUE,"Sch PR-1"}</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s" hidden="1">{"PR1","pr1",TRUE,"Sch PR-1"}</definedName>
    <definedName name="sdsds" hidden="1">{"PR1","pr1",TRUE,"Sch PR-1"}</definedName>
    <definedName name="solver_adj" hidden="1">#REF!</definedName>
    <definedName name="solver_cvg" hidden="1">0.0001</definedName>
    <definedName name="solver_drv" hidden="1">1</definedName>
    <definedName name="solver_est" hidden="1">1</definedName>
    <definedName name="solver_itr" hidden="1">100</definedName>
    <definedName name="solver_lhs1" hidden="1">#REF!</definedName>
    <definedName name="solver_lhs10" hidden="1">#REF!</definedName>
    <definedName name="solver_lhs11" hidden="1">#REF!</definedName>
    <definedName name="solver_lhs2" hidden="1">#REF!</definedName>
    <definedName name="solver_lhs3" hidden="1">#REF!</definedName>
    <definedName name="solver_lhs4" hidden="1">#REF!</definedName>
    <definedName name="solver_lhs5" hidden="1">#REF!</definedName>
    <definedName name="solver_lhs6" hidden="1">#REF!</definedName>
    <definedName name="solver_lhs7" hidden="1">#REF!</definedName>
    <definedName name="solver_lhs8" hidden="1">#REF!</definedName>
    <definedName name="solver_lhs9" hidden="1">#REF!</definedName>
    <definedName name="solver_lin" hidden="1">2</definedName>
    <definedName name="solver_neg" hidden="1">2</definedName>
    <definedName name="solver_num" hidden="1">1</definedName>
    <definedName name="solver_nwt" hidden="1">1</definedName>
    <definedName name="solver_opt" hidden="1">#REF!</definedName>
    <definedName name="solver_pre" hidden="1">0.000001</definedName>
    <definedName name="solver_rel1" hidden="1">2</definedName>
    <definedName name="solver_rel10" hidden="1">1</definedName>
    <definedName name="solver_rel11" hidden="1">3</definedName>
    <definedName name="solver_rel2" hidden="1">2</definedName>
    <definedName name="solver_rel3" hidden="1">2</definedName>
    <definedName name="solver_rel4" hidden="1">2</definedName>
    <definedName name="solver_rel5" hidden="1">1</definedName>
    <definedName name="solver_rel6" hidden="1">3</definedName>
    <definedName name="solver_rel7" hidden="1">2</definedName>
    <definedName name="solver_rel8" hidden="1">1</definedName>
    <definedName name="solver_rel9" hidden="1">3</definedName>
    <definedName name="solver_rhs1" hidden="1">#REF!</definedName>
    <definedName name="solver_rhs10" hidden="1">#REF!</definedName>
    <definedName name="solver_rhs11" hidden="1">#REF!</definedName>
    <definedName name="solver_rhs2" hidden="1">#REF!</definedName>
    <definedName name="solver_rhs3" hidden="1">#REF!</definedName>
    <definedName name="solver_rhs4" hidden="1">#REF!</definedName>
    <definedName name="solver_rhs5" hidden="1">#REF!</definedName>
    <definedName name="solver_rhs6" hidden="1">#REF!</definedName>
    <definedName name="solver_rhs7" hidden="1">#REF!</definedName>
    <definedName name="solver_rhs8" hidden="1">#REF!</definedName>
    <definedName name="solver_rhs9" hidden="1">#REF!</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1053</definedName>
    <definedName name="sssssss" hidden="1">{"PR1","pr1",TRUE,"Sch PR-1"}</definedName>
    <definedName name="wrn.Aging._.and._.Trend._.Analysis." hidden="1">{#N/A,#N/A,FALSE,"Aging Summary";#N/A,#N/A,FALSE,"Ratio Analysis";#N/A,#N/A,FALSE,"Test 120 Day Accts";#N/A,#N/A,FALSE,"Tickmarks"}</definedName>
    <definedName name="wrn.Report_PR_1." hidden="1">{"PR1","pr1",TRUE,"Sch PR-1"}</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116" i="1" l="1"/>
  <c r="AZ116" i="1"/>
  <c r="BC113" i="1" l="1"/>
  <c r="BB113" i="1"/>
  <c r="BA113" i="1"/>
  <c r="BE113" i="1"/>
  <c r="AZ58" i="3" l="1"/>
  <c r="AZ29" i="3"/>
  <c r="AZ17" i="3"/>
  <c r="AZ15" i="3"/>
  <c r="AZ158" i="1"/>
  <c r="AZ154" i="1"/>
  <c r="AZ153" i="1"/>
  <c r="AZ151" i="1"/>
  <c r="AZ150" i="1"/>
  <c r="AZ148" i="1"/>
  <c r="AZ147" i="1"/>
  <c r="AZ140" i="1"/>
  <c r="AZ139" i="1"/>
  <c r="AZ137" i="1"/>
  <c r="AZ136" i="1"/>
  <c r="AZ134" i="1"/>
  <c r="AZ133" i="1"/>
  <c r="AZ122" i="1"/>
  <c r="AZ109" i="1"/>
  <c r="AZ90" i="1"/>
  <c r="AZ88" i="1"/>
  <c r="AZ55" i="1"/>
  <c r="AZ42" i="1"/>
  <c r="AZ135" i="1" l="1"/>
  <c r="BA81" i="2" l="1"/>
  <c r="BE56" i="1" l="1"/>
  <c r="BF113" i="1"/>
  <c r="BG113" i="1"/>
  <c r="BH113" i="1"/>
  <c r="AX56" i="3"/>
  <c r="AX57" i="3"/>
  <c r="AX58" i="3"/>
  <c r="AX37" i="3"/>
  <c r="AX33" i="3"/>
  <c r="AX31" i="3"/>
  <c r="AX30" i="3"/>
  <c r="AX29" i="3"/>
  <c r="AX25" i="3"/>
  <c r="AX24" i="3"/>
  <c r="AX23" i="3"/>
  <c r="AX21" i="3"/>
  <c r="AX19" i="3"/>
  <c r="AY33" i="3"/>
  <c r="AY25" i="3"/>
  <c r="AX16" i="3"/>
  <c r="AX15" i="3"/>
  <c r="AX13" i="3"/>
  <c r="AX11" i="3"/>
  <c r="AX10" i="3"/>
  <c r="AX9" i="3"/>
  <c r="AX8" i="3"/>
  <c r="AY15" i="3"/>
  <c r="BH83" i="2"/>
  <c r="BG83" i="2"/>
  <c r="BF83" i="2"/>
  <c r="BE83" i="2"/>
  <c r="BH82" i="2"/>
  <c r="BG82" i="2"/>
  <c r="BF82" i="2"/>
  <c r="BE82" i="2"/>
  <c r="BH81" i="2"/>
  <c r="BG81" i="2"/>
  <c r="BF81" i="2"/>
  <c r="BE81" i="2"/>
  <c r="BI7" i="2"/>
  <c r="BH7" i="2"/>
  <c r="BG7" i="2"/>
  <c r="BF7" i="2"/>
  <c r="BE7" i="2"/>
  <c r="BG52" i="3"/>
  <c r="BE52" i="3"/>
  <c r="BF52" i="3" s="1"/>
  <c r="BH52" i="3" s="1"/>
  <c r="BH46" i="3"/>
  <c r="BG46" i="3"/>
  <c r="BF46" i="3"/>
  <c r="BE46" i="3"/>
  <c r="BI37" i="3"/>
  <c r="BI35" i="3"/>
  <c r="BH34" i="3"/>
  <c r="BG34" i="3"/>
  <c r="BF34" i="3"/>
  <c r="BE34" i="3"/>
  <c r="BI33" i="3"/>
  <c r="BI32" i="3"/>
  <c r="BI31" i="3"/>
  <c r="BI30" i="3"/>
  <c r="BI29" i="3"/>
  <c r="BI34" i="3" s="1"/>
  <c r="BI27" i="3"/>
  <c r="BH26" i="3"/>
  <c r="BG26" i="3"/>
  <c r="BF26" i="3"/>
  <c r="BE26" i="3"/>
  <c r="BI25" i="3"/>
  <c r="BI24" i="3"/>
  <c r="BI23" i="3"/>
  <c r="BI22" i="3"/>
  <c r="BI21" i="3"/>
  <c r="BI26" i="3" s="1"/>
  <c r="BI19" i="3"/>
  <c r="BH17" i="3"/>
  <c r="BG17" i="3"/>
  <c r="BF17" i="3"/>
  <c r="BE17" i="3"/>
  <c r="BI15" i="3"/>
  <c r="BI14" i="3"/>
  <c r="BI13" i="3"/>
  <c r="BI12" i="3"/>
  <c r="BI11" i="3"/>
  <c r="BI10" i="3"/>
  <c r="BI5" i="3"/>
  <c r="BH5" i="3"/>
  <c r="BG5" i="3"/>
  <c r="BF5" i="3"/>
  <c r="BE5" i="3"/>
  <c r="BH154" i="1"/>
  <c r="BG154" i="1"/>
  <c r="BF154" i="1"/>
  <c r="BE154" i="1"/>
  <c r="BH153" i="1"/>
  <c r="BG153" i="1"/>
  <c r="BF153" i="1"/>
  <c r="BE153" i="1"/>
  <c r="BH151" i="1"/>
  <c r="BG151" i="1"/>
  <c r="BF151" i="1"/>
  <c r="BE151" i="1"/>
  <c r="BI127" i="1"/>
  <c r="BI126" i="1"/>
  <c r="BI125" i="1"/>
  <c r="BI124" i="1"/>
  <c r="BI123" i="1"/>
  <c r="BH122" i="1"/>
  <c r="BG122" i="1"/>
  <c r="BF122" i="1"/>
  <c r="BE122" i="1"/>
  <c r="BH121" i="1"/>
  <c r="BG121" i="1"/>
  <c r="BF121" i="1"/>
  <c r="BE121" i="1"/>
  <c r="BH120" i="1"/>
  <c r="BG120" i="1"/>
  <c r="BF120" i="1"/>
  <c r="BE120" i="1"/>
  <c r="BH119" i="1"/>
  <c r="BG119" i="1"/>
  <c r="BF119" i="1"/>
  <c r="BE119" i="1"/>
  <c r="BI109" i="1"/>
  <c r="BI108" i="1"/>
  <c r="BI107" i="1"/>
  <c r="BI106" i="1"/>
  <c r="BI105" i="1"/>
  <c r="BI104" i="1"/>
  <c r="BI103" i="1"/>
  <c r="BI102" i="1"/>
  <c r="BI101" i="1"/>
  <c r="BH100" i="1"/>
  <c r="BH110" i="1" s="1"/>
  <c r="BG100" i="1"/>
  <c r="BG110" i="1" s="1"/>
  <c r="BF100" i="1"/>
  <c r="BF110" i="1" s="1"/>
  <c r="BE100" i="1"/>
  <c r="BE110" i="1" s="1"/>
  <c r="BI97" i="1"/>
  <c r="BI93" i="1"/>
  <c r="BI92" i="1"/>
  <c r="BI90" i="1"/>
  <c r="BH56" i="1"/>
  <c r="BG56" i="1"/>
  <c r="BF56" i="1"/>
  <c r="BI49" i="1"/>
  <c r="BI48" i="1"/>
  <c r="BI47" i="1"/>
  <c r="BI46" i="1"/>
  <c r="BI42" i="1"/>
  <c r="BI41" i="1"/>
  <c r="BI40" i="1"/>
  <c r="BI39" i="1"/>
  <c r="AX147" i="1"/>
  <c r="AX148" i="1"/>
  <c r="AX150" i="1"/>
  <c r="AX151" i="1"/>
  <c r="AX153" i="1"/>
  <c r="AX154" i="1"/>
  <c r="AX158" i="1"/>
  <c r="AX133" i="1"/>
  <c r="AX134" i="1"/>
  <c r="AX136" i="1"/>
  <c r="AX137" i="1"/>
  <c r="AX139" i="1"/>
  <c r="AX140" i="1"/>
  <c r="AX90" i="1"/>
  <c r="AX88" i="1"/>
  <c r="AX135" i="1" s="1"/>
  <c r="AW56" i="3"/>
  <c r="AW57" i="3"/>
  <c r="AW58" i="3"/>
  <c r="AW37" i="3"/>
  <c r="AW33" i="3"/>
  <c r="AW31" i="3"/>
  <c r="AW30" i="3"/>
  <c r="AW29" i="3"/>
  <c r="AW25" i="3"/>
  <c r="AW24" i="3"/>
  <c r="AW23" i="3"/>
  <c r="AW21" i="3"/>
  <c r="AW19" i="3"/>
  <c r="AW16" i="3"/>
  <c r="AW15" i="3"/>
  <c r="AW10" i="3"/>
  <c r="AW8" i="3"/>
  <c r="AW46" i="2"/>
  <c r="AV56" i="3"/>
  <c r="AV57" i="3"/>
  <c r="AV58" i="3"/>
  <c r="AV37" i="3"/>
  <c r="AV33" i="3"/>
  <c r="AV31" i="3"/>
  <c r="AV30" i="3"/>
  <c r="AV29" i="3"/>
  <c r="AV25" i="3"/>
  <c r="AV24" i="3"/>
  <c r="AV23" i="3"/>
  <c r="AV21" i="3"/>
  <c r="AV15" i="3"/>
  <c r="AV19" i="3"/>
  <c r="AV16" i="3"/>
  <c r="AV10" i="3"/>
  <c r="AV8" i="3"/>
  <c r="AV46" i="2"/>
  <c r="AU46" i="2"/>
  <c r="AW133" i="1"/>
  <c r="AW134" i="1"/>
  <c r="AW136" i="1"/>
  <c r="AW137" i="1"/>
  <c r="AW139" i="1"/>
  <c r="AW140" i="1"/>
  <c r="AW147" i="1"/>
  <c r="AW148" i="1"/>
  <c r="AW150" i="1"/>
  <c r="AW151" i="1"/>
  <c r="AW153" i="1"/>
  <c r="AW154" i="1"/>
  <c r="AW158" i="1"/>
  <c r="AW90" i="1"/>
  <c r="AW88" i="1"/>
  <c r="AW135" i="1" s="1"/>
  <c r="AW60" i="1"/>
  <c r="AV147" i="1"/>
  <c r="AV148" i="1"/>
  <c r="AV150" i="1"/>
  <c r="AV151" i="1"/>
  <c r="AV153" i="1"/>
  <c r="AV154" i="1"/>
  <c r="AV158" i="1"/>
  <c r="AV133" i="1"/>
  <c r="AV134" i="1"/>
  <c r="AV136" i="1"/>
  <c r="AV137" i="1"/>
  <c r="AV139" i="1"/>
  <c r="AV140" i="1"/>
  <c r="AV90" i="1"/>
  <c r="AV88" i="1"/>
  <c r="BH118" i="1" l="1"/>
  <c r="BH84" i="2"/>
  <c r="BG118" i="1"/>
  <c r="BI17" i="3"/>
  <c r="BG84" i="2"/>
  <c r="BI46" i="3"/>
  <c r="BF84" i="2"/>
  <c r="BE84" i="2"/>
  <c r="BI110" i="1"/>
  <c r="BE58" i="2"/>
  <c r="BI120" i="1"/>
  <c r="BI121" i="1"/>
  <c r="BI122" i="1"/>
  <c r="BE118" i="1"/>
  <c r="BI119" i="1"/>
  <c r="BI100" i="1"/>
  <c r="BF118" i="1"/>
  <c r="AV135" i="1"/>
  <c r="AU136" i="1"/>
  <c r="BF58" i="2" l="1"/>
  <c r="BI118" i="1"/>
  <c r="AU58" i="3"/>
  <c r="AU15" i="3"/>
  <c r="AU17" i="3"/>
  <c r="AT45" i="2"/>
  <c r="AT44" i="2"/>
  <c r="AT43" i="2"/>
  <c r="AT42" i="2"/>
  <c r="AT41" i="2"/>
  <c r="AS46" i="2"/>
  <c r="AU154" i="1"/>
  <c r="AU153" i="1"/>
  <c r="AU151" i="1"/>
  <c r="AU150" i="1"/>
  <c r="AU148" i="1"/>
  <c r="AU147" i="1"/>
  <c r="AU140" i="1"/>
  <c r="AU139" i="1"/>
  <c r="AU137" i="1"/>
  <c r="AU134" i="1"/>
  <c r="AU133" i="1"/>
  <c r="AU90" i="1"/>
  <c r="AU88" i="1"/>
  <c r="AU60" i="1"/>
  <c r="AU135" i="1" l="1"/>
  <c r="AZ149" i="1"/>
  <c r="BH58" i="2"/>
  <c r="BG58" i="2"/>
  <c r="BI113" i="1"/>
  <c r="BI58" i="2" s="1"/>
  <c r="AV17" i="3"/>
  <c r="AW17" i="3" s="1"/>
  <c r="BD92" i="1"/>
  <c r="BI153" i="1" s="1"/>
  <c r="AY92" i="1"/>
  <c r="BA58" i="2"/>
  <c r="BC58" i="2"/>
  <c r="AZ52" i="3"/>
  <c r="BB52" i="3" s="1"/>
  <c r="BC46" i="3"/>
  <c r="BB46" i="3"/>
  <c r="BA46" i="3"/>
  <c r="AZ46" i="3"/>
  <c r="BD37" i="3"/>
  <c r="BD35" i="3"/>
  <c r="BC34" i="3"/>
  <c r="BB34" i="3"/>
  <c r="BA34" i="3"/>
  <c r="AZ34" i="3"/>
  <c r="BD33" i="3"/>
  <c r="BD32" i="3"/>
  <c r="BD31" i="3"/>
  <c r="BD30" i="3"/>
  <c r="BD29" i="3"/>
  <c r="BD27" i="3"/>
  <c r="BC26" i="3"/>
  <c r="BB26" i="3"/>
  <c r="BA26" i="3"/>
  <c r="AZ26" i="3"/>
  <c r="BD25" i="3"/>
  <c r="BD24" i="3"/>
  <c r="BD23" i="3"/>
  <c r="BD22" i="3"/>
  <c r="BD21" i="3"/>
  <c r="BD46" i="3" s="1"/>
  <c r="BD19" i="3"/>
  <c r="BC17" i="3"/>
  <c r="BB17" i="3"/>
  <c r="BA17" i="3"/>
  <c r="BD15" i="3"/>
  <c r="BD14" i="3"/>
  <c r="BD13" i="3"/>
  <c r="BD12" i="3"/>
  <c r="BD11" i="3"/>
  <c r="BD10" i="3"/>
  <c r="BD5" i="3"/>
  <c r="BC5" i="3"/>
  <c r="BB5" i="3"/>
  <c r="BA5" i="3"/>
  <c r="AZ5" i="3"/>
  <c r="BC83" i="2"/>
  <c r="BB83" i="2"/>
  <c r="BA83" i="2"/>
  <c r="BC82" i="2"/>
  <c r="BB82" i="2"/>
  <c r="BA82" i="2"/>
  <c r="BC81" i="2"/>
  <c r="BB81" i="2"/>
  <c r="BD7" i="2"/>
  <c r="BC7" i="2"/>
  <c r="BB7" i="2"/>
  <c r="BA7" i="2"/>
  <c r="AZ7" i="2"/>
  <c r="BC154" i="1"/>
  <c r="BB154" i="1"/>
  <c r="BA154" i="1"/>
  <c r="BC153" i="1"/>
  <c r="BB153" i="1"/>
  <c r="BA153" i="1"/>
  <c r="BC151" i="1"/>
  <c r="BB151" i="1"/>
  <c r="BA151" i="1"/>
  <c r="BD127" i="1"/>
  <c r="BD126" i="1"/>
  <c r="BD125" i="1"/>
  <c r="BD124" i="1"/>
  <c r="BD123" i="1"/>
  <c r="BC122" i="1"/>
  <c r="BB122" i="1"/>
  <c r="BA122" i="1"/>
  <c r="BC121" i="1"/>
  <c r="BB121" i="1"/>
  <c r="BA121" i="1"/>
  <c r="AZ121" i="1"/>
  <c r="BC120" i="1"/>
  <c r="BB120" i="1"/>
  <c r="BA120" i="1"/>
  <c r="AZ120" i="1"/>
  <c r="BC119" i="1"/>
  <c r="BB119" i="1"/>
  <c r="BA119" i="1"/>
  <c r="AZ119" i="1"/>
  <c r="BD109" i="1"/>
  <c r="BD108" i="1"/>
  <c r="BD107" i="1"/>
  <c r="BD106" i="1"/>
  <c r="BD105" i="1"/>
  <c r="BD104" i="1"/>
  <c r="BD103" i="1"/>
  <c r="BD102" i="1"/>
  <c r="BD101" i="1"/>
  <c r="BC100" i="1"/>
  <c r="BC110" i="1" s="1"/>
  <c r="BB100" i="1"/>
  <c r="BB110" i="1" s="1"/>
  <c r="BA100" i="1"/>
  <c r="BA110" i="1" s="1"/>
  <c r="AZ100" i="1"/>
  <c r="AZ110" i="1" s="1"/>
  <c r="BD97" i="1"/>
  <c r="BD93" i="1"/>
  <c r="BI154" i="1" s="1"/>
  <c r="BD90" i="1"/>
  <c r="BI151" i="1" s="1"/>
  <c r="BC56" i="1"/>
  <c r="BB56" i="1"/>
  <c r="BA56" i="1"/>
  <c r="BD49" i="1"/>
  <c r="BD48" i="1"/>
  <c r="BD47" i="1"/>
  <c r="BD46" i="1"/>
  <c r="BD42" i="1"/>
  <c r="BD41" i="1"/>
  <c r="BD40" i="1"/>
  <c r="BD39" i="1"/>
  <c r="AZ118" i="1" l="1"/>
  <c r="AX17" i="3"/>
  <c r="BA118" i="1"/>
  <c r="BB118" i="1"/>
  <c r="BD17" i="3"/>
  <c r="BC84" i="2"/>
  <c r="BD34" i="3"/>
  <c r="BB84" i="2"/>
  <c r="BA84" i="2"/>
  <c r="BD119" i="1"/>
  <c r="BD100" i="1"/>
  <c r="BC118" i="1"/>
  <c r="BD121" i="1"/>
  <c r="BD122" i="1"/>
  <c r="BB58" i="2"/>
  <c r="BD26" i="3"/>
  <c r="BA52" i="3"/>
  <c r="BC52" i="3" s="1"/>
  <c r="BD120" i="1"/>
  <c r="BD110" i="1"/>
  <c r="BD118" i="1" l="1"/>
  <c r="AS56" i="3" l="1"/>
  <c r="AS57" i="3"/>
  <c r="AS58" i="3"/>
  <c r="AS37" i="3"/>
  <c r="AS33" i="3"/>
  <c r="AS31" i="3"/>
  <c r="AS30" i="3"/>
  <c r="AS29" i="3"/>
  <c r="AS25" i="3"/>
  <c r="AS24" i="3"/>
  <c r="AS23" i="3"/>
  <c r="AS21" i="3"/>
  <c r="AS19" i="3"/>
  <c r="AS9" i="3"/>
  <c r="AS10" i="3"/>
  <c r="AS11" i="3"/>
  <c r="AS12" i="3"/>
  <c r="AS13" i="3"/>
  <c r="AS15" i="3"/>
  <c r="AS16" i="3"/>
  <c r="AS8" i="3"/>
  <c r="AT25" i="3"/>
  <c r="AT15" i="3"/>
  <c r="AS158" i="1"/>
  <c r="AS136" i="1"/>
  <c r="AR9" i="3"/>
  <c r="AS90" i="1"/>
  <c r="AS88" i="1"/>
  <c r="AX149" i="1" s="1"/>
  <c r="AR46" i="2"/>
  <c r="AR37" i="3" l="1"/>
  <c r="AR33" i="3"/>
  <c r="AR31" i="3"/>
  <c r="AR30" i="3"/>
  <c r="AR29" i="3"/>
  <c r="AR25" i="3"/>
  <c r="AR23" i="3"/>
  <c r="AR21" i="3"/>
  <c r="AR19" i="3"/>
  <c r="AR15" i="3"/>
  <c r="AR16" i="3"/>
  <c r="AR10" i="3"/>
  <c r="AR67" i="1"/>
  <c r="AR158" i="1"/>
  <c r="AR136" i="1"/>
  <c r="AR100" i="1"/>
  <c r="AR90" i="1"/>
  <c r="AR88" i="1"/>
  <c r="AW149" i="1" s="1"/>
  <c r="AP46" i="2"/>
  <c r="AQ46" i="2"/>
  <c r="AQ30" i="3"/>
  <c r="AQ25" i="3" l="1"/>
  <c r="AQ21" i="3"/>
  <c r="AQ37" i="3"/>
  <c r="AQ35" i="3"/>
  <c r="AQ33" i="3"/>
  <c r="AQ31" i="3"/>
  <c r="AQ29" i="3"/>
  <c r="AQ27" i="3"/>
  <c r="AQ23" i="3"/>
  <c r="AQ19" i="3"/>
  <c r="AQ16" i="3"/>
  <c r="AQ15" i="3"/>
  <c r="AQ10" i="3"/>
  <c r="AQ9" i="3"/>
  <c r="AR58" i="3" s="1"/>
  <c r="AQ8" i="3"/>
  <c r="AR8" i="3" s="1"/>
  <c r="AQ67" i="1"/>
  <c r="AQ158" i="1"/>
  <c r="AQ136" i="1"/>
  <c r="AQ90" i="1"/>
  <c r="AQ88" i="1"/>
  <c r="AV149" i="1" s="1"/>
  <c r="AQ60" i="1"/>
  <c r="AO45" i="2"/>
  <c r="AO44" i="2"/>
  <c r="AO43" i="2"/>
  <c r="AO42" i="2"/>
  <c r="AO41" i="2"/>
  <c r="AN151" i="1"/>
  <c r="AQ58" i="3" l="1"/>
  <c r="AP58" i="3"/>
  <c r="AP25" i="3"/>
  <c r="AP14" i="2"/>
  <c r="AP67" i="1"/>
  <c r="AP158" i="1"/>
  <c r="AP136" i="1"/>
  <c r="AP90" i="1"/>
  <c r="AP88" i="1"/>
  <c r="AU149" i="1" s="1"/>
  <c r="AO16" i="3"/>
  <c r="AN46" i="2"/>
  <c r="AO46" i="2" s="1"/>
  <c r="AN67" i="1" l="1"/>
  <c r="AN24" i="3" l="1"/>
  <c r="AO25" i="3"/>
  <c r="AN12" i="3"/>
  <c r="AN13" i="3"/>
  <c r="AN14" i="3"/>
  <c r="AN31" i="2"/>
  <c r="AN14" i="2"/>
  <c r="AV52" i="3"/>
  <c r="AX52" i="3" s="1"/>
  <c r="AU52" i="3"/>
  <c r="AW52" i="3" s="1"/>
  <c r="AU7" i="2"/>
  <c r="AV7" i="2"/>
  <c r="AW7" i="2"/>
  <c r="AX7" i="2"/>
  <c r="AY7" i="2"/>
  <c r="AU5" i="3"/>
  <c r="AV5" i="3"/>
  <c r="AW5" i="3"/>
  <c r="AX5" i="3"/>
  <c r="AY5" i="3"/>
  <c r="AY46" i="3"/>
  <c r="AU26" i="3"/>
  <c r="AV26" i="3"/>
  <c r="AW26" i="3"/>
  <c r="AY27" i="3"/>
  <c r="AU34" i="3"/>
  <c r="AV34" i="3"/>
  <c r="AW34" i="3"/>
  <c r="AY35" i="3"/>
  <c r="AU46" i="3"/>
  <c r="AV46" i="3"/>
  <c r="AW46" i="3"/>
  <c r="AX46" i="3"/>
  <c r="AO113" i="1"/>
  <c r="AN158" i="1"/>
  <c r="AN136" i="1"/>
  <c r="AN90" i="1"/>
  <c r="AN88" i="1"/>
  <c r="AM46" i="2"/>
  <c r="AY39" i="1"/>
  <c r="AY40" i="1"/>
  <c r="AY41" i="1"/>
  <c r="AY42" i="1"/>
  <c r="AY46" i="1"/>
  <c r="AY47" i="1"/>
  <c r="AY48" i="1"/>
  <c r="AY49" i="1"/>
  <c r="AY90" i="1"/>
  <c r="BD151" i="1" s="1"/>
  <c r="BD153" i="1"/>
  <c r="AY93" i="1"/>
  <c r="BD154" i="1" s="1"/>
  <c r="AY97" i="1"/>
  <c r="AU100" i="1"/>
  <c r="AU110" i="1" s="1"/>
  <c r="AV100" i="1"/>
  <c r="AV110" i="1" s="1"/>
  <c r="AW100" i="1"/>
  <c r="AW110" i="1" s="1"/>
  <c r="AX100" i="1"/>
  <c r="AX110" i="1" s="1"/>
  <c r="AY101" i="1"/>
  <c r="AY102" i="1"/>
  <c r="AY103" i="1"/>
  <c r="AY104" i="1"/>
  <c r="AY105" i="1"/>
  <c r="AY106" i="1"/>
  <c r="AY107" i="1"/>
  <c r="AY108" i="1"/>
  <c r="AY109" i="1"/>
  <c r="AU119" i="1"/>
  <c r="AV119" i="1"/>
  <c r="AW119" i="1"/>
  <c r="AX119" i="1"/>
  <c r="AU120" i="1"/>
  <c r="AV120" i="1"/>
  <c r="AW120" i="1"/>
  <c r="AX120" i="1"/>
  <c r="AU121" i="1"/>
  <c r="AV121" i="1"/>
  <c r="AW121" i="1"/>
  <c r="AX121" i="1"/>
  <c r="AU122" i="1"/>
  <c r="AV122" i="1"/>
  <c r="AW122" i="1"/>
  <c r="AX122" i="1"/>
  <c r="AY123" i="1"/>
  <c r="AY124" i="1"/>
  <c r="AY125" i="1"/>
  <c r="AY126" i="1"/>
  <c r="AY127" i="1"/>
  <c r="G159" i="1"/>
  <c r="H159" i="1"/>
  <c r="I159" i="1"/>
  <c r="J159" i="1"/>
  <c r="L159" i="1"/>
  <c r="M159" i="1"/>
  <c r="N159" i="1"/>
  <c r="O159" i="1"/>
  <c r="Q159" i="1"/>
  <c r="R159" i="1"/>
  <c r="S159" i="1"/>
  <c r="T159" i="1"/>
  <c r="AT127" i="1"/>
  <c r="AO39" i="1"/>
  <c r="AM14" i="2"/>
  <c r="AM67" i="1"/>
  <c r="AM55" i="1"/>
  <c r="AM56" i="1" s="1"/>
  <c r="AM57" i="1" s="1"/>
  <c r="AL55" i="1"/>
  <c r="AL56" i="1" s="1"/>
  <c r="AR122" i="1"/>
  <c r="AS122" i="1"/>
  <c r="AQ122" i="1"/>
  <c r="AP122" i="1"/>
  <c r="AN122" i="1"/>
  <c r="AM122" i="1"/>
  <c r="AR121" i="1"/>
  <c r="AS121" i="1"/>
  <c r="AQ121" i="1"/>
  <c r="AP121" i="1"/>
  <c r="AN121" i="1"/>
  <c r="AM121" i="1"/>
  <c r="AQ120" i="1"/>
  <c r="AR120" i="1"/>
  <c r="AS120" i="1"/>
  <c r="AP120" i="1"/>
  <c r="AN120" i="1"/>
  <c r="AM120" i="1"/>
  <c r="AM158" i="1"/>
  <c r="AM136" i="1"/>
  <c r="AM90" i="1"/>
  <c r="AM88" i="1"/>
  <c r="AE49" i="1"/>
  <c r="AE48" i="1"/>
  <c r="AE47" i="1"/>
  <c r="AE46" i="1"/>
  <c r="AE42" i="1"/>
  <c r="AE41" i="1"/>
  <c r="AE40" i="1"/>
  <c r="AE39" i="1"/>
  <c r="AX118" i="1" l="1"/>
  <c r="AY100" i="1"/>
  <c r="AY122" i="1"/>
  <c r="AY120" i="1"/>
  <c r="AY121" i="1"/>
  <c r="AV118" i="1"/>
  <c r="AU118" i="1"/>
  <c r="AW118" i="1"/>
  <c r="AY110" i="1"/>
  <c r="AY119" i="1"/>
  <c r="AF77" i="1"/>
  <c r="AY118" i="1" l="1"/>
  <c r="AK55" i="1"/>
  <c r="AF55" i="1"/>
  <c r="K60" i="1"/>
  <c r="P60" i="1"/>
  <c r="U60" i="1"/>
  <c r="Z60" i="1"/>
  <c r="G70" i="2" l="1"/>
  <c r="H70" i="2"/>
  <c r="H79" i="2" s="1"/>
  <c r="H82" i="2" s="1"/>
  <c r="I70" i="2"/>
  <c r="I79" i="2" s="1"/>
  <c r="I82" i="2" s="1"/>
  <c r="J70" i="2"/>
  <c r="J79" i="2" s="1"/>
  <c r="J82" i="2" s="1"/>
  <c r="L70" i="2"/>
  <c r="M70" i="2"/>
  <c r="M79" i="2" s="1"/>
  <c r="M82" i="2" s="1"/>
  <c r="N70" i="2"/>
  <c r="N79" i="2" s="1"/>
  <c r="N82" i="2" s="1"/>
  <c r="O70" i="2"/>
  <c r="O79" i="2" s="1"/>
  <c r="O82" i="2" s="1"/>
  <c r="Q70" i="2"/>
  <c r="R70" i="2"/>
  <c r="R79" i="2" s="1"/>
  <c r="R82" i="2" s="1"/>
  <c r="S70" i="2"/>
  <c r="S79" i="2" s="1"/>
  <c r="S82" i="2" s="1"/>
  <c r="T70" i="2"/>
  <c r="T79" i="2" s="1"/>
  <c r="T82" i="2" s="1"/>
  <c r="V70" i="2"/>
  <c r="W70" i="2"/>
  <c r="W79" i="2" s="1"/>
  <c r="W82" i="2" s="1"/>
  <c r="X70" i="2"/>
  <c r="X79" i="2" s="1"/>
  <c r="X82" i="2" s="1"/>
  <c r="Y70" i="2"/>
  <c r="Y79" i="2" s="1"/>
  <c r="Y82" i="2" s="1"/>
  <c r="AA70" i="2"/>
  <c r="AB70" i="2"/>
  <c r="AB79" i="2" s="1"/>
  <c r="AB82" i="2" s="1"/>
  <c r="AC70" i="2"/>
  <c r="AC79" i="2" s="1"/>
  <c r="AC82" i="2" s="1"/>
  <c r="AD70" i="2"/>
  <c r="AD79" i="2" s="1"/>
  <c r="AD82" i="2" s="1"/>
  <c r="AF70" i="2"/>
  <c r="AG70" i="2"/>
  <c r="AG79" i="2" s="1"/>
  <c r="AG82" i="2" s="1"/>
  <c r="AH70" i="2"/>
  <c r="AH79" i="2" s="1"/>
  <c r="AH82" i="2" s="1"/>
  <c r="AI70" i="2"/>
  <c r="AI79" i="2" s="1"/>
  <c r="AI82" i="2" s="1"/>
  <c r="AK70" i="2"/>
  <c r="AL70" i="2"/>
  <c r="AL79" i="2" s="1"/>
  <c r="AL82" i="2" s="1"/>
  <c r="E80" i="2"/>
  <c r="E79" i="2"/>
  <c r="E78" i="2"/>
  <c r="G71" i="2"/>
  <c r="H71" i="2"/>
  <c r="H78" i="2" s="1"/>
  <c r="H81" i="2" s="1"/>
  <c r="I71" i="2"/>
  <c r="I78" i="2" s="1"/>
  <c r="I81" i="2" s="1"/>
  <c r="J71" i="2"/>
  <c r="J78" i="2" s="1"/>
  <c r="J81" i="2" s="1"/>
  <c r="L71" i="2"/>
  <c r="M71" i="2"/>
  <c r="M78" i="2" s="1"/>
  <c r="N71" i="2"/>
  <c r="N78" i="2" s="1"/>
  <c r="O71" i="2"/>
  <c r="O78" i="2" s="1"/>
  <c r="Q71" i="2"/>
  <c r="R71" i="2"/>
  <c r="R78" i="2" s="1"/>
  <c r="R81" i="2" s="1"/>
  <c r="S71" i="2"/>
  <c r="S78" i="2" s="1"/>
  <c r="S81" i="2" s="1"/>
  <c r="T71" i="2"/>
  <c r="T78" i="2" s="1"/>
  <c r="T81" i="2" s="1"/>
  <c r="V71" i="2"/>
  <c r="W71" i="2"/>
  <c r="W80" i="2" s="1"/>
  <c r="W83" i="2" s="1"/>
  <c r="X71" i="2"/>
  <c r="X78" i="2" s="1"/>
  <c r="X81" i="2" s="1"/>
  <c r="Y71" i="2"/>
  <c r="Y78" i="2" s="1"/>
  <c r="Y81" i="2" s="1"/>
  <c r="AA71" i="2"/>
  <c r="AB71" i="2"/>
  <c r="AB78" i="2" s="1"/>
  <c r="AB81" i="2" s="1"/>
  <c r="AC71" i="2"/>
  <c r="AC78" i="2" s="1"/>
  <c r="AC81" i="2" s="1"/>
  <c r="AD71" i="2"/>
  <c r="AD78" i="2" s="1"/>
  <c r="AD81" i="2" s="1"/>
  <c r="AF71" i="2"/>
  <c r="AG71" i="2"/>
  <c r="AG80" i="2" s="1"/>
  <c r="AG83" i="2" s="1"/>
  <c r="AH71" i="2"/>
  <c r="AH78" i="2" s="1"/>
  <c r="AH81" i="2" s="1"/>
  <c r="AI71" i="2"/>
  <c r="AI80" i="2" s="1"/>
  <c r="AI83" i="2" s="1"/>
  <c r="AK71" i="2"/>
  <c r="AL71" i="2"/>
  <c r="AL78" i="2" s="1"/>
  <c r="AL81" i="2" s="1"/>
  <c r="AO36" i="2"/>
  <c r="AT36" i="2" s="1"/>
  <c r="AY36" i="2" s="1"/>
  <c r="BA36" i="2" s="1"/>
  <c r="BB36" i="2" s="1"/>
  <c r="BC36" i="2" s="1"/>
  <c r="BD36" i="2" s="1"/>
  <c r="BE36" i="2" s="1"/>
  <c r="BF36" i="2" s="1"/>
  <c r="BG36" i="2" s="1"/>
  <c r="BH36" i="2" s="1"/>
  <c r="BI36" i="2" s="1"/>
  <c r="AO37" i="2"/>
  <c r="AT37" i="2" s="1"/>
  <c r="AY37" i="2" s="1"/>
  <c r="BA37" i="2" s="1"/>
  <c r="BB37" i="2" s="1"/>
  <c r="BC37" i="2" s="1"/>
  <c r="BD37" i="2" s="1"/>
  <c r="BE37" i="2" s="1"/>
  <c r="BF37" i="2" s="1"/>
  <c r="BG37" i="2" s="1"/>
  <c r="BH37" i="2" s="1"/>
  <c r="BI37" i="2" s="1"/>
  <c r="AO35" i="2"/>
  <c r="AT35" i="2" s="1"/>
  <c r="AY35" i="2" s="1"/>
  <c r="BA35" i="2" s="1"/>
  <c r="BB35" i="2" s="1"/>
  <c r="BC35" i="2" s="1"/>
  <c r="BD35" i="2" s="1"/>
  <c r="BE35" i="2" s="1"/>
  <c r="BF35" i="2" s="1"/>
  <c r="BG35" i="2" s="1"/>
  <c r="BH35" i="2" s="1"/>
  <c r="BI35" i="2" s="1"/>
  <c r="AO34" i="2"/>
  <c r="AM29" i="2"/>
  <c r="AN29" i="2" s="1"/>
  <c r="G69" i="2"/>
  <c r="H69" i="2"/>
  <c r="I69" i="2"/>
  <c r="J69" i="2"/>
  <c r="L69" i="2"/>
  <c r="M69" i="2"/>
  <c r="N69" i="2"/>
  <c r="O69" i="2"/>
  <c r="Q69" i="2"/>
  <c r="R69" i="2"/>
  <c r="S69" i="2"/>
  <c r="T69" i="2"/>
  <c r="R80" i="2" l="1"/>
  <c r="R83" i="2" s="1"/>
  <c r="R84" i="2" s="1"/>
  <c r="AL80" i="2"/>
  <c r="AL83" i="2" s="1"/>
  <c r="AL84" i="2" s="1"/>
  <c r="N80" i="2"/>
  <c r="N83" i="2" s="1"/>
  <c r="N84" i="2" s="1"/>
  <c r="AH80" i="2"/>
  <c r="AH83" i="2" s="1"/>
  <c r="AH84" i="2" s="1"/>
  <c r="AG78" i="2"/>
  <c r="AG81" i="2" s="1"/>
  <c r="AG84" i="2" s="1"/>
  <c r="W78" i="2"/>
  <c r="W81" i="2" s="1"/>
  <c r="W84" i="2" s="1"/>
  <c r="X80" i="2"/>
  <c r="X83" i="2" s="1"/>
  <c r="X84" i="2" s="1"/>
  <c r="M80" i="2"/>
  <c r="M83" i="2" s="1"/>
  <c r="M84" i="2" s="1"/>
  <c r="Y80" i="2"/>
  <c r="Y83" i="2" s="1"/>
  <c r="Y84" i="2" s="1"/>
  <c r="O80" i="2"/>
  <c r="O83" i="2" s="1"/>
  <c r="O84" i="2" s="1"/>
  <c r="H80" i="2"/>
  <c r="H83" i="2" s="1"/>
  <c r="H84" i="2" s="1"/>
  <c r="AC80" i="2"/>
  <c r="AC83" i="2" s="1"/>
  <c r="AC84" i="2" s="1"/>
  <c r="S80" i="2"/>
  <c r="S83" i="2" s="1"/>
  <c r="S84" i="2" s="1"/>
  <c r="I80" i="2"/>
  <c r="I83" i="2" s="1"/>
  <c r="I84" i="2" s="1"/>
  <c r="AB80" i="2"/>
  <c r="AB83" i="2" s="1"/>
  <c r="AB84" i="2" s="1"/>
  <c r="AI78" i="2"/>
  <c r="AI81" i="2" s="1"/>
  <c r="AI84" i="2" s="1"/>
  <c r="AD80" i="2"/>
  <c r="AD83" i="2" s="1"/>
  <c r="AD84" i="2" s="1"/>
  <c r="T80" i="2"/>
  <c r="T83" i="2" s="1"/>
  <c r="T84" i="2" s="1"/>
  <c r="J80" i="2"/>
  <c r="J83" i="2" s="1"/>
  <c r="J84" i="2" s="1"/>
  <c r="AT34" i="2" l="1"/>
  <c r="AY34" i="2" l="1"/>
  <c r="G58" i="2"/>
  <c r="H58" i="2"/>
  <c r="I58" i="2"/>
  <c r="J58" i="2"/>
  <c r="L58" i="2"/>
  <c r="M58" i="2"/>
  <c r="N58" i="2"/>
  <c r="O58" i="2"/>
  <c r="Q58" i="2"/>
  <c r="R58" i="2"/>
  <c r="S58" i="2"/>
  <c r="T58" i="2"/>
  <c r="V58" i="2"/>
  <c r="W58" i="2"/>
  <c r="X58" i="2"/>
  <c r="Y58" i="2"/>
  <c r="AA58" i="2"/>
  <c r="AB58" i="2"/>
  <c r="AC58" i="2"/>
  <c r="AD58" i="2"/>
  <c r="AF58" i="2"/>
  <c r="AG58" i="2"/>
  <c r="AH58" i="2"/>
  <c r="AI58" i="2"/>
  <c r="AK58" i="2"/>
  <c r="AL58" i="2"/>
  <c r="G55" i="2"/>
  <c r="H55" i="2"/>
  <c r="I55" i="2"/>
  <c r="G54" i="2"/>
  <c r="G63" i="2" s="1"/>
  <c r="H54" i="2"/>
  <c r="H63" i="2" s="1"/>
  <c r="I54" i="2"/>
  <c r="I63" i="2" s="1"/>
  <c r="BA34" i="2" l="1"/>
  <c r="I64" i="2"/>
  <c r="H64" i="2"/>
  <c r="G64" i="2"/>
  <c r="J51" i="2"/>
  <c r="L51" i="2"/>
  <c r="M51" i="2"/>
  <c r="N51" i="2"/>
  <c r="O51" i="2"/>
  <c r="Q51" i="2"/>
  <c r="R51" i="2"/>
  <c r="S51" i="2"/>
  <c r="T51" i="2"/>
  <c r="V51" i="2"/>
  <c r="W51" i="2"/>
  <c r="X51" i="2"/>
  <c r="Y51" i="2"/>
  <c r="AA51" i="2"/>
  <c r="AB51" i="2"/>
  <c r="AC51" i="2"/>
  <c r="AD51" i="2"/>
  <c r="AF51" i="2"/>
  <c r="AG51" i="2"/>
  <c r="AH51" i="2"/>
  <c r="AI51" i="2"/>
  <c r="AK51" i="2"/>
  <c r="AL51" i="2"/>
  <c r="G50" i="2"/>
  <c r="G65" i="2" s="1"/>
  <c r="H50" i="2"/>
  <c r="H65" i="2" s="1"/>
  <c r="I50" i="2"/>
  <c r="I65" i="2" s="1"/>
  <c r="J50" i="2"/>
  <c r="J65" i="2" s="1"/>
  <c r="L50" i="2"/>
  <c r="L65" i="2" s="1"/>
  <c r="M50" i="2"/>
  <c r="M65" i="2" s="1"/>
  <c r="N50" i="2"/>
  <c r="N65" i="2" s="1"/>
  <c r="O50" i="2"/>
  <c r="O65" i="2" s="1"/>
  <c r="Q50" i="2"/>
  <c r="Q65" i="2" s="1"/>
  <c r="R50" i="2"/>
  <c r="R65" i="2" s="1"/>
  <c r="S50" i="2"/>
  <c r="S65" i="2" s="1"/>
  <c r="T50" i="2"/>
  <c r="T65" i="2" s="1"/>
  <c r="V50" i="2"/>
  <c r="V65" i="2" s="1"/>
  <c r="W50" i="2"/>
  <c r="W65" i="2" s="1"/>
  <c r="X50" i="2"/>
  <c r="X65" i="2" s="1"/>
  <c r="Y50" i="2"/>
  <c r="Y65" i="2" s="1"/>
  <c r="AA50" i="2"/>
  <c r="AA65" i="2" s="1"/>
  <c r="AB50" i="2"/>
  <c r="AB65" i="2" s="1"/>
  <c r="AC50" i="2"/>
  <c r="AC65" i="2" s="1"/>
  <c r="AD50" i="2"/>
  <c r="AD65" i="2" s="1"/>
  <c r="AF50" i="2"/>
  <c r="AF65" i="2" s="1"/>
  <c r="AG50" i="2"/>
  <c r="AG65" i="2" s="1"/>
  <c r="AH50" i="2"/>
  <c r="AH65" i="2" s="1"/>
  <c r="AI50" i="2"/>
  <c r="AI65" i="2" s="1"/>
  <c r="AK50" i="2"/>
  <c r="AK65" i="2" s="1"/>
  <c r="AL50" i="2"/>
  <c r="AL65" i="2" s="1"/>
  <c r="AT35" i="3"/>
  <c r="AQ34" i="3"/>
  <c r="AR34" i="3"/>
  <c r="AP34" i="3"/>
  <c r="AT27" i="3"/>
  <c r="AQ26" i="3"/>
  <c r="AR26" i="3"/>
  <c r="AP26" i="3"/>
  <c r="AP17" i="3"/>
  <c r="U118" i="1"/>
  <c r="Z127" i="1"/>
  <c r="Z126" i="1"/>
  <c r="Z125" i="1"/>
  <c r="Z124" i="1"/>
  <c r="Z123" i="1"/>
  <c r="Z122" i="1"/>
  <c r="Z121" i="1"/>
  <c r="Z120" i="1"/>
  <c r="Z119" i="1"/>
  <c r="Y118" i="1"/>
  <c r="V118" i="1"/>
  <c r="W118" i="1"/>
  <c r="X118" i="1"/>
  <c r="AA118" i="1"/>
  <c r="AB118" i="1"/>
  <c r="AC118" i="1"/>
  <c r="AD118" i="1"/>
  <c r="F126" i="1"/>
  <c r="F125" i="1"/>
  <c r="F124" i="1"/>
  <c r="F123" i="1"/>
  <c r="F122" i="1"/>
  <c r="F121" i="1"/>
  <c r="K127" i="1"/>
  <c r="K126" i="1"/>
  <c r="K125" i="1"/>
  <c r="K124" i="1"/>
  <c r="K123" i="1"/>
  <c r="K122" i="1"/>
  <c r="K121" i="1"/>
  <c r="P126" i="1"/>
  <c r="P125" i="1"/>
  <c r="P124" i="1"/>
  <c r="P123" i="1"/>
  <c r="P122" i="1"/>
  <c r="P121" i="1"/>
  <c r="AE127" i="1"/>
  <c r="AE126" i="1"/>
  <c r="AE125" i="1"/>
  <c r="AE124" i="1"/>
  <c r="AE123" i="1"/>
  <c r="AE122" i="1"/>
  <c r="AE121" i="1"/>
  <c r="AE120" i="1"/>
  <c r="AE119" i="1"/>
  <c r="AH67" i="1"/>
  <c r="AT126" i="1"/>
  <c r="AT125" i="1"/>
  <c r="AT124" i="1"/>
  <c r="AT123" i="1"/>
  <c r="AT122" i="1"/>
  <c r="AT121" i="1"/>
  <c r="AT120" i="1"/>
  <c r="AO127" i="1"/>
  <c r="AO126" i="1"/>
  <c r="AO125" i="1"/>
  <c r="AO124" i="1"/>
  <c r="AO123" i="1"/>
  <c r="AO122" i="1"/>
  <c r="AO121" i="1"/>
  <c r="AO120" i="1"/>
  <c r="AJ120" i="1"/>
  <c r="AJ121" i="1"/>
  <c r="AJ122" i="1"/>
  <c r="AJ123" i="1"/>
  <c r="AJ124" i="1"/>
  <c r="AJ125" i="1"/>
  <c r="AJ126" i="1"/>
  <c r="AJ127" i="1"/>
  <c r="AF119" i="1"/>
  <c r="AG119" i="1"/>
  <c r="AG118" i="1" s="1"/>
  <c r="AH119" i="1"/>
  <c r="AI119" i="1"/>
  <c r="AK119" i="1"/>
  <c r="AL119" i="1"/>
  <c r="AR119" i="1"/>
  <c r="AR118" i="1" s="1"/>
  <c r="AS119" i="1"/>
  <c r="AS118" i="1" s="1"/>
  <c r="AQ119" i="1"/>
  <c r="AQ118" i="1" s="1"/>
  <c r="AP119" i="1"/>
  <c r="AN119" i="1"/>
  <c r="AN118" i="1" s="1"/>
  <c r="AM119" i="1"/>
  <c r="AM118" i="1" s="1"/>
  <c r="BB34" i="2" l="1"/>
  <c r="AQ17" i="3"/>
  <c r="AR17" i="3" s="1"/>
  <c r="AI118" i="1"/>
  <c r="AK118" i="1"/>
  <c r="AF118" i="1"/>
  <c r="AL118" i="1"/>
  <c r="AT119" i="1"/>
  <c r="AH118" i="1"/>
  <c r="AP118" i="1"/>
  <c r="AT118" i="1" s="1"/>
  <c r="AO119" i="1"/>
  <c r="O52" i="2"/>
  <c r="N52" i="2"/>
  <c r="Y52" i="2"/>
  <c r="AG52" i="2"/>
  <c r="W52" i="2"/>
  <c r="M52" i="2"/>
  <c r="AH52" i="2"/>
  <c r="AF52" i="2"/>
  <c r="V52" i="2"/>
  <c r="L52" i="2"/>
  <c r="AD52" i="2"/>
  <c r="T52" i="2"/>
  <c r="J52" i="2"/>
  <c r="X52" i="2"/>
  <c r="AC52" i="2"/>
  <c r="S52" i="2"/>
  <c r="AI52" i="2"/>
  <c r="AL52" i="2"/>
  <c r="AB52" i="2"/>
  <c r="R52" i="2"/>
  <c r="AK52" i="2"/>
  <c r="AA52" i="2"/>
  <c r="Q52" i="2"/>
  <c r="K118" i="1"/>
  <c r="F118" i="1"/>
  <c r="P118" i="1"/>
  <c r="Z118" i="1"/>
  <c r="AE118" i="1"/>
  <c r="AJ119" i="1"/>
  <c r="AT109" i="1"/>
  <c r="AT108" i="1"/>
  <c r="AT107" i="1"/>
  <c r="AT106" i="1"/>
  <c r="AT105" i="1"/>
  <c r="AT104" i="1"/>
  <c r="AT103" i="1"/>
  <c r="AT102" i="1"/>
  <c r="AT101" i="1"/>
  <c r="AO109" i="1"/>
  <c r="AO101" i="1"/>
  <c r="AO102" i="1"/>
  <c r="AO103" i="1"/>
  <c r="AO104" i="1"/>
  <c r="AO105" i="1"/>
  <c r="AO106" i="1"/>
  <c r="AO107" i="1"/>
  <c r="AO108" i="1"/>
  <c r="AQ100" i="1"/>
  <c r="AQ110" i="1" s="1"/>
  <c r="AR110" i="1"/>
  <c r="AS100" i="1"/>
  <c r="AS110" i="1" s="1"/>
  <c r="AP100" i="1"/>
  <c r="AM100" i="1"/>
  <c r="AT97" i="1"/>
  <c r="AT93" i="1"/>
  <c r="AY154" i="1" s="1"/>
  <c r="AT92" i="1"/>
  <c r="AY153" i="1" s="1"/>
  <c r="AT90" i="1"/>
  <c r="AY151" i="1" s="1"/>
  <c r="AG136" i="1"/>
  <c r="AS17" i="3" l="1"/>
  <c r="BC34" i="2"/>
  <c r="AJ118" i="1"/>
  <c r="AO118" i="1"/>
  <c r="AM58" i="2"/>
  <c r="AT100" i="1"/>
  <c r="AP110" i="1"/>
  <c r="AT110" i="1" s="1"/>
  <c r="AL60" i="1"/>
  <c r="AF56" i="1"/>
  <c r="AI55" i="1"/>
  <c r="AH55" i="1"/>
  <c r="AG55" i="1"/>
  <c r="BD34" i="2" l="1"/>
  <c r="BE34" i="2" s="1"/>
  <c r="AL100" i="1"/>
  <c r="AF57" i="1"/>
  <c r="BF34" i="2" l="1"/>
  <c r="AL57" i="1"/>
  <c r="AH56" i="1"/>
  <c r="AH57" i="1" s="1"/>
  <c r="AI56" i="1"/>
  <c r="AI57" i="1" s="1"/>
  <c r="AG56" i="1"/>
  <c r="AG57" i="1" s="1"/>
  <c r="AK56" i="1"/>
  <c r="AK57" i="1" s="1"/>
  <c r="AG67" i="1"/>
  <c r="BG34" i="2" l="1"/>
  <c r="AF67" i="1"/>
  <c r="AI67" i="1"/>
  <c r="AL67" i="1"/>
  <c r="AK67" i="1"/>
  <c r="AL31" i="3"/>
  <c r="AL37" i="3"/>
  <c r="AL35" i="3"/>
  <c r="AL33" i="3"/>
  <c r="AL32" i="3"/>
  <c r="AL30" i="3"/>
  <c r="AL29" i="3"/>
  <c r="AL27" i="3"/>
  <c r="AL25" i="3"/>
  <c r="AL23" i="3"/>
  <c r="AL22" i="3"/>
  <c r="AL21" i="3"/>
  <c r="AL19" i="3"/>
  <c r="AL17" i="3"/>
  <c r="AL16" i="3"/>
  <c r="AL15" i="3"/>
  <c r="AL11" i="3"/>
  <c r="AL10" i="3"/>
  <c r="AL9" i="3"/>
  <c r="AL8" i="3"/>
  <c r="AG37" i="3"/>
  <c r="AG35" i="3"/>
  <c r="AG33" i="3"/>
  <c r="AG32" i="3"/>
  <c r="AG31" i="3"/>
  <c r="AG27" i="3"/>
  <c r="AG22" i="3"/>
  <c r="AG25" i="3"/>
  <c r="AG23" i="3"/>
  <c r="AG21" i="3"/>
  <c r="AG19" i="3"/>
  <c r="AG17" i="3"/>
  <c r="AG15" i="3"/>
  <c r="AG11" i="3"/>
  <c r="AG10" i="3"/>
  <c r="AG9" i="3"/>
  <c r="AI9" i="3" s="1"/>
  <c r="G5" i="3"/>
  <c r="H5" i="3"/>
  <c r="I5" i="3"/>
  <c r="J5" i="3"/>
  <c r="K5" i="3"/>
  <c r="L5" i="3"/>
  <c r="M5" i="3"/>
  <c r="N5" i="3"/>
  <c r="O5" i="3"/>
  <c r="P5" i="3"/>
  <c r="Q5" i="3"/>
  <c r="R5" i="3"/>
  <c r="S5" i="3"/>
  <c r="T5" i="3"/>
  <c r="U5" i="3"/>
  <c r="V5" i="3"/>
  <c r="W5" i="3"/>
  <c r="X5" i="3"/>
  <c r="Y5" i="3"/>
  <c r="Z5" i="3"/>
  <c r="AA5" i="3"/>
  <c r="AB5" i="3"/>
  <c r="AC5" i="3"/>
  <c r="AD5" i="3"/>
  <c r="AE5" i="3"/>
  <c r="AF5" i="3"/>
  <c r="AG5" i="3"/>
  <c r="AH5" i="3"/>
  <c r="AI5" i="3"/>
  <c r="AJ5" i="3"/>
  <c r="AK5" i="3"/>
  <c r="AL5" i="3"/>
  <c r="AM5" i="3"/>
  <c r="AN5" i="3"/>
  <c r="AO5" i="3"/>
  <c r="AP5" i="3"/>
  <c r="AQ5" i="3"/>
  <c r="AR5" i="3"/>
  <c r="AS5" i="3"/>
  <c r="AT5" i="3"/>
  <c r="F5" i="3"/>
  <c r="C5" i="3"/>
  <c r="D5" i="3"/>
  <c r="E5" i="3"/>
  <c r="B5" i="3"/>
  <c r="AG8" i="3"/>
  <c r="AF26" i="3"/>
  <c r="AF16" i="3"/>
  <c r="AG16" i="3" s="1"/>
  <c r="AL46" i="2"/>
  <c r="AL54" i="2" s="1"/>
  <c r="AL63" i="2" s="1"/>
  <c r="BH34" i="2" l="1"/>
  <c r="AM27" i="3"/>
  <c r="AM8" i="3"/>
  <c r="AN8" i="3" s="1"/>
  <c r="AM21" i="3"/>
  <c r="AM33" i="3"/>
  <c r="AN33" i="3" s="1"/>
  <c r="AM15" i="3"/>
  <c r="AN15" i="3"/>
  <c r="AM9" i="3"/>
  <c r="AM58" i="3" s="1"/>
  <c r="AM22" i="3"/>
  <c r="AN22" i="3" s="1"/>
  <c r="AM35" i="3"/>
  <c r="AN35" i="3" s="1"/>
  <c r="AM10" i="3"/>
  <c r="AN10" i="3" s="1"/>
  <c r="AM23" i="3"/>
  <c r="AN23" i="3" s="1"/>
  <c r="AM37" i="3"/>
  <c r="AN37" i="3" s="1"/>
  <c r="AM11" i="3"/>
  <c r="AN11" i="3" s="1"/>
  <c r="AM25" i="3"/>
  <c r="AN25" i="3" s="1"/>
  <c r="AM31" i="3"/>
  <c r="AN31" i="3"/>
  <c r="AM16" i="3"/>
  <c r="AN16" i="3" s="1"/>
  <c r="AM17" i="3"/>
  <c r="AN17" i="3" s="1"/>
  <c r="AM30" i="3"/>
  <c r="AN30" i="3"/>
  <c r="AM29" i="3"/>
  <c r="AN29" i="3" s="1"/>
  <c r="AM19" i="3"/>
  <c r="AN19" i="3"/>
  <c r="AM32" i="3"/>
  <c r="AN32" i="3" s="1"/>
  <c r="AL34" i="3"/>
  <c r="AO34" i="3"/>
  <c r="AJ67" i="1"/>
  <c r="AG18" i="3"/>
  <c r="AL26" i="3"/>
  <c r="AO26" i="3"/>
  <c r="AL18" i="3"/>
  <c r="AL55" i="2"/>
  <c r="AL64" i="2" s="1"/>
  <c r="AL53" i="2"/>
  <c r="AF18" i="3"/>
  <c r="AG90" i="1"/>
  <c r="AL90" i="1"/>
  <c r="AL88" i="1"/>
  <c r="AK60" i="1"/>
  <c r="AJ59" i="1"/>
  <c r="AE59" i="1"/>
  <c r="AE60" i="1" s="1"/>
  <c r="AG60" i="1"/>
  <c r="AH60" i="1"/>
  <c r="AI60" i="1"/>
  <c r="AF60" i="1"/>
  <c r="BI34" i="2" l="1"/>
  <c r="AM34" i="3"/>
  <c r="AN9" i="3"/>
  <c r="AN58" i="3" s="1"/>
  <c r="AN34" i="3"/>
  <c r="AM26" i="3"/>
  <c r="AN21" i="3"/>
  <c r="AN26" i="3" s="1"/>
  <c r="AN27" i="3"/>
  <c r="AL39" i="3"/>
  <c r="AL66" i="2"/>
  <c r="AL67" i="2"/>
  <c r="AL91" i="1"/>
  <c r="AL94" i="1" s="1"/>
  <c r="AJ60" i="1"/>
  <c r="AF90" i="1"/>
  <c r="AL96" i="1" l="1"/>
  <c r="AL117" i="1"/>
  <c r="AH30" i="1"/>
  <c r="AG30" i="1"/>
  <c r="AG31" i="1" s="1"/>
  <c r="AF30" i="1"/>
  <c r="AF31" i="1" s="1"/>
  <c r="AH24" i="1"/>
  <c r="AG24" i="1"/>
  <c r="AF24" i="1"/>
  <c r="AD30" i="1"/>
  <c r="AD31" i="1" s="1"/>
  <c r="AC30" i="1"/>
  <c r="AD24" i="1"/>
  <c r="AB20" i="1"/>
  <c r="AB30" i="1" s="1"/>
  <c r="AA20" i="1"/>
  <c r="Z27" i="1"/>
  <c r="Z26" i="1"/>
  <c r="Z22" i="1"/>
  <c r="Z21" i="1"/>
  <c r="Y20" i="1"/>
  <c r="Y30" i="1" s="1"/>
  <c r="X20" i="1"/>
  <c r="X30" i="1" s="1"/>
  <c r="W20" i="1"/>
  <c r="W30" i="1" s="1"/>
  <c r="V20" i="1"/>
  <c r="U22" i="1"/>
  <c r="U21" i="1"/>
  <c r="U27" i="1"/>
  <c r="U26" i="1"/>
  <c r="T20" i="1"/>
  <c r="T30" i="1" s="1"/>
  <c r="S20" i="1"/>
  <c r="S30" i="1" s="1"/>
  <c r="R20" i="1"/>
  <c r="R30" i="1" s="1"/>
  <c r="Q20" i="1"/>
  <c r="Q30" i="1" s="1"/>
  <c r="P22" i="1"/>
  <c r="P21" i="1"/>
  <c r="P27" i="1"/>
  <c r="P26" i="1"/>
  <c r="O20" i="1"/>
  <c r="O30" i="1" s="1"/>
  <c r="N20" i="1"/>
  <c r="N30" i="1" s="1"/>
  <c r="M20" i="1"/>
  <c r="L20" i="1"/>
  <c r="L30" i="1" s="1"/>
  <c r="K27" i="1"/>
  <c r="K26" i="1"/>
  <c r="K21" i="1"/>
  <c r="K22" i="1"/>
  <c r="J20" i="1"/>
  <c r="J30" i="1" s="1"/>
  <c r="F20" i="1"/>
  <c r="F30" i="1" s="1"/>
  <c r="I20" i="1"/>
  <c r="H20" i="1"/>
  <c r="H30" i="1" s="1"/>
  <c r="G20" i="1"/>
  <c r="G30" i="1" s="1"/>
  <c r="E26" i="1"/>
  <c r="E20" i="1"/>
  <c r="AL128" i="1" l="1"/>
  <c r="AL98" i="1"/>
  <c r="AL68" i="2"/>
  <c r="E30" i="1"/>
  <c r="K20" i="1"/>
  <c r="AJ30" i="1"/>
  <c r="AH31" i="1"/>
  <c r="AE20" i="1"/>
  <c r="AA30" i="1"/>
  <c r="V30" i="1"/>
  <c r="Z20" i="1"/>
  <c r="U20" i="1"/>
  <c r="U30" i="1"/>
  <c r="M30" i="1"/>
  <c r="P20" i="1"/>
  <c r="I30" i="1"/>
  <c r="K30" i="1" s="1"/>
  <c r="AL130" i="1" l="1"/>
  <c r="AL69" i="2"/>
  <c r="AE30" i="1"/>
  <c r="Z30" i="1"/>
  <c r="P30" i="1"/>
  <c r="G58" i="3" l="1"/>
  <c r="L58" i="3"/>
  <c r="M58" i="3"/>
  <c r="N58" i="3"/>
  <c r="Q58" i="3"/>
  <c r="R58" i="3"/>
  <c r="S58" i="3"/>
  <c r="V58" i="3"/>
  <c r="AA58" i="3"/>
  <c r="AF58" i="3"/>
  <c r="AK58" i="3"/>
  <c r="AL58" i="3"/>
  <c r="E58" i="3"/>
  <c r="G57" i="3"/>
  <c r="L57" i="3"/>
  <c r="M57" i="3"/>
  <c r="N57" i="3"/>
  <c r="Q57" i="3"/>
  <c r="R57" i="3"/>
  <c r="S57" i="3"/>
  <c r="V57" i="3"/>
  <c r="AA57" i="3"/>
  <c r="AF57" i="3"/>
  <c r="AK57" i="3"/>
  <c r="AL57" i="3"/>
  <c r="E57" i="3"/>
  <c r="G56" i="3"/>
  <c r="L56" i="3"/>
  <c r="M56" i="3"/>
  <c r="N56" i="3"/>
  <c r="Q56" i="3"/>
  <c r="R56" i="3"/>
  <c r="S56" i="3"/>
  <c r="V56" i="3"/>
  <c r="AA56" i="3"/>
  <c r="AF56" i="3"/>
  <c r="AG56" i="3"/>
  <c r="AK56" i="3"/>
  <c r="AL56" i="3"/>
  <c r="E56" i="3"/>
  <c r="AI27" i="3"/>
  <c r="AI35" i="3"/>
  <c r="AI24" i="3"/>
  <c r="AK18" i="3"/>
  <c r="AI19" i="3"/>
  <c r="AI12" i="3"/>
  <c r="AI14" i="3"/>
  <c r="AI17" i="3"/>
  <c r="AJ16" i="3"/>
  <c r="AJ18" i="3" s="1"/>
  <c r="AH33" i="3"/>
  <c r="AI33" i="3" s="1"/>
  <c r="AH31" i="3"/>
  <c r="AI31" i="3" s="1"/>
  <c r="AH30" i="3"/>
  <c r="AI30" i="3" s="1"/>
  <c r="AH29" i="3"/>
  <c r="AI29" i="3" s="1"/>
  <c r="AH16" i="3"/>
  <c r="AH23" i="3"/>
  <c r="AI23" i="3" s="1"/>
  <c r="AH22" i="3"/>
  <c r="AI22" i="3" s="1"/>
  <c r="AH21" i="3"/>
  <c r="AH56" i="3" s="1"/>
  <c r="AH13" i="3"/>
  <c r="AI13" i="3" s="1"/>
  <c r="AH11" i="3"/>
  <c r="AI11" i="3" s="1"/>
  <c r="AH8" i="3"/>
  <c r="AH32" i="3"/>
  <c r="AJ34" i="3"/>
  <c r="AF34" i="3"/>
  <c r="AJ26" i="3"/>
  <c r="AE30" i="3"/>
  <c r="AE34" i="3" s="1"/>
  <c r="AD24" i="3"/>
  <c r="AE21" i="3"/>
  <c r="AE26" i="3" s="1"/>
  <c r="AD14" i="3"/>
  <c r="AD17" i="3"/>
  <c r="AE16" i="3"/>
  <c r="AE13" i="3"/>
  <c r="AC11" i="3"/>
  <c r="AD11" i="3" s="1"/>
  <c r="AB37" i="3"/>
  <c r="AB33" i="3"/>
  <c r="AB32" i="3"/>
  <c r="AC32" i="3" s="1"/>
  <c r="AD32" i="3" s="1"/>
  <c r="AB31" i="3"/>
  <c r="AC31" i="3" s="1"/>
  <c r="AB30" i="3"/>
  <c r="AC30" i="3" s="1"/>
  <c r="AB29" i="3"/>
  <c r="AB25" i="3"/>
  <c r="AB23" i="3"/>
  <c r="AB22" i="3"/>
  <c r="AB21" i="3"/>
  <c r="AC21" i="3" s="1"/>
  <c r="AB15" i="3"/>
  <c r="AC15" i="3" s="1"/>
  <c r="AD15" i="3" s="1"/>
  <c r="AB10" i="3"/>
  <c r="AB13" i="3"/>
  <c r="AC13" i="3" s="1"/>
  <c r="AB9" i="3"/>
  <c r="AB12" i="3"/>
  <c r="AC12" i="3" s="1"/>
  <c r="AB8" i="3"/>
  <c r="AA34" i="3"/>
  <c r="AA26" i="3"/>
  <c r="AA16" i="3"/>
  <c r="Z30" i="3"/>
  <c r="Z34" i="3" s="1"/>
  <c r="Y24" i="3"/>
  <c r="Y11" i="3"/>
  <c r="Y17" i="3"/>
  <c r="Z16" i="3"/>
  <c r="Z13" i="3"/>
  <c r="X22" i="3"/>
  <c r="Y22" i="3" s="1"/>
  <c r="W37" i="3"/>
  <c r="X37" i="3" s="1"/>
  <c r="Y37" i="3" s="1"/>
  <c r="W33" i="3"/>
  <c r="X33" i="3" s="1"/>
  <c r="W32" i="3"/>
  <c r="X32" i="3" s="1"/>
  <c r="W31" i="3"/>
  <c r="X31" i="3" s="1"/>
  <c r="W30" i="3"/>
  <c r="X30" i="3" s="1"/>
  <c r="W29" i="3"/>
  <c r="W25" i="3"/>
  <c r="X25" i="3" s="1"/>
  <c r="W23" i="3"/>
  <c r="W21" i="3"/>
  <c r="W15" i="3"/>
  <c r="W10" i="3"/>
  <c r="W13" i="3"/>
  <c r="X13" i="3" s="1"/>
  <c r="W14" i="3"/>
  <c r="X14" i="3" s="1"/>
  <c r="W12" i="3"/>
  <c r="X12" i="3" s="1"/>
  <c r="W9" i="3"/>
  <c r="W58" i="3" s="1"/>
  <c r="W8" i="3"/>
  <c r="V34" i="3"/>
  <c r="Z26" i="3"/>
  <c r="V26" i="3"/>
  <c r="V16" i="3"/>
  <c r="W16" i="3" s="1"/>
  <c r="X16" i="3" s="1"/>
  <c r="J22" i="3"/>
  <c r="K21" i="3"/>
  <c r="K26" i="3" s="1"/>
  <c r="J11" i="3"/>
  <c r="J12" i="3"/>
  <c r="J17" i="3"/>
  <c r="K15" i="3"/>
  <c r="K13" i="3"/>
  <c r="I31" i="3"/>
  <c r="J31" i="3" s="1"/>
  <c r="I24" i="3"/>
  <c r="J24" i="3" s="1"/>
  <c r="I37" i="2"/>
  <c r="I27" i="2"/>
  <c r="I51" i="2" s="1"/>
  <c r="I22" i="2"/>
  <c r="H37" i="3"/>
  <c r="I37" i="3" s="1"/>
  <c r="J37" i="3" s="1"/>
  <c r="H33" i="3"/>
  <c r="I33" i="3" s="1"/>
  <c r="H32" i="3"/>
  <c r="I32" i="3" s="1"/>
  <c r="H30" i="3"/>
  <c r="H29" i="3"/>
  <c r="I29" i="3" s="1"/>
  <c r="H25" i="3"/>
  <c r="H23" i="3"/>
  <c r="I23" i="3" s="1"/>
  <c r="J23" i="3" s="1"/>
  <c r="H21" i="3"/>
  <c r="H56" i="3" s="1"/>
  <c r="H13" i="3"/>
  <c r="I13" i="3" s="1"/>
  <c r="H16" i="3"/>
  <c r="H15" i="3"/>
  <c r="I15" i="3" s="1"/>
  <c r="H14" i="3"/>
  <c r="H10" i="3"/>
  <c r="H9" i="3"/>
  <c r="I9" i="3" s="1"/>
  <c r="H8" i="3"/>
  <c r="I8" i="3" s="1"/>
  <c r="H37" i="2"/>
  <c r="H27" i="2"/>
  <c r="H22" i="2"/>
  <c r="J32" i="2"/>
  <c r="K32" i="2" s="1"/>
  <c r="G27" i="2"/>
  <c r="J16" i="2"/>
  <c r="I16" i="2"/>
  <c r="H16" i="2"/>
  <c r="G16" i="2"/>
  <c r="K34" i="3"/>
  <c r="G34" i="3"/>
  <c r="G26" i="3"/>
  <c r="G18" i="3"/>
  <c r="F33" i="3"/>
  <c r="F34" i="3" s="1"/>
  <c r="F26" i="3"/>
  <c r="E33" i="3"/>
  <c r="E34" i="3" s="1"/>
  <c r="E26" i="3"/>
  <c r="F15" i="3"/>
  <c r="F14" i="3"/>
  <c r="E13" i="3"/>
  <c r="E14" i="3"/>
  <c r="S15" i="3"/>
  <c r="S18" i="3" s="1"/>
  <c r="U35" i="3"/>
  <c r="U27" i="3"/>
  <c r="U19" i="3"/>
  <c r="R37" i="3"/>
  <c r="T37" i="3" s="1"/>
  <c r="R30" i="3"/>
  <c r="S30" i="3" s="1"/>
  <c r="R29" i="3"/>
  <c r="S29" i="3" s="1"/>
  <c r="T29" i="3" s="1"/>
  <c r="R15" i="3"/>
  <c r="R18" i="3" s="1"/>
  <c r="Q34" i="3"/>
  <c r="U34" i="3"/>
  <c r="T31" i="3"/>
  <c r="T32" i="3"/>
  <c r="T33" i="3"/>
  <c r="Q26" i="3"/>
  <c r="R26" i="3"/>
  <c r="S26" i="3"/>
  <c r="U26" i="3"/>
  <c r="T25" i="3"/>
  <c r="T24" i="3"/>
  <c r="T23" i="3"/>
  <c r="T22" i="3"/>
  <c r="T21" i="3"/>
  <c r="T56" i="3" s="1"/>
  <c r="U18" i="3"/>
  <c r="T9" i="3"/>
  <c r="T58" i="3" s="1"/>
  <c r="T10" i="3"/>
  <c r="T11" i="3"/>
  <c r="T12" i="3"/>
  <c r="T13" i="3"/>
  <c r="T14" i="3"/>
  <c r="T16" i="3"/>
  <c r="T17" i="3"/>
  <c r="T8" i="3"/>
  <c r="Q18" i="3"/>
  <c r="G39" i="3" l="1"/>
  <c r="AE18" i="3"/>
  <c r="AD21" i="3"/>
  <c r="AD56" i="3" s="1"/>
  <c r="J15" i="3"/>
  <c r="AJ39" i="3"/>
  <c r="W34" i="3"/>
  <c r="I10" i="3"/>
  <c r="J10" i="3" s="1"/>
  <c r="Y30" i="3"/>
  <c r="E18" i="3"/>
  <c r="E39" i="3" s="1"/>
  <c r="E42" i="3" s="1"/>
  <c r="F42" i="3" s="1"/>
  <c r="K41" i="3" s="1"/>
  <c r="Z18" i="3"/>
  <c r="Z39" i="3" s="1"/>
  <c r="AB16" i="3"/>
  <c r="AB18" i="3" s="1"/>
  <c r="F18" i="3"/>
  <c r="F39" i="3" s="1"/>
  <c r="J29" i="3"/>
  <c r="W26" i="3"/>
  <c r="R34" i="3"/>
  <c r="R39" i="3" s="1"/>
  <c r="J32" i="3"/>
  <c r="X23" i="3"/>
  <c r="Y23" i="3" s="1"/>
  <c r="J56" i="2"/>
  <c r="I52" i="2"/>
  <c r="I53" i="2"/>
  <c r="G23" i="2"/>
  <c r="I32" i="2"/>
  <c r="I56" i="2" s="1"/>
  <c r="H23" i="2"/>
  <c r="I23" i="2"/>
  <c r="H32" i="2"/>
  <c r="H38" i="2" s="1"/>
  <c r="H47" i="2" s="1"/>
  <c r="H51" i="2"/>
  <c r="G32" i="2"/>
  <c r="G38" i="2" s="1"/>
  <c r="G47" i="2" s="1"/>
  <c r="G51" i="2"/>
  <c r="J38" i="2"/>
  <c r="K38" i="2" s="1"/>
  <c r="J13" i="3"/>
  <c r="I58" i="3"/>
  <c r="I57" i="3"/>
  <c r="I25" i="3"/>
  <c r="Y33" i="3"/>
  <c r="AD31" i="3"/>
  <c r="AB57" i="3"/>
  <c r="T57" i="3"/>
  <c r="I14" i="3"/>
  <c r="J14" i="3" s="1"/>
  <c r="J8" i="3"/>
  <c r="V18" i="3"/>
  <c r="V39" i="3" s="1"/>
  <c r="Y32" i="3"/>
  <c r="H18" i="3"/>
  <c r="I30" i="3"/>
  <c r="J30" i="3" s="1"/>
  <c r="J9" i="3"/>
  <c r="X29" i="3"/>
  <c r="Y29" i="3" s="1"/>
  <c r="Y31" i="3"/>
  <c r="W56" i="3"/>
  <c r="U39" i="3"/>
  <c r="I16" i="3"/>
  <c r="J16" i="3" s="1"/>
  <c r="K18" i="3"/>
  <c r="K39" i="3" s="1"/>
  <c r="J33" i="3"/>
  <c r="X9" i="3"/>
  <c r="H57" i="3"/>
  <c r="H34" i="3"/>
  <c r="Y12" i="3"/>
  <c r="Y25" i="3"/>
  <c r="X10" i="3"/>
  <c r="Y10" i="3" s="1"/>
  <c r="I21" i="3"/>
  <c r="I56" i="3" s="1"/>
  <c r="X15" i="3"/>
  <c r="Y15" i="3" s="1"/>
  <c r="AI21" i="3"/>
  <c r="AI56" i="3" s="1"/>
  <c r="AC56" i="3"/>
  <c r="W57" i="3"/>
  <c r="AB58" i="3"/>
  <c r="H58" i="3"/>
  <c r="Y13" i="3"/>
  <c r="X21" i="3"/>
  <c r="X56" i="3" s="1"/>
  <c r="AA18" i="3"/>
  <c r="AA39" i="3" s="1"/>
  <c r="AI16" i="3"/>
  <c r="AB56" i="3"/>
  <c r="AI8" i="3"/>
  <c r="AH37" i="3"/>
  <c r="AI37" i="3" s="1"/>
  <c r="AI32" i="3"/>
  <c r="AI34" i="3" s="1"/>
  <c r="AH25" i="3"/>
  <c r="AI25" i="3" s="1"/>
  <c r="AH15" i="3"/>
  <c r="AI15" i="3" s="1"/>
  <c r="AF39" i="3"/>
  <c r="AH10" i="3"/>
  <c r="AI10" i="3" s="1"/>
  <c r="AG57" i="3"/>
  <c r="AG58" i="3"/>
  <c r="AH34" i="3"/>
  <c r="AG34" i="3"/>
  <c r="AG26" i="3"/>
  <c r="AB26" i="3"/>
  <c r="AC8" i="3"/>
  <c r="AD8" i="3" s="1"/>
  <c r="AC33" i="3"/>
  <c r="AD33" i="3" s="1"/>
  <c r="AC9" i="3"/>
  <c r="AC22" i="3"/>
  <c r="AD22" i="3" s="1"/>
  <c r="AC37" i="3"/>
  <c r="AD37" i="3" s="1"/>
  <c r="AD13" i="3"/>
  <c r="AD30" i="3"/>
  <c r="AB34" i="3"/>
  <c r="AC10" i="3"/>
  <c r="AD10" i="3" s="1"/>
  <c r="AC23" i="3"/>
  <c r="AD23" i="3" s="1"/>
  <c r="AD12" i="3"/>
  <c r="AC25" i="3"/>
  <c r="AC29" i="3"/>
  <c r="AD29" i="3" s="1"/>
  <c r="AE39" i="3"/>
  <c r="Y16" i="3"/>
  <c r="X8" i="3"/>
  <c r="Y14" i="3"/>
  <c r="W18" i="3"/>
  <c r="W39" i="3" s="1"/>
  <c r="H26" i="3"/>
  <c r="S34" i="3"/>
  <c r="S39" i="3" s="1"/>
  <c r="T15" i="3"/>
  <c r="T18" i="3" s="1"/>
  <c r="Q39" i="3"/>
  <c r="T30" i="3"/>
  <c r="T34" i="3" s="1"/>
  <c r="T26" i="3"/>
  <c r="O32" i="3"/>
  <c r="P33" i="3"/>
  <c r="P34" i="3" s="1"/>
  <c r="P26" i="3"/>
  <c r="O22" i="3"/>
  <c r="O23" i="3"/>
  <c r="O24" i="3"/>
  <c r="O25" i="3"/>
  <c r="O21" i="3"/>
  <c r="O56" i="3" s="1"/>
  <c r="P19" i="3"/>
  <c r="O16" i="3"/>
  <c r="P16" i="3" s="1"/>
  <c r="O9" i="3"/>
  <c r="O10" i="3"/>
  <c r="O11" i="3"/>
  <c r="O12" i="3"/>
  <c r="O14" i="3"/>
  <c r="O15" i="3"/>
  <c r="O17" i="3"/>
  <c r="P13" i="3"/>
  <c r="P18" i="3" s="1"/>
  <c r="N26" i="3"/>
  <c r="N8" i="3"/>
  <c r="O8" i="3" s="1"/>
  <c r="M37" i="3"/>
  <c r="N37" i="3" s="1"/>
  <c r="O37" i="3" s="1"/>
  <c r="M33" i="3"/>
  <c r="L33" i="3"/>
  <c r="L31" i="3"/>
  <c r="M31" i="3" s="1"/>
  <c r="N31" i="3" s="1"/>
  <c r="M30" i="3"/>
  <c r="N30" i="3" s="1"/>
  <c r="O30" i="3" s="1"/>
  <c r="M29" i="3"/>
  <c r="N29" i="3" s="1"/>
  <c r="M26" i="3"/>
  <c r="M18" i="3"/>
  <c r="L26" i="3"/>
  <c r="I38" i="2" l="1"/>
  <c r="I47" i="2" s="1"/>
  <c r="AC26" i="3"/>
  <c r="AB39" i="3"/>
  <c r="X34" i="3"/>
  <c r="AC16" i="3"/>
  <c r="AD16" i="3" s="1"/>
  <c r="I26" i="3"/>
  <c r="I18" i="3"/>
  <c r="J34" i="3"/>
  <c r="H39" i="3"/>
  <c r="X18" i="3"/>
  <c r="I34" i="3"/>
  <c r="Y34" i="3"/>
  <c r="Y8" i="3"/>
  <c r="N34" i="3"/>
  <c r="AI26" i="3"/>
  <c r="G41" i="3"/>
  <c r="G42" i="3" s="1"/>
  <c r="H41" i="3" s="1"/>
  <c r="O31" i="3"/>
  <c r="P39" i="3"/>
  <c r="I66" i="2"/>
  <c r="I67" i="2"/>
  <c r="H56" i="2"/>
  <c r="G53" i="2"/>
  <c r="G52" i="2"/>
  <c r="G56" i="2"/>
  <c r="H53" i="2"/>
  <c r="H52" i="2"/>
  <c r="J18" i="3"/>
  <c r="AD9" i="3"/>
  <c r="AC58" i="3"/>
  <c r="AC57" i="3"/>
  <c r="O57" i="3"/>
  <c r="O58" i="3"/>
  <c r="O13" i="3"/>
  <c r="O18" i="3" s="1"/>
  <c r="O29" i="3"/>
  <c r="X26" i="3"/>
  <c r="Y9" i="3"/>
  <c r="X57" i="3"/>
  <c r="X58" i="3"/>
  <c r="Y21" i="3"/>
  <c r="M34" i="3"/>
  <c r="M39" i="3" s="1"/>
  <c r="N18" i="3"/>
  <c r="O33" i="3"/>
  <c r="AC34" i="3"/>
  <c r="J58" i="3"/>
  <c r="J57" i="3"/>
  <c r="AD34" i="3"/>
  <c r="J25" i="3"/>
  <c r="J21" i="3"/>
  <c r="AH18" i="3"/>
  <c r="AH26" i="3"/>
  <c r="AG39" i="3"/>
  <c r="AH58" i="3"/>
  <c r="AH57" i="3"/>
  <c r="AC18" i="3"/>
  <c r="AD25" i="3"/>
  <c r="AD26" i="3" s="1"/>
  <c r="T39" i="3"/>
  <c r="O26" i="3"/>
  <c r="L34" i="3"/>
  <c r="I39" i="3" l="1"/>
  <c r="X39" i="3"/>
  <c r="N39" i="3"/>
  <c r="H42" i="3"/>
  <c r="I41" i="3" s="1"/>
  <c r="AC39" i="3"/>
  <c r="O34" i="3"/>
  <c r="O39" i="3" s="1"/>
  <c r="H66" i="2"/>
  <c r="G66" i="2"/>
  <c r="G67" i="2"/>
  <c r="H67" i="2"/>
  <c r="Y57" i="3"/>
  <c r="Y58" i="3"/>
  <c r="Y56" i="3"/>
  <c r="Y26" i="3"/>
  <c r="AD18" i="3"/>
  <c r="AD39" i="3" s="1"/>
  <c r="AD57" i="3"/>
  <c r="AD58" i="3"/>
  <c r="J56" i="3"/>
  <c r="J26" i="3"/>
  <c r="J39" i="3" s="1"/>
  <c r="Y18" i="3"/>
  <c r="AI18" i="3"/>
  <c r="AI39" i="3" s="1"/>
  <c r="AH39" i="3"/>
  <c r="AI58" i="3"/>
  <c r="AI57" i="3"/>
  <c r="I42" i="3" l="1"/>
  <c r="J41" i="3" s="1"/>
  <c r="J42" i="3" s="1"/>
  <c r="K42" i="3" s="1"/>
  <c r="Y39" i="3"/>
  <c r="L41" i="3" l="1"/>
  <c r="P41" i="3"/>
  <c r="AJ41" i="3"/>
  <c r="AF41" i="3"/>
  <c r="AF42" i="3" s="1"/>
  <c r="AG41" i="3" s="1"/>
  <c r="AG42" i="3" s="1"/>
  <c r="AH41" i="3" s="1"/>
  <c r="AH42" i="3" s="1"/>
  <c r="AI41" i="3" s="1"/>
  <c r="AK46" i="3"/>
  <c r="AK45" i="3"/>
  <c r="AK34" i="3"/>
  <c r="AQ151" i="1"/>
  <c r="AR151" i="1"/>
  <c r="AS151" i="1"/>
  <c r="AP153" i="1"/>
  <c r="AQ153" i="1"/>
  <c r="AR153" i="1"/>
  <c r="AS153" i="1"/>
  <c r="AP154" i="1"/>
  <c r="AQ154" i="1"/>
  <c r="AR154" i="1"/>
  <c r="AS154" i="1"/>
  <c r="AL150" i="1"/>
  <c r="AK147" i="1"/>
  <c r="AL147" i="1"/>
  <c r="AK148" i="1"/>
  <c r="AL148" i="1"/>
  <c r="AK150" i="1"/>
  <c r="AK153" i="1"/>
  <c r="AL153" i="1"/>
  <c r="AM153" i="1"/>
  <c r="AN153" i="1"/>
  <c r="AK154" i="1"/>
  <c r="AL154" i="1"/>
  <c r="AM154" i="1"/>
  <c r="AN154" i="1"/>
  <c r="AK158" i="1"/>
  <c r="AL158" i="1"/>
  <c r="AF147" i="1"/>
  <c r="AG147" i="1"/>
  <c r="AH147" i="1"/>
  <c r="AI147" i="1"/>
  <c r="AF148" i="1"/>
  <c r="AG148" i="1"/>
  <c r="AH148" i="1"/>
  <c r="AI148" i="1"/>
  <c r="AF150" i="1"/>
  <c r="AG150" i="1"/>
  <c r="AH150" i="1"/>
  <c r="AI150" i="1"/>
  <c r="AF153" i="1"/>
  <c r="AG153" i="1"/>
  <c r="AH153" i="1"/>
  <c r="AI153" i="1"/>
  <c r="AF154" i="1"/>
  <c r="AG154" i="1"/>
  <c r="AH154" i="1"/>
  <c r="AI154" i="1"/>
  <c r="AF158" i="1"/>
  <c r="AG158" i="1"/>
  <c r="AH158" i="1"/>
  <c r="AI158" i="1"/>
  <c r="AA147" i="1"/>
  <c r="AB147" i="1"/>
  <c r="AC147" i="1"/>
  <c r="AD147" i="1"/>
  <c r="AA148" i="1"/>
  <c r="AB148" i="1"/>
  <c r="AC148" i="1"/>
  <c r="AD148" i="1"/>
  <c r="AA150" i="1"/>
  <c r="AB150" i="1"/>
  <c r="AC150" i="1"/>
  <c r="AD150" i="1"/>
  <c r="AB151" i="1"/>
  <c r="AA153" i="1"/>
  <c r="AB153" i="1"/>
  <c r="AC153" i="1"/>
  <c r="AD153" i="1"/>
  <c r="AA154" i="1"/>
  <c r="AB154" i="1"/>
  <c r="AC154" i="1"/>
  <c r="AD154" i="1"/>
  <c r="AA158" i="1"/>
  <c r="AB158" i="1"/>
  <c r="AC158" i="1"/>
  <c r="AD158" i="1"/>
  <c r="V147" i="1"/>
  <c r="W147" i="1"/>
  <c r="X147" i="1"/>
  <c r="Y147" i="1"/>
  <c r="V148" i="1"/>
  <c r="W148" i="1"/>
  <c r="X148" i="1"/>
  <c r="Y148" i="1"/>
  <c r="V150" i="1"/>
  <c r="W150" i="1"/>
  <c r="X150" i="1"/>
  <c r="Y150" i="1"/>
  <c r="V153" i="1"/>
  <c r="W153" i="1"/>
  <c r="X153" i="1"/>
  <c r="Y153" i="1"/>
  <c r="V154" i="1"/>
  <c r="W154" i="1"/>
  <c r="X154" i="1"/>
  <c r="Y154" i="1"/>
  <c r="V158" i="1"/>
  <c r="W158" i="1"/>
  <c r="X158" i="1"/>
  <c r="Y158" i="1"/>
  <c r="Q147" i="1"/>
  <c r="R147" i="1"/>
  <c r="S147" i="1"/>
  <c r="T147" i="1"/>
  <c r="Q148" i="1"/>
  <c r="R148" i="1"/>
  <c r="S148" i="1"/>
  <c r="T148" i="1"/>
  <c r="Q150" i="1"/>
  <c r="R150" i="1"/>
  <c r="S150" i="1"/>
  <c r="T150" i="1"/>
  <c r="T151" i="1"/>
  <c r="Q153" i="1"/>
  <c r="R153" i="1"/>
  <c r="S153" i="1"/>
  <c r="T153" i="1"/>
  <c r="Q154" i="1"/>
  <c r="R154" i="1"/>
  <c r="S154" i="1"/>
  <c r="T154" i="1"/>
  <c r="Q158" i="1"/>
  <c r="R158" i="1"/>
  <c r="S158" i="1"/>
  <c r="T158" i="1"/>
  <c r="L147" i="1"/>
  <c r="M147" i="1"/>
  <c r="N147" i="1"/>
  <c r="O147" i="1"/>
  <c r="L148" i="1"/>
  <c r="M148" i="1"/>
  <c r="N148" i="1"/>
  <c r="O148" i="1"/>
  <c r="L150" i="1"/>
  <c r="M150" i="1"/>
  <c r="N150" i="1"/>
  <c r="O150" i="1"/>
  <c r="L153" i="1"/>
  <c r="M153" i="1"/>
  <c r="N153" i="1"/>
  <c r="O153" i="1"/>
  <c r="L154" i="1"/>
  <c r="M154" i="1"/>
  <c r="N154" i="1"/>
  <c r="O154" i="1"/>
  <c r="L158" i="1"/>
  <c r="M158" i="1"/>
  <c r="N158" i="1"/>
  <c r="O158" i="1"/>
  <c r="J147" i="1"/>
  <c r="H158" i="1"/>
  <c r="I158" i="1"/>
  <c r="J158" i="1"/>
  <c r="G158" i="1"/>
  <c r="H154" i="1"/>
  <c r="I154" i="1"/>
  <c r="J154" i="1"/>
  <c r="G154" i="1"/>
  <c r="H153" i="1"/>
  <c r="I153" i="1"/>
  <c r="J153" i="1"/>
  <c r="G153" i="1"/>
  <c r="H150" i="1"/>
  <c r="I150" i="1"/>
  <c r="J150" i="1"/>
  <c r="G150" i="1"/>
  <c r="J148" i="1"/>
  <c r="H148" i="1"/>
  <c r="I148" i="1"/>
  <c r="G148" i="1"/>
  <c r="H147" i="1"/>
  <c r="I147" i="1"/>
  <c r="G147" i="1"/>
  <c r="AK26" i="3"/>
  <c r="AK39" i="3" l="1"/>
  <c r="AK47" i="3"/>
  <c r="AK50" i="3" s="1"/>
  <c r="AI42" i="3"/>
  <c r="AJ42" i="3" s="1"/>
  <c r="L18" i="3"/>
  <c r="L39" i="3" s="1"/>
  <c r="L42" i="3" s="1"/>
  <c r="M41" i="3" s="1"/>
  <c r="M42" i="3" s="1"/>
  <c r="N41" i="3" s="1"/>
  <c r="N42" i="3" s="1"/>
  <c r="O41" i="3" s="1"/>
  <c r="O42" i="3" s="1"/>
  <c r="P42" i="3" s="1"/>
  <c r="AK41" i="3" l="1"/>
  <c r="AK42" i="3" s="1"/>
  <c r="AL41" i="3" s="1"/>
  <c r="AO41" i="3"/>
  <c r="Q41" i="3"/>
  <c r="Q42" i="3" s="1"/>
  <c r="R41" i="3" s="1"/>
  <c r="R42" i="3" s="1"/>
  <c r="S41" i="3" s="1"/>
  <c r="S42" i="3" s="1"/>
  <c r="T41" i="3" s="1"/>
  <c r="T42" i="3" s="1"/>
  <c r="U42" i="3" s="1"/>
  <c r="U41" i="3"/>
  <c r="AS46" i="3"/>
  <c r="AR46" i="3"/>
  <c r="AQ46" i="3"/>
  <c r="AP46" i="3"/>
  <c r="AN46" i="3"/>
  <c r="AJ46" i="3"/>
  <c r="AF46" i="3"/>
  <c r="AE46" i="3"/>
  <c r="AA46" i="3"/>
  <c r="Z46" i="3"/>
  <c r="V46" i="3"/>
  <c r="U46" i="3"/>
  <c r="Q46" i="3"/>
  <c r="P46" i="3"/>
  <c r="L46" i="3"/>
  <c r="K46" i="3"/>
  <c r="G46" i="3"/>
  <c r="F46" i="3"/>
  <c r="B46" i="3"/>
  <c r="J46" i="3"/>
  <c r="W45" i="3"/>
  <c r="AL42" i="3" l="1"/>
  <c r="AM41" i="3" s="1"/>
  <c r="Z41" i="3"/>
  <c r="V41" i="3"/>
  <c r="V42" i="3" s="1"/>
  <c r="W41" i="3" s="1"/>
  <c r="W42" i="3" s="1"/>
  <c r="X41" i="3" s="1"/>
  <c r="X42" i="3" s="1"/>
  <c r="Y41" i="3" s="1"/>
  <c r="Y42" i="3" s="1"/>
  <c r="Z42" i="3" s="1"/>
  <c r="K45" i="3"/>
  <c r="AE45" i="3"/>
  <c r="AM46" i="3"/>
  <c r="M46" i="3"/>
  <c r="AG46" i="3"/>
  <c r="U45" i="3"/>
  <c r="H45" i="3"/>
  <c r="B45" i="3"/>
  <c r="B47" i="3" s="1"/>
  <c r="B50" i="3" s="1"/>
  <c r="AJ45" i="3"/>
  <c r="S46" i="3"/>
  <c r="N46" i="3"/>
  <c r="AA45" i="3"/>
  <c r="AL46" i="3"/>
  <c r="Q45" i="3"/>
  <c r="Q47" i="3" s="1"/>
  <c r="AF45" i="3"/>
  <c r="X46" i="3"/>
  <c r="AG45" i="3"/>
  <c r="F45" i="3"/>
  <c r="V45" i="3"/>
  <c r="V47" i="3" s="1"/>
  <c r="V50" i="3" s="1"/>
  <c r="AB46" i="3"/>
  <c r="C46" i="3"/>
  <c r="AT46" i="3"/>
  <c r="R46" i="3"/>
  <c r="H46" i="3"/>
  <c r="W46" i="3"/>
  <c r="W47" i="3" s="1"/>
  <c r="W50" i="3" s="1"/>
  <c r="I46" i="3"/>
  <c r="AA41" i="3" l="1"/>
  <c r="AA42" i="3" s="1"/>
  <c r="AB41" i="3" s="1"/>
  <c r="AB42" i="3" s="1"/>
  <c r="AC41" i="3" s="1"/>
  <c r="AC42" i="3" s="1"/>
  <c r="AD41" i="3" s="1"/>
  <c r="AD42" i="3" s="1"/>
  <c r="AE41" i="3"/>
  <c r="Q50" i="3"/>
  <c r="Y46" i="3"/>
  <c r="H47" i="3"/>
  <c r="AD46" i="3"/>
  <c r="AI45" i="3"/>
  <c r="M45" i="3"/>
  <c r="M47" i="3" s="1"/>
  <c r="M50" i="3" s="1"/>
  <c r="V48" i="3"/>
  <c r="AH46" i="3"/>
  <c r="D46" i="3"/>
  <c r="O46" i="3"/>
  <c r="J45" i="3"/>
  <c r="J47" i="3" s="1"/>
  <c r="F47" i="3"/>
  <c r="AC46" i="3"/>
  <c r="AJ47" i="3"/>
  <c r="L45" i="3"/>
  <c r="L47" i="3" s="1"/>
  <c r="Q48" i="3" s="1"/>
  <c r="AH45" i="3"/>
  <c r="X45" i="3"/>
  <c r="X47" i="3" s="1"/>
  <c r="X50" i="3" s="1"/>
  <c r="AB45" i="3"/>
  <c r="G45" i="3"/>
  <c r="G47" i="3" s="1"/>
  <c r="I45" i="3"/>
  <c r="I47" i="3" s="1"/>
  <c r="AF47" i="3"/>
  <c r="AF50" i="3" s="1"/>
  <c r="Z45" i="3"/>
  <c r="AA47" i="3"/>
  <c r="AA50" i="3" s="1"/>
  <c r="T46" i="3"/>
  <c r="AG47" i="3"/>
  <c r="AG50" i="3" s="1"/>
  <c r="R45" i="3"/>
  <c r="R47" i="3" s="1"/>
  <c r="K47" i="3"/>
  <c r="AO46" i="3"/>
  <c r="U47" i="3"/>
  <c r="AE47" i="3"/>
  <c r="G50" i="3" l="1"/>
  <c r="G51" i="3" s="1"/>
  <c r="G48" i="3"/>
  <c r="K48" i="3"/>
  <c r="H50" i="3"/>
  <c r="I50" i="3"/>
  <c r="J50" i="3"/>
  <c r="W48" i="3"/>
  <c r="R50" i="3"/>
  <c r="L50" i="3"/>
  <c r="V51" i="3"/>
  <c r="S45" i="3"/>
  <c r="S47" i="3" s="1"/>
  <c r="S50" i="3" s="1"/>
  <c r="Y45" i="3"/>
  <c r="Y47" i="3" s="1"/>
  <c r="Y50" i="3" s="1"/>
  <c r="C45" i="3"/>
  <c r="C47" i="3" s="1"/>
  <c r="C50" i="3" s="1"/>
  <c r="N45" i="3"/>
  <c r="N47" i="3" s="1"/>
  <c r="N50" i="3" s="1"/>
  <c r="AF48" i="3"/>
  <c r="AB47" i="3"/>
  <c r="AB50" i="3" s="1"/>
  <c r="AL45" i="3"/>
  <c r="O45" i="3"/>
  <c r="O47" i="3" s="1"/>
  <c r="O50" i="3" s="1"/>
  <c r="AD45" i="3"/>
  <c r="AH47" i="3"/>
  <c r="AH50" i="3" s="1"/>
  <c r="AJ48" i="3"/>
  <c r="AC45" i="3"/>
  <c r="M48" i="3"/>
  <c r="AK48" i="3"/>
  <c r="Z47" i="3"/>
  <c r="R48" i="3"/>
  <c r="L48" i="3"/>
  <c r="AI46" i="3"/>
  <c r="AI47" i="3" s="1"/>
  <c r="AI50" i="3" s="1"/>
  <c r="AA48" i="3"/>
  <c r="T45" i="3"/>
  <c r="T47" i="3" s="1"/>
  <c r="T50" i="3" s="1"/>
  <c r="E46" i="3"/>
  <c r="AI53" i="3" l="1"/>
  <c r="AK53" i="3"/>
  <c r="H48" i="3"/>
  <c r="H51" i="3"/>
  <c r="M51" i="3"/>
  <c r="L51" i="3"/>
  <c r="R51" i="3"/>
  <c r="Q51" i="3"/>
  <c r="AF51" i="3"/>
  <c r="S48" i="3"/>
  <c r="X51" i="3"/>
  <c r="AG51" i="3"/>
  <c r="AB48" i="3"/>
  <c r="O51" i="3"/>
  <c r="O48" i="3"/>
  <c r="E45" i="3"/>
  <c r="E47" i="3" s="1"/>
  <c r="P45" i="3"/>
  <c r="AK51" i="3"/>
  <c r="X48" i="3"/>
  <c r="AA51" i="3"/>
  <c r="AD47" i="3"/>
  <c r="D45" i="3"/>
  <c r="D47" i="3" s="1"/>
  <c r="AG48" i="3"/>
  <c r="T48" i="3"/>
  <c r="AC47" i="3"/>
  <c r="AC50" i="3" s="1"/>
  <c r="N51" i="3"/>
  <c r="N48" i="3"/>
  <c r="Z48" i="3"/>
  <c r="AE48" i="3"/>
  <c r="AL47" i="3"/>
  <c r="AL50" i="3" s="1"/>
  <c r="AL53" i="3" s="1"/>
  <c r="W51" i="3"/>
  <c r="Y48" i="3"/>
  <c r="E50" i="3" l="1"/>
  <c r="J51" i="3" s="1"/>
  <c r="J48" i="3"/>
  <c r="D50" i="3"/>
  <c r="I51" i="3" s="1"/>
  <c r="I48" i="3"/>
  <c r="AI48" i="3"/>
  <c r="AD50" i="3"/>
  <c r="Y51" i="3"/>
  <c r="T51" i="3"/>
  <c r="S51" i="3"/>
  <c r="AL48" i="3"/>
  <c r="P47" i="3"/>
  <c r="AD48" i="3"/>
  <c r="AB51" i="3"/>
  <c r="AH51" i="3"/>
  <c r="AC48" i="3"/>
  <c r="AH48" i="3"/>
  <c r="AI51" i="3" l="1"/>
  <c r="AF53" i="3"/>
  <c r="AG53" i="3"/>
  <c r="AH53" i="3"/>
  <c r="AC51" i="3"/>
  <c r="P48" i="3"/>
  <c r="U48" i="3"/>
  <c r="AD51" i="3"/>
  <c r="AL51" i="3"/>
  <c r="L16" i="1" l="1"/>
  <c r="M16" i="1"/>
  <c r="N16" i="1"/>
  <c r="O16" i="1"/>
  <c r="Q16" i="1"/>
  <c r="R16" i="1"/>
  <c r="S16" i="1"/>
  <c r="T16" i="1"/>
  <c r="V16" i="1"/>
  <c r="W16" i="1"/>
  <c r="X16" i="1"/>
  <c r="Y16" i="1"/>
  <c r="AA16" i="1"/>
  <c r="AB16" i="1"/>
  <c r="L17" i="1"/>
  <c r="M17" i="1"/>
  <c r="N17" i="1"/>
  <c r="O17" i="1"/>
  <c r="Q17" i="1"/>
  <c r="R17" i="1"/>
  <c r="S17" i="1"/>
  <c r="T17" i="1"/>
  <c r="V17" i="1"/>
  <c r="W17" i="1"/>
  <c r="X17" i="1"/>
  <c r="Y17" i="1"/>
  <c r="AA17" i="1"/>
  <c r="AB17" i="1"/>
  <c r="H16" i="1"/>
  <c r="I16" i="1"/>
  <c r="J16" i="1"/>
  <c r="H17" i="1"/>
  <c r="I17" i="1"/>
  <c r="J17" i="1"/>
  <c r="G17" i="1"/>
  <c r="G16" i="1"/>
  <c r="AE13" i="1"/>
  <c r="AE12" i="1"/>
  <c r="AB11" i="1"/>
  <c r="AA11" i="1"/>
  <c r="Z13" i="1"/>
  <c r="Z12" i="1"/>
  <c r="Y11" i="1"/>
  <c r="X11" i="1"/>
  <c r="W11" i="1"/>
  <c r="V11" i="1"/>
  <c r="U13" i="1"/>
  <c r="U12" i="1"/>
  <c r="T11" i="1"/>
  <c r="S11" i="1"/>
  <c r="R11" i="1"/>
  <c r="Q11" i="1"/>
  <c r="P13" i="1"/>
  <c r="P12" i="1"/>
  <c r="O11" i="1"/>
  <c r="N11" i="1"/>
  <c r="M11" i="1"/>
  <c r="L11" i="1"/>
  <c r="K13" i="1"/>
  <c r="K12" i="1"/>
  <c r="J11" i="1"/>
  <c r="I11" i="1"/>
  <c r="H11" i="1"/>
  <c r="G11" i="1"/>
  <c r="C11" i="1"/>
  <c r="D11" i="1"/>
  <c r="E11" i="1"/>
  <c r="B11" i="1"/>
  <c r="F13" i="1"/>
  <c r="F12" i="1"/>
  <c r="G31" i="1" l="1"/>
  <c r="G24" i="1"/>
  <c r="H24" i="1"/>
  <c r="H31" i="1"/>
  <c r="I24" i="1"/>
  <c r="I31" i="1"/>
  <c r="V24" i="1"/>
  <c r="V31" i="1"/>
  <c r="AA24" i="1"/>
  <c r="AA31" i="1"/>
  <c r="J24" i="1"/>
  <c r="J31" i="1"/>
  <c r="W24" i="1"/>
  <c r="W31" i="1"/>
  <c r="Q24" i="1"/>
  <c r="Q31" i="1"/>
  <c r="N31" i="1"/>
  <c r="N24" i="1"/>
  <c r="R31" i="1"/>
  <c r="R24" i="1"/>
  <c r="Y31" i="1"/>
  <c r="Y24" i="1"/>
  <c r="AB31" i="1"/>
  <c r="AB24" i="1"/>
  <c r="E31" i="1"/>
  <c r="E24" i="1"/>
  <c r="L24" i="1"/>
  <c r="L31" i="1"/>
  <c r="S31" i="1"/>
  <c r="S24" i="1"/>
  <c r="O31" i="1"/>
  <c r="O24" i="1"/>
  <c r="M24" i="1"/>
  <c r="M31" i="1"/>
  <c r="T24" i="1"/>
  <c r="T31" i="1"/>
  <c r="AC24" i="1"/>
  <c r="AC31" i="1"/>
  <c r="X24" i="1"/>
  <c r="X31" i="1"/>
  <c r="AG18" i="1"/>
  <c r="G18" i="1"/>
  <c r="P16" i="1"/>
  <c r="Z11" i="1"/>
  <c r="AC18" i="1"/>
  <c r="P17" i="1"/>
  <c r="AD18" i="1"/>
  <c r="P11" i="1"/>
  <c r="S18" i="1"/>
  <c r="AJ11" i="1"/>
  <c r="O18" i="1"/>
  <c r="AB18" i="1"/>
  <c r="M18" i="1"/>
  <c r="T18" i="1"/>
  <c r="Z17" i="1"/>
  <c r="X18" i="1"/>
  <c r="Y18" i="1"/>
  <c r="I18" i="1"/>
  <c r="K16" i="1"/>
  <c r="K17" i="1"/>
  <c r="R18" i="1"/>
  <c r="F11" i="1"/>
  <c r="N18" i="1"/>
  <c r="U16" i="1"/>
  <c r="AH18" i="1"/>
  <c r="H18" i="1"/>
  <c r="U17" i="1"/>
  <c r="J18" i="1"/>
  <c r="AF18" i="1"/>
  <c r="Z16" i="1"/>
  <c r="AE11" i="1"/>
  <c r="Q18" i="1"/>
  <c r="K11" i="1"/>
  <c r="W18" i="1"/>
  <c r="V18" i="1"/>
  <c r="L18" i="1"/>
  <c r="U11" i="1"/>
  <c r="AA18" i="1"/>
  <c r="Z49" i="1"/>
  <c r="Z48" i="1"/>
  <c r="Z47" i="1"/>
  <c r="Z46" i="1"/>
  <c r="Z42" i="1"/>
  <c r="Z41" i="1"/>
  <c r="Z40" i="1"/>
  <c r="Z39" i="1"/>
  <c r="U49" i="1"/>
  <c r="U48" i="1"/>
  <c r="U47" i="1"/>
  <c r="U46" i="1"/>
  <c r="U42" i="1"/>
  <c r="U41" i="1"/>
  <c r="U40" i="1"/>
  <c r="U39" i="1"/>
  <c r="AG43" i="1"/>
  <c r="AG77" i="1" s="1"/>
  <c r="P49" i="1"/>
  <c r="P48" i="1"/>
  <c r="P47" i="1"/>
  <c r="P46" i="1"/>
  <c r="P42" i="1"/>
  <c r="P41" i="1"/>
  <c r="P40" i="1"/>
  <c r="P39" i="1"/>
  <c r="K49" i="1"/>
  <c r="K48" i="1"/>
  <c r="K47" i="1"/>
  <c r="K46" i="1"/>
  <c r="K42" i="1"/>
  <c r="K41" i="1"/>
  <c r="K40" i="1"/>
  <c r="K39" i="1"/>
  <c r="B52" i="1"/>
  <c r="F49" i="1"/>
  <c r="F48" i="1"/>
  <c r="F47" i="1"/>
  <c r="F46" i="1"/>
  <c r="F42" i="1"/>
  <c r="F41" i="1"/>
  <c r="F40" i="1"/>
  <c r="F39" i="1"/>
  <c r="C50" i="1"/>
  <c r="D50" i="1" s="1"/>
  <c r="C43" i="1"/>
  <c r="D43" i="1" s="1"/>
  <c r="E43" i="1" s="1"/>
  <c r="F43" i="1" s="1"/>
  <c r="G43" i="1" s="1"/>
  <c r="B133" i="1"/>
  <c r="C133" i="1"/>
  <c r="D133" i="1"/>
  <c r="E133" i="1"/>
  <c r="G133" i="1"/>
  <c r="H133" i="1"/>
  <c r="I133" i="1"/>
  <c r="J133" i="1"/>
  <c r="L133" i="1"/>
  <c r="M133" i="1"/>
  <c r="N133" i="1"/>
  <c r="O133" i="1"/>
  <c r="Q133" i="1"/>
  <c r="R133" i="1"/>
  <c r="S133" i="1"/>
  <c r="T133" i="1"/>
  <c r="V133" i="1"/>
  <c r="W133" i="1"/>
  <c r="X133" i="1"/>
  <c r="Y133" i="1"/>
  <c r="B134" i="1"/>
  <c r="C134" i="1"/>
  <c r="D134" i="1"/>
  <c r="E134" i="1"/>
  <c r="G134" i="1"/>
  <c r="H134" i="1"/>
  <c r="I134" i="1"/>
  <c r="J134" i="1"/>
  <c r="L134" i="1"/>
  <c r="M134" i="1"/>
  <c r="N134" i="1"/>
  <c r="O134" i="1"/>
  <c r="Q134" i="1"/>
  <c r="R134" i="1"/>
  <c r="S134" i="1"/>
  <c r="T134" i="1"/>
  <c r="V134" i="1"/>
  <c r="W134" i="1"/>
  <c r="X134" i="1"/>
  <c r="Y134" i="1"/>
  <c r="B136" i="1"/>
  <c r="C136" i="1"/>
  <c r="D136" i="1"/>
  <c r="E136" i="1"/>
  <c r="G136" i="1"/>
  <c r="H136" i="1"/>
  <c r="I136" i="1"/>
  <c r="J136" i="1"/>
  <c r="L136" i="1"/>
  <c r="M136" i="1"/>
  <c r="N136" i="1"/>
  <c r="O136" i="1"/>
  <c r="Q136" i="1"/>
  <c r="R136" i="1"/>
  <c r="S136" i="1"/>
  <c r="T136" i="1"/>
  <c r="V136" i="1"/>
  <c r="W136" i="1"/>
  <c r="X136" i="1"/>
  <c r="Y136" i="1"/>
  <c r="D137" i="1"/>
  <c r="O137" i="1"/>
  <c r="Q137" i="1"/>
  <c r="S137" i="1"/>
  <c r="T137" i="1"/>
  <c r="W137" i="1"/>
  <c r="B139" i="1"/>
  <c r="C139" i="1"/>
  <c r="D139" i="1"/>
  <c r="E139" i="1"/>
  <c r="G139" i="1"/>
  <c r="H139" i="1"/>
  <c r="I139" i="1"/>
  <c r="J139" i="1"/>
  <c r="L139" i="1"/>
  <c r="M139" i="1"/>
  <c r="N139" i="1"/>
  <c r="O139" i="1"/>
  <c r="Q139" i="1"/>
  <c r="R139" i="1"/>
  <c r="S139" i="1"/>
  <c r="T139" i="1"/>
  <c r="V139" i="1"/>
  <c r="W139" i="1"/>
  <c r="X139" i="1"/>
  <c r="Y139" i="1"/>
  <c r="B140" i="1"/>
  <c r="C140" i="1"/>
  <c r="D140" i="1"/>
  <c r="E140" i="1"/>
  <c r="G140" i="1"/>
  <c r="H140" i="1"/>
  <c r="I140" i="1"/>
  <c r="J140" i="1"/>
  <c r="L140" i="1"/>
  <c r="M140" i="1"/>
  <c r="N140" i="1"/>
  <c r="O140" i="1"/>
  <c r="Q140" i="1"/>
  <c r="R140" i="1"/>
  <c r="S140" i="1"/>
  <c r="T140" i="1"/>
  <c r="V140" i="1"/>
  <c r="W140" i="1"/>
  <c r="X140" i="1"/>
  <c r="Y140" i="1"/>
  <c r="AA134" i="1"/>
  <c r="AF134" i="1"/>
  <c r="H110" i="1"/>
  <c r="C110" i="1"/>
  <c r="E110" i="1"/>
  <c r="D110" i="1"/>
  <c r="B110" i="1"/>
  <c r="J109" i="1"/>
  <c r="K109" i="1" s="1"/>
  <c r="J108" i="1"/>
  <c r="K108" i="1" s="1"/>
  <c r="F113" i="1"/>
  <c r="F109" i="1"/>
  <c r="F108" i="1"/>
  <c r="F107" i="1"/>
  <c r="F106" i="1"/>
  <c r="F105" i="1"/>
  <c r="F104" i="1"/>
  <c r="F103" i="1"/>
  <c r="F102" i="1"/>
  <c r="F101" i="1"/>
  <c r="F100" i="1"/>
  <c r="F97" i="1"/>
  <c r="F95" i="1"/>
  <c r="F93" i="1"/>
  <c r="F92" i="1"/>
  <c r="F89" i="1"/>
  <c r="F87" i="1"/>
  <c r="F71" i="2" s="1"/>
  <c r="F86" i="1"/>
  <c r="F70" i="2" s="1"/>
  <c r="K113" i="1"/>
  <c r="K58" i="2" s="1"/>
  <c r="K107" i="1"/>
  <c r="K106" i="1"/>
  <c r="K105" i="1"/>
  <c r="K104" i="1"/>
  <c r="K103" i="1"/>
  <c r="K102" i="1"/>
  <c r="K101" i="1"/>
  <c r="K100" i="1"/>
  <c r="K97" i="1"/>
  <c r="K95" i="1"/>
  <c r="K93" i="1"/>
  <c r="K92" i="1"/>
  <c r="K89" i="1"/>
  <c r="K87" i="1"/>
  <c r="K86" i="1"/>
  <c r="K70" i="2" s="1"/>
  <c r="E90" i="1"/>
  <c r="E137" i="1" s="1"/>
  <c r="J90" i="1"/>
  <c r="I110" i="1"/>
  <c r="I90" i="1"/>
  <c r="I151" i="1" s="1"/>
  <c r="C90" i="1"/>
  <c r="H90" i="1"/>
  <c r="B90" i="1"/>
  <c r="B137" i="1" s="1"/>
  <c r="E88" i="1"/>
  <c r="D88" i="1"/>
  <c r="D91" i="1" s="1"/>
  <c r="D138" i="1" s="1"/>
  <c r="C88" i="1"/>
  <c r="B88" i="1"/>
  <c r="G110" i="1"/>
  <c r="G90" i="1"/>
  <c r="J88" i="1"/>
  <c r="I88" i="1"/>
  <c r="H88" i="1"/>
  <c r="G88" i="1"/>
  <c r="K150" i="1" l="1"/>
  <c r="K154" i="1"/>
  <c r="K153" i="1"/>
  <c r="F50" i="3"/>
  <c r="F58" i="2"/>
  <c r="K148" i="1"/>
  <c r="K71" i="2"/>
  <c r="AE18" i="1"/>
  <c r="P24" i="1"/>
  <c r="P31" i="1"/>
  <c r="U24" i="1"/>
  <c r="U31" i="1"/>
  <c r="K24" i="1"/>
  <c r="K31" i="1"/>
  <c r="AJ24" i="1"/>
  <c r="AJ31" i="1"/>
  <c r="AE24" i="1"/>
  <c r="AE31" i="1"/>
  <c r="Z24" i="1"/>
  <c r="Z31" i="1"/>
  <c r="F24" i="1"/>
  <c r="F31" i="1"/>
  <c r="H151" i="1"/>
  <c r="U18" i="1"/>
  <c r="K18" i="1"/>
  <c r="J149" i="1"/>
  <c r="H135" i="1"/>
  <c r="H149" i="1"/>
  <c r="K58" i="3"/>
  <c r="K56" i="3"/>
  <c r="K147" i="1"/>
  <c r="F133" i="1"/>
  <c r="F58" i="3"/>
  <c r="F56" i="3"/>
  <c r="G135" i="1"/>
  <c r="G149" i="1"/>
  <c r="Z18" i="1"/>
  <c r="K158" i="1"/>
  <c r="K50" i="3"/>
  <c r="G151" i="1"/>
  <c r="P18" i="1"/>
  <c r="I149" i="1"/>
  <c r="O151" i="1"/>
  <c r="J151" i="1"/>
  <c r="AJ18" i="1"/>
  <c r="C52" i="1"/>
  <c r="H43" i="1"/>
  <c r="E50" i="1"/>
  <c r="F50" i="1" s="1"/>
  <c r="G50" i="1" s="1"/>
  <c r="H50" i="1" s="1"/>
  <c r="I50" i="1" s="1"/>
  <c r="J50" i="1" s="1"/>
  <c r="K50" i="1" s="1"/>
  <c r="L50" i="1" s="1"/>
  <c r="M50" i="1" s="1"/>
  <c r="N50" i="1" s="1"/>
  <c r="O50" i="1" s="1"/>
  <c r="P50" i="1" s="1"/>
  <c r="Q50" i="1" s="1"/>
  <c r="R50" i="1" s="1"/>
  <c r="S50" i="1" s="1"/>
  <c r="T50" i="1" s="1"/>
  <c r="U50" i="1" s="1"/>
  <c r="D52" i="1"/>
  <c r="F134" i="1"/>
  <c r="K136" i="1"/>
  <c r="F139" i="1"/>
  <c r="J110" i="1"/>
  <c r="K110" i="1" s="1"/>
  <c r="K134" i="1"/>
  <c r="J135" i="1"/>
  <c r="B135" i="1"/>
  <c r="H137" i="1"/>
  <c r="K88" i="1"/>
  <c r="F140" i="1"/>
  <c r="I137" i="1"/>
  <c r="C135" i="1"/>
  <c r="K90" i="1"/>
  <c r="G137" i="1"/>
  <c r="I135" i="1"/>
  <c r="K133" i="1"/>
  <c r="G91" i="1"/>
  <c r="K140" i="1"/>
  <c r="K139" i="1"/>
  <c r="F136" i="1"/>
  <c r="F90" i="1"/>
  <c r="C137" i="1"/>
  <c r="E135" i="1"/>
  <c r="J137" i="1"/>
  <c r="D135" i="1"/>
  <c r="F110" i="1"/>
  <c r="F88" i="1"/>
  <c r="E91" i="1"/>
  <c r="E94" i="1" s="1"/>
  <c r="J91" i="1"/>
  <c r="D94" i="1"/>
  <c r="I91" i="1"/>
  <c r="I152" i="1" s="1"/>
  <c r="C91" i="1"/>
  <c r="H91" i="1"/>
  <c r="B91" i="1"/>
  <c r="P113" i="1"/>
  <c r="P58" i="2" s="1"/>
  <c r="P108" i="1"/>
  <c r="P107" i="1"/>
  <c r="P106" i="1"/>
  <c r="P105" i="1"/>
  <c r="P104" i="1"/>
  <c r="P103" i="1"/>
  <c r="P102" i="1"/>
  <c r="P101" i="1"/>
  <c r="P97" i="1"/>
  <c r="P95" i="1"/>
  <c r="P93" i="1"/>
  <c r="P154" i="1" s="1"/>
  <c r="P92" i="1"/>
  <c r="P153" i="1" s="1"/>
  <c r="P89" i="1"/>
  <c r="P150" i="1" s="1"/>
  <c r="P87" i="1"/>
  <c r="P86" i="1"/>
  <c r="P70" i="2" s="1"/>
  <c r="U113" i="1"/>
  <c r="U58" i="2" s="1"/>
  <c r="U108" i="1"/>
  <c r="U107" i="1"/>
  <c r="U106" i="1"/>
  <c r="U105" i="1"/>
  <c r="U104" i="1"/>
  <c r="U103" i="1"/>
  <c r="U102" i="1"/>
  <c r="U101" i="1"/>
  <c r="U97" i="1"/>
  <c r="U95" i="1"/>
  <c r="U93" i="1"/>
  <c r="U92" i="1"/>
  <c r="U89" i="1"/>
  <c r="U87" i="1"/>
  <c r="U86" i="1"/>
  <c r="U70" i="2" s="1"/>
  <c r="L109" i="1"/>
  <c r="L90" i="1"/>
  <c r="M109" i="1"/>
  <c r="R109" i="1"/>
  <c r="M90" i="1"/>
  <c r="M151" i="1" s="1"/>
  <c r="R90" i="1"/>
  <c r="N109" i="1"/>
  <c r="N90" i="1"/>
  <c r="O109" i="1"/>
  <c r="L88" i="1"/>
  <c r="L149" i="1" s="1"/>
  <c r="M88" i="1"/>
  <c r="M149" i="1" s="1"/>
  <c r="N88" i="1"/>
  <c r="N149" i="1" s="1"/>
  <c r="O88" i="1"/>
  <c r="O149" i="1" s="1"/>
  <c r="L100" i="1"/>
  <c r="M100" i="1"/>
  <c r="N100" i="1"/>
  <c r="O100" i="1"/>
  <c r="T100" i="1"/>
  <c r="T110" i="1" s="1"/>
  <c r="S100" i="1"/>
  <c r="S110" i="1" s="1"/>
  <c r="R100" i="1"/>
  <c r="Q100" i="1"/>
  <c r="Q110" i="1" s="1"/>
  <c r="T88" i="1"/>
  <c r="S88" i="1"/>
  <c r="R88" i="1"/>
  <c r="Q88" i="1"/>
  <c r="Z89" i="1"/>
  <c r="Z113" i="1"/>
  <c r="Z58" i="2" s="1"/>
  <c r="Z108" i="1"/>
  <c r="Z107" i="1"/>
  <c r="Z106" i="1"/>
  <c r="Z105" i="1"/>
  <c r="Z104" i="1"/>
  <c r="Z103" i="1"/>
  <c r="Z102" i="1"/>
  <c r="Z101" i="1"/>
  <c r="Z97" i="1"/>
  <c r="Z95" i="1"/>
  <c r="Z93" i="1"/>
  <c r="Z92" i="1"/>
  <c r="Z87" i="1"/>
  <c r="Z71" i="2" s="1"/>
  <c r="Z86" i="1"/>
  <c r="Z70" i="2" s="1"/>
  <c r="V90" i="1"/>
  <c r="V151" i="1" s="1"/>
  <c r="W109" i="1"/>
  <c r="X90" i="1"/>
  <c r="X151" i="1" s="1"/>
  <c r="Y109" i="1"/>
  <c r="Y100" i="1"/>
  <c r="X100" i="1"/>
  <c r="X110" i="1" s="1"/>
  <c r="W100" i="1"/>
  <c r="V100" i="1"/>
  <c r="Y90" i="1"/>
  <c r="Y151" i="1" s="1"/>
  <c r="AE113" i="1"/>
  <c r="AE109" i="1"/>
  <c r="AE108" i="1"/>
  <c r="AE107" i="1"/>
  <c r="AE106" i="1"/>
  <c r="AE105" i="1"/>
  <c r="AE104" i="1"/>
  <c r="AE103" i="1"/>
  <c r="AE102" i="1"/>
  <c r="AE101" i="1"/>
  <c r="AE97" i="1"/>
  <c r="AE95" i="1"/>
  <c r="AE93" i="1"/>
  <c r="AE92" i="1"/>
  <c r="AE89" i="1"/>
  <c r="AE87" i="1"/>
  <c r="AE71" i="2" s="1"/>
  <c r="AE86" i="1"/>
  <c r="AA90" i="1"/>
  <c r="AC90" i="1"/>
  <c r="AD90" i="1"/>
  <c r="AJ113" i="1"/>
  <c r="AJ101" i="1"/>
  <c r="AJ102" i="1"/>
  <c r="AJ103" i="1"/>
  <c r="AJ104" i="1"/>
  <c r="AJ105" i="1"/>
  <c r="AJ106" i="1"/>
  <c r="AJ107" i="1"/>
  <c r="AJ108" i="1"/>
  <c r="AJ109" i="1"/>
  <c r="AJ100" i="1"/>
  <c r="AJ97" i="1"/>
  <c r="AO97" i="1"/>
  <c r="AJ95" i="1"/>
  <c r="AJ93" i="1"/>
  <c r="AJ92" i="1"/>
  <c r="AJ89" i="1"/>
  <c r="AJ87" i="1"/>
  <c r="AJ71" i="2" s="1"/>
  <c r="AJ86" i="1"/>
  <c r="AM110" i="1"/>
  <c r="AN100" i="1"/>
  <c r="AL110" i="1"/>
  <c r="AA100" i="1"/>
  <c r="AB100" i="1"/>
  <c r="AC100" i="1"/>
  <c r="AC110" i="1" s="1"/>
  <c r="AD100" i="1"/>
  <c r="Y88" i="1"/>
  <c r="X88" i="1"/>
  <c r="W88" i="1"/>
  <c r="V88" i="1"/>
  <c r="AD88" i="1"/>
  <c r="AC88" i="1"/>
  <c r="AB88" i="1"/>
  <c r="AA88" i="1"/>
  <c r="AG88" i="1"/>
  <c r="AH88" i="1"/>
  <c r="AI88" i="1"/>
  <c r="AF88" i="1"/>
  <c r="AI110" i="1"/>
  <c r="AH110" i="1"/>
  <c r="AG110" i="1"/>
  <c r="AF110" i="1"/>
  <c r="AK110" i="1"/>
  <c r="U154" i="1" l="1"/>
  <c r="AE70" i="2"/>
  <c r="AJ70" i="2"/>
  <c r="AH91" i="1"/>
  <c r="AG135" i="1"/>
  <c r="K51" i="3"/>
  <c r="AJ58" i="2"/>
  <c r="U148" i="1"/>
  <c r="U71" i="2"/>
  <c r="P148" i="1"/>
  <c r="P71" i="2"/>
  <c r="AL111" i="1"/>
  <c r="AL114" i="1" s="1"/>
  <c r="AE58" i="2"/>
  <c r="AN110" i="1"/>
  <c r="AO100" i="1"/>
  <c r="U150" i="1"/>
  <c r="U153" i="1"/>
  <c r="AE148" i="1"/>
  <c r="W149" i="1"/>
  <c r="AF151" i="1"/>
  <c r="AC151" i="1"/>
  <c r="Z153" i="1"/>
  <c r="AA149" i="1"/>
  <c r="AJ153" i="1"/>
  <c r="S149" i="1"/>
  <c r="G152" i="1"/>
  <c r="Z154" i="1"/>
  <c r="X149" i="1"/>
  <c r="AJ154" i="1"/>
  <c r="T149" i="1"/>
  <c r="AC149" i="1"/>
  <c r="Z150" i="1"/>
  <c r="AD149" i="1"/>
  <c r="AJ148" i="1"/>
  <c r="AI149" i="1"/>
  <c r="AJ158" i="1"/>
  <c r="AJ50" i="3"/>
  <c r="AE154" i="1"/>
  <c r="H94" i="1"/>
  <c r="H143" i="1" s="1"/>
  <c r="H152" i="1"/>
  <c r="K149" i="1"/>
  <c r="W151" i="1"/>
  <c r="R151" i="1"/>
  <c r="AH149" i="1"/>
  <c r="AD151" i="1"/>
  <c r="Y149" i="1"/>
  <c r="AM151" i="1"/>
  <c r="AH151" i="1"/>
  <c r="AA151" i="1"/>
  <c r="AG149" i="1"/>
  <c r="AL149" i="1"/>
  <c r="AB149" i="1"/>
  <c r="AL151" i="1"/>
  <c r="AG151" i="1"/>
  <c r="AE58" i="3"/>
  <c r="AE56" i="3"/>
  <c r="AE147" i="1"/>
  <c r="AE158" i="1"/>
  <c r="AE50" i="3"/>
  <c r="Z158" i="1"/>
  <c r="Z50" i="3"/>
  <c r="J152" i="1"/>
  <c r="K151" i="1"/>
  <c r="AJ56" i="3"/>
  <c r="AJ58" i="3"/>
  <c r="AJ147" i="1"/>
  <c r="Q151" i="1"/>
  <c r="L151" i="1"/>
  <c r="AE150" i="1"/>
  <c r="Z56" i="3"/>
  <c r="Z58" i="3"/>
  <c r="Z147" i="1"/>
  <c r="Q149" i="1"/>
  <c r="U158" i="1"/>
  <c r="U50" i="3"/>
  <c r="P50" i="3"/>
  <c r="P51" i="3" s="1"/>
  <c r="P158" i="1"/>
  <c r="AF149" i="1"/>
  <c r="V149" i="1"/>
  <c r="AJ150" i="1"/>
  <c r="AE153" i="1"/>
  <c r="Z148" i="1"/>
  <c r="R149" i="1"/>
  <c r="S151" i="1"/>
  <c r="N151" i="1"/>
  <c r="U56" i="3"/>
  <c r="U58" i="3"/>
  <c r="U147" i="1"/>
  <c r="P56" i="3"/>
  <c r="P58" i="3"/>
  <c r="P147" i="1"/>
  <c r="O110" i="1"/>
  <c r="F52" i="1"/>
  <c r="E52" i="1"/>
  <c r="V50" i="1"/>
  <c r="W50" i="1" s="1"/>
  <c r="X50" i="1" s="1"/>
  <c r="Y50" i="1" s="1"/>
  <c r="Z50" i="1" s="1"/>
  <c r="Z109" i="1"/>
  <c r="G52" i="1"/>
  <c r="G59" i="2" s="1"/>
  <c r="G60" i="2" s="1"/>
  <c r="I43" i="1"/>
  <c r="H52" i="1"/>
  <c r="H59" i="2" s="1"/>
  <c r="H60" i="2" s="1"/>
  <c r="Z100" i="1"/>
  <c r="V110" i="1"/>
  <c r="Y91" i="1"/>
  <c r="U100" i="1"/>
  <c r="P90" i="1"/>
  <c r="P109" i="1"/>
  <c r="P100" i="1"/>
  <c r="Z134" i="1"/>
  <c r="Z88" i="1"/>
  <c r="P136" i="1"/>
  <c r="K135" i="1"/>
  <c r="AC91" i="1"/>
  <c r="Z136" i="1"/>
  <c r="M135" i="1"/>
  <c r="B138" i="1"/>
  <c r="E138" i="1"/>
  <c r="K137" i="1"/>
  <c r="AD91" i="1"/>
  <c r="Y137" i="1"/>
  <c r="Y110" i="1"/>
  <c r="Z139" i="1"/>
  <c r="Q91" i="1"/>
  <c r="Q94" i="1" s="1"/>
  <c r="Q135" i="1"/>
  <c r="L135" i="1"/>
  <c r="P139" i="1"/>
  <c r="K91" i="1"/>
  <c r="P134" i="1"/>
  <c r="P140" i="1"/>
  <c r="H138" i="1"/>
  <c r="U134" i="1"/>
  <c r="AE90" i="1"/>
  <c r="R110" i="1"/>
  <c r="U110" i="1" s="1"/>
  <c r="N135" i="1"/>
  <c r="X137" i="1"/>
  <c r="R135" i="1"/>
  <c r="N137" i="1"/>
  <c r="F135" i="1"/>
  <c r="W135" i="1"/>
  <c r="S91" i="1"/>
  <c r="S135" i="1"/>
  <c r="U109" i="1"/>
  <c r="C138" i="1"/>
  <c r="F137" i="1"/>
  <c r="X135" i="1"/>
  <c r="V137" i="1"/>
  <c r="T135" i="1"/>
  <c r="R137" i="1"/>
  <c r="U136" i="1"/>
  <c r="I138" i="1"/>
  <c r="G94" i="1"/>
  <c r="G138" i="1"/>
  <c r="J138" i="1"/>
  <c r="V135" i="1"/>
  <c r="Z140" i="1"/>
  <c r="U88" i="1"/>
  <c r="U133" i="1"/>
  <c r="Y135" i="1"/>
  <c r="W110" i="1"/>
  <c r="Z133" i="1"/>
  <c r="N91" i="1"/>
  <c r="M137" i="1"/>
  <c r="U90" i="1"/>
  <c r="P133" i="1"/>
  <c r="D141" i="1"/>
  <c r="D143" i="1"/>
  <c r="U139" i="1"/>
  <c r="O91" i="1"/>
  <c r="O135" i="1"/>
  <c r="AB91" i="1"/>
  <c r="AE88" i="1"/>
  <c r="U140" i="1"/>
  <c r="E143" i="1"/>
  <c r="E141" i="1"/>
  <c r="Z90" i="1"/>
  <c r="L137" i="1"/>
  <c r="F91" i="1"/>
  <c r="E96" i="1"/>
  <c r="J94" i="1"/>
  <c r="J155" i="1" s="1"/>
  <c r="D96" i="1"/>
  <c r="I94" i="1"/>
  <c r="I155" i="1" s="1"/>
  <c r="C94" i="1"/>
  <c r="B94" i="1"/>
  <c r="P88" i="1"/>
  <c r="P149" i="1" s="1"/>
  <c r="L110" i="1"/>
  <c r="L91" i="1"/>
  <c r="L152" i="1" s="1"/>
  <c r="M110" i="1"/>
  <c r="M91" i="1"/>
  <c r="R91" i="1"/>
  <c r="N110" i="1"/>
  <c r="T91" i="1"/>
  <c r="V91" i="1"/>
  <c r="W91" i="1"/>
  <c r="X91" i="1"/>
  <c r="AJ88" i="1"/>
  <c r="AE100" i="1"/>
  <c r="AD110" i="1"/>
  <c r="AB110" i="1"/>
  <c r="AJ110" i="1"/>
  <c r="AA110" i="1"/>
  <c r="AA91" i="1"/>
  <c r="AF91" i="1"/>
  <c r="AG91" i="1"/>
  <c r="AO110" i="1" l="1"/>
  <c r="F61" i="1"/>
  <c r="F59" i="2"/>
  <c r="H141" i="1"/>
  <c r="AD152" i="1"/>
  <c r="AE149" i="1"/>
  <c r="AA152" i="1"/>
  <c r="U151" i="1"/>
  <c r="U51" i="3"/>
  <c r="T152" i="1"/>
  <c r="Z151" i="1"/>
  <c r="H96" i="1"/>
  <c r="G155" i="1"/>
  <c r="Z149" i="1"/>
  <c r="AE51" i="3"/>
  <c r="AL152" i="1"/>
  <c r="AG152" i="1"/>
  <c r="M94" i="1"/>
  <c r="M155" i="1" s="1"/>
  <c r="M152" i="1"/>
  <c r="X94" i="1"/>
  <c r="X152" i="1"/>
  <c r="U149" i="1"/>
  <c r="S94" i="1"/>
  <c r="S96" i="1" s="1"/>
  <c r="S68" i="2" s="1"/>
  <c r="S152" i="1"/>
  <c r="AE151" i="1"/>
  <c r="R94" i="1"/>
  <c r="R152" i="1"/>
  <c r="W152" i="1"/>
  <c r="Q152" i="1"/>
  <c r="H155" i="1"/>
  <c r="V152" i="1"/>
  <c r="AB152" i="1"/>
  <c r="Z51" i="3"/>
  <c r="K94" i="1"/>
  <c r="K152" i="1"/>
  <c r="N94" i="1"/>
  <c r="N155" i="1" s="1"/>
  <c r="N152" i="1"/>
  <c r="AC152" i="1"/>
  <c r="AJ51" i="3"/>
  <c r="O94" i="1"/>
  <c r="O155" i="1" s="1"/>
  <c r="O152" i="1"/>
  <c r="P137" i="1"/>
  <c r="P151" i="1"/>
  <c r="AH94" i="1"/>
  <c r="AH117" i="1" s="1"/>
  <c r="AH152" i="1"/>
  <c r="Y138" i="1"/>
  <c r="Y152" i="1"/>
  <c r="AF152" i="1"/>
  <c r="AJ149" i="1"/>
  <c r="J43" i="1"/>
  <c r="I52" i="1"/>
  <c r="I59" i="2" s="1"/>
  <c r="I60" i="2" s="1"/>
  <c r="AA50" i="1"/>
  <c r="AB50" i="1" s="1"/>
  <c r="AC50" i="1" s="1"/>
  <c r="AD50" i="1" s="1"/>
  <c r="AE50" i="1" s="1"/>
  <c r="Y94" i="1"/>
  <c r="AE91" i="1"/>
  <c r="AD94" i="1"/>
  <c r="AD117" i="1" s="1"/>
  <c r="Z110" i="1"/>
  <c r="Q96" i="1"/>
  <c r="Q141" i="1"/>
  <c r="Q143" i="1"/>
  <c r="X138" i="1"/>
  <c r="L138" i="1"/>
  <c r="Z137" i="1"/>
  <c r="U91" i="1"/>
  <c r="U135" i="1"/>
  <c r="Z91" i="1"/>
  <c r="Z135" i="1"/>
  <c r="W138" i="1"/>
  <c r="J141" i="1"/>
  <c r="J143" i="1"/>
  <c r="N138" i="1"/>
  <c r="G96" i="1"/>
  <c r="G68" i="2" s="1"/>
  <c r="G74" i="2" s="1"/>
  <c r="G141" i="1"/>
  <c r="G143" i="1"/>
  <c r="S138" i="1"/>
  <c r="Q138" i="1"/>
  <c r="AC94" i="1"/>
  <c r="AC117" i="1" s="1"/>
  <c r="R138" i="1"/>
  <c r="K138" i="1"/>
  <c r="AJ135" i="1"/>
  <c r="L94" i="1"/>
  <c r="L155" i="1" s="1"/>
  <c r="M138" i="1"/>
  <c r="T138" i="1"/>
  <c r="I141" i="1"/>
  <c r="I143" i="1"/>
  <c r="V138" i="1"/>
  <c r="P135" i="1"/>
  <c r="AB94" i="1"/>
  <c r="AB117" i="1" s="1"/>
  <c r="B141" i="1"/>
  <c r="B143" i="1"/>
  <c r="F138" i="1"/>
  <c r="C96" i="1"/>
  <c r="C111" i="1" s="1"/>
  <c r="C114" i="1" s="1"/>
  <c r="C143" i="1"/>
  <c r="C141" i="1"/>
  <c r="O138" i="1"/>
  <c r="U137" i="1"/>
  <c r="F94" i="1"/>
  <c r="F117" i="1" s="1"/>
  <c r="F128" i="1" s="1"/>
  <c r="F159" i="1" s="1"/>
  <c r="E98" i="1"/>
  <c r="E111" i="1"/>
  <c r="E114" i="1" s="1"/>
  <c r="J96" i="1"/>
  <c r="J68" i="2" s="1"/>
  <c r="D98" i="1"/>
  <c r="D111" i="1"/>
  <c r="D114" i="1" s="1"/>
  <c r="I96" i="1"/>
  <c r="I68" i="2" s="1"/>
  <c r="B96" i="1"/>
  <c r="P110" i="1"/>
  <c r="P91" i="1"/>
  <c r="P152" i="1" s="1"/>
  <c r="T94" i="1"/>
  <c r="V94" i="1"/>
  <c r="W94" i="1"/>
  <c r="W117" i="1" s="1"/>
  <c r="W128" i="1" s="1"/>
  <c r="W159" i="1" s="1"/>
  <c r="AE110" i="1"/>
  <c r="AA94" i="1"/>
  <c r="AA117" i="1" s="1"/>
  <c r="AG94" i="1"/>
  <c r="AG117" i="1" s="1"/>
  <c r="AF94" i="1"/>
  <c r="AF117" i="1" s="1"/>
  <c r="AD128" i="1" l="1"/>
  <c r="AG128" i="1"/>
  <c r="AG130" i="1" s="1"/>
  <c r="AB128" i="1"/>
  <c r="AC128" i="1"/>
  <c r="Q111" i="1"/>
  <c r="Q114" i="1" s="1"/>
  <c r="Q68" i="2"/>
  <c r="Y141" i="1"/>
  <c r="Y117" i="1"/>
  <c r="Y128" i="1" s="1"/>
  <c r="Y159" i="1" s="1"/>
  <c r="X141" i="1"/>
  <c r="X117" i="1"/>
  <c r="X128" i="1" s="1"/>
  <c r="X159" i="1" s="1"/>
  <c r="H111" i="1"/>
  <c r="H114" i="1" s="1"/>
  <c r="H157" i="1" s="1"/>
  <c r="H68" i="2"/>
  <c r="H74" i="2" s="1"/>
  <c r="F130" i="1"/>
  <c r="F69" i="2"/>
  <c r="AA128" i="1"/>
  <c r="AE117" i="1"/>
  <c r="V155" i="1"/>
  <c r="V117" i="1"/>
  <c r="W69" i="2"/>
  <c r="W130" i="1"/>
  <c r="K96" i="1"/>
  <c r="K117" i="1"/>
  <c r="K128" i="1" s="1"/>
  <c r="K159" i="1" s="1"/>
  <c r="AF128" i="1"/>
  <c r="AH96" i="1"/>
  <c r="AH68" i="2" s="1"/>
  <c r="AH128" i="1"/>
  <c r="O141" i="1"/>
  <c r="Z152" i="1"/>
  <c r="R155" i="1"/>
  <c r="H98" i="1"/>
  <c r="X96" i="1"/>
  <c r="N96" i="1"/>
  <c r="AC155" i="1"/>
  <c r="K141" i="1"/>
  <c r="N143" i="1"/>
  <c r="X143" i="1"/>
  <c r="N141" i="1"/>
  <c r="M96" i="1"/>
  <c r="M143" i="1"/>
  <c r="R141" i="1"/>
  <c r="M141" i="1"/>
  <c r="W155" i="1"/>
  <c r="T155" i="1"/>
  <c r="O96" i="1"/>
  <c r="S143" i="1"/>
  <c r="S141" i="1"/>
  <c r="AD155" i="1"/>
  <c r="O143" i="1"/>
  <c r="K143" i="1"/>
  <c r="R143" i="1"/>
  <c r="R96" i="1"/>
  <c r="AF155" i="1"/>
  <c r="X155" i="1"/>
  <c r="AH155" i="1"/>
  <c r="U152" i="1"/>
  <c r="AG155" i="1"/>
  <c r="AL155" i="1"/>
  <c r="AA155" i="1"/>
  <c r="K155" i="1"/>
  <c r="AE94" i="1"/>
  <c r="AE96" i="1" s="1"/>
  <c r="AE152" i="1"/>
  <c r="Y96" i="1"/>
  <c r="Y155" i="1"/>
  <c r="AB155" i="1"/>
  <c r="S155" i="1"/>
  <c r="Q155" i="1"/>
  <c r="Y143" i="1"/>
  <c r="C98" i="1"/>
  <c r="J52" i="1"/>
  <c r="J59" i="2" s="1"/>
  <c r="J60" i="2" s="1"/>
  <c r="K43" i="1"/>
  <c r="AD96" i="1"/>
  <c r="Q98" i="1"/>
  <c r="F141" i="1"/>
  <c r="F143" i="1"/>
  <c r="AC96" i="1"/>
  <c r="AC68" i="2" s="1"/>
  <c r="P138" i="1"/>
  <c r="S111" i="1"/>
  <c r="S114" i="1" s="1"/>
  <c r="S98" i="1"/>
  <c r="U138" i="1"/>
  <c r="U94" i="1"/>
  <c r="U117" i="1" s="1"/>
  <c r="U128" i="1" s="1"/>
  <c r="L96" i="1"/>
  <c r="T143" i="1"/>
  <c r="T141" i="1"/>
  <c r="B111" i="1"/>
  <c r="B114" i="1" s="1"/>
  <c r="B98" i="1"/>
  <c r="W96" i="1"/>
  <c r="W141" i="1"/>
  <c r="W143" i="1"/>
  <c r="Z138" i="1"/>
  <c r="Z94" i="1"/>
  <c r="L141" i="1"/>
  <c r="L143" i="1"/>
  <c r="AA96" i="1"/>
  <c r="V141" i="1"/>
  <c r="V143" i="1"/>
  <c r="AB96" i="1"/>
  <c r="AB68" i="2" s="1"/>
  <c r="G111" i="1"/>
  <c r="G114" i="1" s="1"/>
  <c r="G98" i="1"/>
  <c r="F96" i="1"/>
  <c r="J98" i="1"/>
  <c r="J111" i="1"/>
  <c r="J114" i="1" s="1"/>
  <c r="J157" i="1" s="1"/>
  <c r="I98" i="1"/>
  <c r="I111" i="1"/>
  <c r="I114" i="1" s="1"/>
  <c r="I157" i="1" s="1"/>
  <c r="P94" i="1"/>
  <c r="T96" i="1"/>
  <c r="T68" i="2" s="1"/>
  <c r="V96" i="1"/>
  <c r="V68" i="2" s="1"/>
  <c r="AG96" i="1"/>
  <c r="AF96" i="1"/>
  <c r="AF68" i="2" s="1"/>
  <c r="AG69" i="2" l="1"/>
  <c r="AD69" i="2"/>
  <c r="AC69" i="2"/>
  <c r="AC159" i="1"/>
  <c r="AF159" i="1"/>
  <c r="AB69" i="2"/>
  <c r="AB159" i="1"/>
  <c r="AG159" i="1"/>
  <c r="AL159" i="1"/>
  <c r="AH159" i="1"/>
  <c r="AD130" i="1"/>
  <c r="AD159" i="1"/>
  <c r="AC130" i="1"/>
  <c r="AH98" i="1"/>
  <c r="AB130" i="1"/>
  <c r="AH111" i="1"/>
  <c r="AH114" i="1" s="1"/>
  <c r="O111" i="1"/>
  <c r="O114" i="1" s="1"/>
  <c r="O157" i="1" s="1"/>
  <c r="O68" i="2"/>
  <c r="K111" i="1"/>
  <c r="K68" i="2"/>
  <c r="AA130" i="1"/>
  <c r="AA69" i="2"/>
  <c r="AE128" i="1"/>
  <c r="R98" i="1"/>
  <c r="R68" i="2"/>
  <c r="Y69" i="2"/>
  <c r="Y130" i="1"/>
  <c r="L98" i="1"/>
  <c r="L68" i="2"/>
  <c r="I74" i="2"/>
  <c r="F111" i="1"/>
  <c r="F68" i="2"/>
  <c r="AD98" i="1"/>
  <c r="AD68" i="2"/>
  <c r="N98" i="1"/>
  <c r="N68" i="2"/>
  <c r="W98" i="1"/>
  <c r="W68" i="2"/>
  <c r="Y111" i="1"/>
  <c r="Y114" i="1" s="1"/>
  <c r="Y68" i="2"/>
  <c r="X111" i="1"/>
  <c r="X114" i="1" s="1"/>
  <c r="X157" i="1" s="1"/>
  <c r="X68" i="2"/>
  <c r="V128" i="1"/>
  <c r="V159" i="1" s="1"/>
  <c r="Z117" i="1"/>
  <c r="X130" i="1"/>
  <c r="X69" i="2"/>
  <c r="AG111" i="1"/>
  <c r="AG114" i="1" s="1"/>
  <c r="AG68" i="2"/>
  <c r="P155" i="1"/>
  <c r="P117" i="1"/>
  <c r="P128" i="1" s="1"/>
  <c r="P159" i="1" s="1"/>
  <c r="AA98" i="1"/>
  <c r="AA68" i="2"/>
  <c r="M111" i="1"/>
  <c r="M114" i="1" s="1"/>
  <c r="M157" i="1" s="1"/>
  <c r="M68" i="2"/>
  <c r="U69" i="2"/>
  <c r="U130" i="1"/>
  <c r="AE111" i="1"/>
  <c r="AE68" i="2"/>
  <c r="K130" i="1"/>
  <c r="K69" i="2"/>
  <c r="AH130" i="1"/>
  <c r="AH69" i="2"/>
  <c r="AF130" i="1"/>
  <c r="AF69" i="2"/>
  <c r="X98" i="1"/>
  <c r="N111" i="1"/>
  <c r="N114" i="1" s="1"/>
  <c r="N157" i="1" s="1"/>
  <c r="AF98" i="1"/>
  <c r="AF111" i="1"/>
  <c r="AF114" i="1" s="1"/>
  <c r="R111" i="1"/>
  <c r="R114" i="1" s="1"/>
  <c r="O98" i="1"/>
  <c r="M98" i="1"/>
  <c r="U155" i="1"/>
  <c r="Y98" i="1"/>
  <c r="G157" i="1"/>
  <c r="Z155" i="1"/>
  <c r="AE155" i="1"/>
  <c r="F98" i="1"/>
  <c r="K52" i="1"/>
  <c r="L43" i="1"/>
  <c r="AD111" i="1"/>
  <c r="AD114" i="1" s="1"/>
  <c r="K98" i="1"/>
  <c r="W111" i="1"/>
  <c r="W114" i="1" s="1"/>
  <c r="L111" i="1"/>
  <c r="L114" i="1" s="1"/>
  <c r="AA111" i="1"/>
  <c r="AA114" i="1" s="1"/>
  <c r="Z96" i="1"/>
  <c r="Z141" i="1"/>
  <c r="Z143" i="1"/>
  <c r="P141" i="1"/>
  <c r="P143" i="1"/>
  <c r="T98" i="1"/>
  <c r="T111" i="1"/>
  <c r="T114" i="1" s="1"/>
  <c r="AB98" i="1"/>
  <c r="AB111" i="1"/>
  <c r="AB114" i="1" s="1"/>
  <c r="U96" i="1"/>
  <c r="U141" i="1"/>
  <c r="U143" i="1"/>
  <c r="AC98" i="1"/>
  <c r="AC111" i="1"/>
  <c r="AC114" i="1" s="1"/>
  <c r="AG98" i="1"/>
  <c r="F114" i="1"/>
  <c r="K114" i="1"/>
  <c r="P96" i="1"/>
  <c r="V98" i="1"/>
  <c r="V111" i="1"/>
  <c r="AF75" i="2" l="1"/>
  <c r="U159" i="1"/>
  <c r="AA159" i="1"/>
  <c r="AL157" i="1"/>
  <c r="AC157" i="1"/>
  <c r="U98" i="1"/>
  <c r="AG75" i="2"/>
  <c r="AA75" i="2"/>
  <c r="Y157" i="1"/>
  <c r="AD157" i="1"/>
  <c r="R157" i="1"/>
  <c r="AB75" i="2"/>
  <c r="AD75" i="2"/>
  <c r="AC75" i="2"/>
  <c r="V69" i="2"/>
  <c r="X75" i="2" s="1"/>
  <c r="V130" i="1"/>
  <c r="Z128" i="1"/>
  <c r="Z159" i="1" s="1"/>
  <c r="AE130" i="1"/>
  <c r="AE69" i="2"/>
  <c r="U111" i="1"/>
  <c r="U68" i="2"/>
  <c r="K61" i="1"/>
  <c r="K59" i="2"/>
  <c r="P130" i="1"/>
  <c r="P69" i="2"/>
  <c r="P111" i="1"/>
  <c r="P68" i="2"/>
  <c r="Z111" i="1"/>
  <c r="Z68" i="2"/>
  <c r="AH75" i="2"/>
  <c r="S157" i="1"/>
  <c r="W157" i="1"/>
  <c r="P98" i="1"/>
  <c r="Z98" i="1"/>
  <c r="K157" i="1"/>
  <c r="AB157" i="1"/>
  <c r="AG157" i="1"/>
  <c r="AF157" i="1"/>
  <c r="L157" i="1"/>
  <c r="Q157" i="1"/>
  <c r="U114" i="1"/>
  <c r="T157" i="1"/>
  <c r="AH157" i="1"/>
  <c r="M43" i="1"/>
  <c r="L52" i="1"/>
  <c r="L59" i="2" s="1"/>
  <c r="L60" i="2" s="1"/>
  <c r="AE98" i="1"/>
  <c r="P114" i="1"/>
  <c r="P157" i="1" s="1"/>
  <c r="AE114" i="1"/>
  <c r="V114" i="1"/>
  <c r="V157" i="1" s="1"/>
  <c r="AE159" i="1" l="1"/>
  <c r="Y75" i="2"/>
  <c r="Z130" i="1"/>
  <c r="Z69" i="2"/>
  <c r="V75" i="2"/>
  <c r="W75" i="2"/>
  <c r="U157" i="1"/>
  <c r="AA157" i="1"/>
  <c r="N43" i="1"/>
  <c r="M52" i="1"/>
  <c r="M59" i="2" s="1"/>
  <c r="M60" i="2" s="1"/>
  <c r="Z114" i="1"/>
  <c r="Z157" i="1" s="1"/>
  <c r="AE157" i="1" l="1"/>
  <c r="O43" i="1"/>
  <c r="N52" i="1"/>
  <c r="N59" i="2" s="1"/>
  <c r="N60" i="2" s="1"/>
  <c r="AO92" i="1"/>
  <c r="AO153" i="1" l="1"/>
  <c r="AT153" i="1"/>
  <c r="P43" i="1"/>
  <c r="O52" i="1"/>
  <c r="O59" i="2" s="1"/>
  <c r="O60" i="2" s="1"/>
  <c r="AI90" i="1"/>
  <c r="AT39" i="1"/>
  <c r="AO40" i="1"/>
  <c r="AT40" i="1"/>
  <c r="AO41" i="1"/>
  <c r="AT41" i="1"/>
  <c r="AO42" i="1"/>
  <c r="AT42" i="1"/>
  <c r="AO46" i="1"/>
  <c r="AT46" i="1"/>
  <c r="AO47" i="1"/>
  <c r="AT47" i="1"/>
  <c r="AO48" i="1"/>
  <c r="AT48" i="1"/>
  <c r="AO49" i="1"/>
  <c r="AT49" i="1"/>
  <c r="AF52" i="1"/>
  <c r="AJ49" i="1"/>
  <c r="AJ48" i="1"/>
  <c r="AJ47" i="1"/>
  <c r="AJ46" i="1"/>
  <c r="AG50" i="1"/>
  <c r="AH50" i="1" s="1"/>
  <c r="AI50" i="1" s="1"/>
  <c r="AJ42" i="1"/>
  <c r="AJ41" i="1"/>
  <c r="AJ40" i="1"/>
  <c r="AJ39" i="1"/>
  <c r="AH43" i="1"/>
  <c r="AA133" i="1"/>
  <c r="AB133" i="1"/>
  <c r="AC133" i="1"/>
  <c r="AD133" i="1"/>
  <c r="AE133" i="1"/>
  <c r="AF133" i="1"/>
  <c r="AG133" i="1"/>
  <c r="AH133" i="1"/>
  <c r="AI133" i="1"/>
  <c r="AJ133" i="1"/>
  <c r="AB134" i="1"/>
  <c r="AC134" i="1"/>
  <c r="AD134" i="1"/>
  <c r="AE134" i="1"/>
  <c r="AG134" i="1"/>
  <c r="AH134" i="1"/>
  <c r="AI134" i="1"/>
  <c r="AJ134" i="1"/>
  <c r="AA135" i="1"/>
  <c r="AB135" i="1"/>
  <c r="AC135" i="1"/>
  <c r="AD135" i="1"/>
  <c r="AE135" i="1"/>
  <c r="AF135" i="1"/>
  <c r="AH135" i="1"/>
  <c r="AA136" i="1"/>
  <c r="AB136" i="1"/>
  <c r="AC136" i="1"/>
  <c r="AD136" i="1"/>
  <c r="AE136" i="1"/>
  <c r="AF136" i="1"/>
  <c r="AH136" i="1"/>
  <c r="AI136" i="1"/>
  <c r="AJ136" i="1"/>
  <c r="AA137" i="1"/>
  <c r="AB137" i="1"/>
  <c r="AC137" i="1"/>
  <c r="AD137" i="1"/>
  <c r="AE137" i="1"/>
  <c r="AF137" i="1"/>
  <c r="AG137" i="1"/>
  <c r="AH137" i="1"/>
  <c r="AA138" i="1"/>
  <c r="AB138" i="1"/>
  <c r="AC138" i="1"/>
  <c r="AD138" i="1"/>
  <c r="AE138" i="1"/>
  <c r="AF138" i="1"/>
  <c r="AG138" i="1"/>
  <c r="AH138" i="1"/>
  <c r="AA139" i="1"/>
  <c r="AB139" i="1"/>
  <c r="AC139" i="1"/>
  <c r="AD139" i="1"/>
  <c r="AE139" i="1"/>
  <c r="AF139" i="1"/>
  <c r="AG139" i="1"/>
  <c r="AH139" i="1"/>
  <c r="AI139" i="1"/>
  <c r="AJ139" i="1"/>
  <c r="AA140" i="1"/>
  <c r="AB140" i="1"/>
  <c r="AC140" i="1"/>
  <c r="AD140" i="1"/>
  <c r="AE140" i="1"/>
  <c r="AF140" i="1"/>
  <c r="AG140" i="1"/>
  <c r="AH140" i="1"/>
  <c r="AI140" i="1"/>
  <c r="AJ140" i="1"/>
  <c r="AA141" i="1"/>
  <c r="AB141" i="1"/>
  <c r="AC141" i="1"/>
  <c r="AD141" i="1"/>
  <c r="AE141" i="1"/>
  <c r="AF141" i="1"/>
  <c r="AG141" i="1"/>
  <c r="AH141" i="1"/>
  <c r="AA143" i="1"/>
  <c r="AB143" i="1"/>
  <c r="AC143" i="1"/>
  <c r="AD143" i="1"/>
  <c r="AE143" i="1"/>
  <c r="AF143" i="1"/>
  <c r="AG143" i="1"/>
  <c r="AH143" i="1"/>
  <c r="AL133" i="1"/>
  <c r="AL134" i="1"/>
  <c r="AL135" i="1"/>
  <c r="AL136" i="1"/>
  <c r="AL137" i="1"/>
  <c r="AL138" i="1"/>
  <c r="AL139" i="1"/>
  <c r="AL140" i="1"/>
  <c r="AL141" i="1"/>
  <c r="AL143" i="1"/>
  <c r="AK140" i="1"/>
  <c r="AK139" i="1"/>
  <c r="AK136" i="1"/>
  <c r="AK134" i="1"/>
  <c r="AK133" i="1"/>
  <c r="AO93" i="1"/>
  <c r="AK90" i="1"/>
  <c r="AK88" i="1"/>
  <c r="A141" i="1"/>
  <c r="AI43" i="1" l="1"/>
  <c r="AI52" i="1" s="1"/>
  <c r="AH77" i="1"/>
  <c r="AF61" i="1"/>
  <c r="AF64" i="1" s="1"/>
  <c r="AF59" i="2"/>
  <c r="AF60" i="2" s="1"/>
  <c r="AI151" i="1"/>
  <c r="AK149" i="1"/>
  <c r="AK151" i="1"/>
  <c r="AP151" i="1"/>
  <c r="AO154" i="1"/>
  <c r="AT154" i="1"/>
  <c r="P52" i="1"/>
  <c r="Q43" i="1"/>
  <c r="AI91" i="1"/>
  <c r="AI137" i="1"/>
  <c r="AK135" i="1"/>
  <c r="AJ90" i="1"/>
  <c r="AJ151" i="1" s="1"/>
  <c r="AO90" i="1"/>
  <c r="AI135" i="1"/>
  <c r="AJ50" i="1"/>
  <c r="AH52" i="1"/>
  <c r="AG52" i="1"/>
  <c r="AK137" i="1"/>
  <c r="AK91" i="1"/>
  <c r="AJ43" i="1" l="1"/>
  <c r="AK43" i="1" s="1"/>
  <c r="AK77" i="1" s="1"/>
  <c r="AI77" i="1"/>
  <c r="AJ77" i="1" s="1"/>
  <c r="AF63" i="1"/>
  <c r="AF65" i="1" s="1"/>
  <c r="AF66" i="1" s="1"/>
  <c r="AG61" i="1"/>
  <c r="AG63" i="1" s="1"/>
  <c r="AG59" i="2"/>
  <c r="AG60" i="2" s="1"/>
  <c r="AH61" i="1"/>
  <c r="AH64" i="1" s="1"/>
  <c r="AH59" i="2"/>
  <c r="AH60" i="2" s="1"/>
  <c r="P61" i="1"/>
  <c r="P59" i="2"/>
  <c r="AI61" i="1"/>
  <c r="AI63" i="1" s="1"/>
  <c r="AI59" i="2"/>
  <c r="AI60" i="2" s="1"/>
  <c r="AK152" i="1"/>
  <c r="AT151" i="1"/>
  <c r="AO151" i="1"/>
  <c r="AI94" i="1"/>
  <c r="AI117" i="1" s="1"/>
  <c r="AI152" i="1"/>
  <c r="R43" i="1"/>
  <c r="Q52" i="1"/>
  <c r="Q59" i="2" s="1"/>
  <c r="Q60" i="2" s="1"/>
  <c r="AI138" i="1"/>
  <c r="AJ91" i="1"/>
  <c r="AJ152" i="1" s="1"/>
  <c r="AJ137" i="1"/>
  <c r="AK94" i="1"/>
  <c r="AK117" i="1" s="1"/>
  <c r="AK50" i="1"/>
  <c r="AK138" i="1"/>
  <c r="AL43" i="1" l="1"/>
  <c r="AK78" i="1"/>
  <c r="AJ52" i="1"/>
  <c r="AF72" i="1"/>
  <c r="AF70" i="1" s="1"/>
  <c r="AG64" i="1"/>
  <c r="AH63" i="1"/>
  <c r="AH65" i="1" s="1"/>
  <c r="AH66" i="1" s="1"/>
  <c r="AH72" i="1" s="1"/>
  <c r="AI64" i="1"/>
  <c r="AI65" i="1" s="1"/>
  <c r="AI143" i="1"/>
  <c r="AK128" i="1"/>
  <c r="AI155" i="1"/>
  <c r="AI96" i="1"/>
  <c r="AK155" i="1"/>
  <c r="AI141" i="1"/>
  <c r="S43" i="1"/>
  <c r="R52" i="1"/>
  <c r="R59" i="2" s="1"/>
  <c r="R60" i="2" s="1"/>
  <c r="AK143" i="1"/>
  <c r="AK96" i="1"/>
  <c r="AK141" i="1"/>
  <c r="AJ138" i="1"/>
  <c r="AJ94" i="1"/>
  <c r="AJ155" i="1" s="1"/>
  <c r="AL50" i="1"/>
  <c r="AK52" i="1"/>
  <c r="AK159" i="1" l="1"/>
  <c r="AJ61" i="1"/>
  <c r="AJ59" i="2"/>
  <c r="AL77" i="1"/>
  <c r="AL78" i="1" s="1"/>
  <c r="AM43" i="1"/>
  <c r="AJ63" i="1"/>
  <c r="AG65" i="1"/>
  <c r="AG66" i="1" s="1"/>
  <c r="AJ64" i="1"/>
  <c r="AF71" i="1"/>
  <c r="AF73" i="1"/>
  <c r="AH70" i="1"/>
  <c r="AH71" i="1" s="1"/>
  <c r="AI66" i="1"/>
  <c r="AI72" i="1" s="1"/>
  <c r="AI111" i="1"/>
  <c r="AI114" i="1" s="1"/>
  <c r="AI68" i="2"/>
  <c r="AK61" i="1"/>
  <c r="AK63" i="1" s="1"/>
  <c r="AK59" i="2"/>
  <c r="AK60" i="2" s="1"/>
  <c r="AK111" i="1"/>
  <c r="AK114" i="1" s="1"/>
  <c r="AK68" i="2"/>
  <c r="AK130" i="1"/>
  <c r="AK69" i="2"/>
  <c r="AI128" i="1"/>
  <c r="AJ117" i="1"/>
  <c r="AI98" i="1"/>
  <c r="AJ98" i="1" s="1"/>
  <c r="T43" i="1"/>
  <c r="S52" i="1"/>
  <c r="S59" i="2" s="1"/>
  <c r="S60" i="2" s="1"/>
  <c r="AK98" i="1"/>
  <c r="AJ143" i="1"/>
  <c r="AJ141" i="1"/>
  <c r="AJ96" i="1"/>
  <c r="AM50" i="1"/>
  <c r="AL52" i="1"/>
  <c r="AL61" i="1" s="1"/>
  <c r="AI159" i="1" l="1"/>
  <c r="AL64" i="1"/>
  <c r="AL63" i="1"/>
  <c r="AK64" i="1"/>
  <c r="AK65" i="1" s="1"/>
  <c r="AK66" i="1" s="1"/>
  <c r="AN43" i="1"/>
  <c r="AO43" i="1" s="1"/>
  <c r="AP43" i="1" s="1"/>
  <c r="AQ43" i="1" s="1"/>
  <c r="AJ65" i="1"/>
  <c r="AJ114" i="1"/>
  <c r="AK157" i="1"/>
  <c r="AI69" i="2"/>
  <c r="AF74" i="1"/>
  <c r="AG72" i="1"/>
  <c r="AJ72" i="1" s="1"/>
  <c r="AJ66" i="1"/>
  <c r="AI70" i="1"/>
  <c r="AI71" i="1" s="1"/>
  <c r="AH73" i="1"/>
  <c r="AH74" i="1" s="1"/>
  <c r="AI157" i="1"/>
  <c r="AJ111" i="1"/>
  <c r="AJ68" i="2"/>
  <c r="AL59" i="2"/>
  <c r="AL60" i="2" s="1"/>
  <c r="AJ128" i="1"/>
  <c r="AI130" i="1"/>
  <c r="U43" i="1"/>
  <c r="T52" i="1"/>
  <c r="T59" i="2" s="1"/>
  <c r="T60" i="2" s="1"/>
  <c r="AM52" i="1"/>
  <c r="AM60" i="1" s="1"/>
  <c r="AN50" i="1"/>
  <c r="AJ159" i="1" l="1"/>
  <c r="AR43" i="1"/>
  <c r="AQ77" i="1"/>
  <c r="AQ78" i="1" s="1"/>
  <c r="AI75" i="2"/>
  <c r="AL65" i="1"/>
  <c r="AG70" i="1"/>
  <c r="AJ70" i="1" s="1"/>
  <c r="AJ71" i="1" s="1"/>
  <c r="AL75" i="2"/>
  <c r="AK75" i="2"/>
  <c r="AJ157" i="1"/>
  <c r="AK72" i="1"/>
  <c r="AI73" i="1"/>
  <c r="AI74" i="1" s="1"/>
  <c r="AM59" i="2"/>
  <c r="AJ130" i="1"/>
  <c r="AJ69" i="2"/>
  <c r="V43" i="1"/>
  <c r="U52" i="1"/>
  <c r="AN52" i="1"/>
  <c r="AO50" i="1"/>
  <c r="AS43" i="1" l="1"/>
  <c r="AT43" i="1" s="1"/>
  <c r="AU43" i="1" s="1"/>
  <c r="AV43" i="1" s="1"/>
  <c r="AW43" i="1" s="1"/>
  <c r="AX43" i="1" s="1"/>
  <c r="AY43" i="1" s="1"/>
  <c r="AZ43" i="1" s="1"/>
  <c r="AG73" i="1"/>
  <c r="AG74" i="1" s="1"/>
  <c r="AG71" i="1"/>
  <c r="AK70" i="1"/>
  <c r="AK73" i="1" s="1"/>
  <c r="AL66" i="1"/>
  <c r="AN55" i="1"/>
  <c r="AN59" i="2"/>
  <c r="U61" i="1"/>
  <c r="U59" i="2"/>
  <c r="W43" i="1"/>
  <c r="V52" i="1"/>
  <c r="V59" i="2" s="1"/>
  <c r="V60" i="2" s="1"/>
  <c r="AO52" i="1"/>
  <c r="AO59" i="2" s="1"/>
  <c r="AP50" i="1"/>
  <c r="BA43" i="1" l="1"/>
  <c r="AJ73" i="1"/>
  <c r="AJ74" i="1" s="1"/>
  <c r="AL72" i="1"/>
  <c r="AL70" i="1" s="1"/>
  <c r="AL71" i="1" s="1"/>
  <c r="AK71" i="1"/>
  <c r="AK74" i="1"/>
  <c r="AM61" i="1"/>
  <c r="X43" i="1"/>
  <c r="W52" i="1"/>
  <c r="W59" i="2" s="1"/>
  <c r="W60" i="2" s="1"/>
  <c r="AP52" i="1"/>
  <c r="AQ50" i="1"/>
  <c r="AO31" i="2"/>
  <c r="AL32" i="2"/>
  <c r="AL38" i="2" s="1"/>
  <c r="AL47" i="2" s="1"/>
  <c r="AO22" i="2"/>
  <c r="AT22" i="2" s="1"/>
  <c r="AY22" i="2" s="1"/>
  <c r="BA22" i="2" s="1"/>
  <c r="BB22" i="2" s="1"/>
  <c r="BC22" i="2" s="1"/>
  <c r="BD22" i="2" s="1"/>
  <c r="BE22" i="2" s="1"/>
  <c r="BF22" i="2" s="1"/>
  <c r="BG22" i="2" s="1"/>
  <c r="BH22" i="2" s="1"/>
  <c r="BI22" i="2" s="1"/>
  <c r="AM21" i="2"/>
  <c r="AN21" i="2" s="1"/>
  <c r="AO21" i="2" s="1"/>
  <c r="AP21" i="2" s="1"/>
  <c r="AS21" i="2" s="1"/>
  <c r="AT21" i="2" s="1"/>
  <c r="AU21" i="2" s="1"/>
  <c r="AV21" i="2" s="1"/>
  <c r="AO19" i="2"/>
  <c r="AT19" i="2" s="1"/>
  <c r="AY19" i="2" s="1"/>
  <c r="BA19" i="2" s="1"/>
  <c r="BB19" i="2" s="1"/>
  <c r="BC19" i="2" s="1"/>
  <c r="BD19" i="2" s="1"/>
  <c r="BE19" i="2" s="1"/>
  <c r="BF19" i="2" s="1"/>
  <c r="BG19" i="2" s="1"/>
  <c r="BH19" i="2" s="1"/>
  <c r="BI19" i="2" s="1"/>
  <c r="AL16" i="2"/>
  <c r="AT7" i="2"/>
  <c r="AS7" i="2"/>
  <c r="AR7" i="2"/>
  <c r="AQ7" i="2"/>
  <c r="AP7" i="2"/>
  <c r="AO7" i="2"/>
  <c r="AN7" i="2"/>
  <c r="AM7" i="2"/>
  <c r="AL7" i="2"/>
  <c r="AK7"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C7" i="2"/>
  <c r="D7" i="2"/>
  <c r="E7" i="2"/>
  <c r="B7" i="2"/>
  <c r="AO14" i="2"/>
  <c r="AT14" i="2" s="1"/>
  <c r="AY14" i="2" s="1"/>
  <c r="BA14" i="2" s="1"/>
  <c r="BB14" i="2" s="1"/>
  <c r="BC14" i="2" s="1"/>
  <c r="BD14" i="2" s="1"/>
  <c r="BE14" i="2" s="1"/>
  <c r="BF14" i="2" s="1"/>
  <c r="BG14" i="2" s="1"/>
  <c r="BH14" i="2" s="1"/>
  <c r="BI14" i="2" s="1"/>
  <c r="AJ45" i="2"/>
  <c r="AJ44" i="2"/>
  <c r="AJ43" i="2"/>
  <c r="AJ42" i="2"/>
  <c r="AJ41" i="2"/>
  <c r="AI46" i="2"/>
  <c r="AH46" i="2"/>
  <c r="AG46" i="2"/>
  <c r="AF46" i="2"/>
  <c r="AE45" i="2"/>
  <c r="AE44" i="2"/>
  <c r="AE43" i="2"/>
  <c r="AE42" i="2"/>
  <c r="AE41" i="2"/>
  <c r="AD37" i="2"/>
  <c r="AE37" i="2" s="1"/>
  <c r="AD46" i="2"/>
  <c r="AC46" i="2"/>
  <c r="AB46" i="2"/>
  <c r="AA46" i="2"/>
  <c r="Z45" i="2"/>
  <c r="Z44" i="2"/>
  <c r="Z43" i="2"/>
  <c r="Z42" i="2"/>
  <c r="Z41" i="2"/>
  <c r="W46" i="2"/>
  <c r="X46" i="2"/>
  <c r="Y46" i="2"/>
  <c r="V46" i="2"/>
  <c r="U42" i="2"/>
  <c r="U43" i="2"/>
  <c r="U44" i="2"/>
  <c r="U45" i="2"/>
  <c r="U41" i="2"/>
  <c r="R46" i="2"/>
  <c r="S46" i="2"/>
  <c r="T46" i="2"/>
  <c r="Q46" i="2"/>
  <c r="AK46" i="2"/>
  <c r="AJ37" i="2"/>
  <c r="AJ36" i="2"/>
  <c r="AJ35" i="2"/>
  <c r="AJ34" i="2"/>
  <c r="AH37" i="2"/>
  <c r="AG37" i="2"/>
  <c r="AF37" i="2"/>
  <c r="AE36" i="2"/>
  <c r="AE35" i="2"/>
  <c r="AE34" i="2"/>
  <c r="Z37" i="2"/>
  <c r="Z36" i="2"/>
  <c r="Z35" i="2"/>
  <c r="Z34" i="2"/>
  <c r="U37" i="2"/>
  <c r="U36" i="2"/>
  <c r="U35" i="2"/>
  <c r="U34" i="2"/>
  <c r="P37" i="2"/>
  <c r="P36" i="2"/>
  <c r="P35" i="2"/>
  <c r="P34" i="2"/>
  <c r="K37" i="2"/>
  <c r="K36" i="2"/>
  <c r="K35" i="2"/>
  <c r="K34" i="2"/>
  <c r="F35" i="2"/>
  <c r="F36" i="2"/>
  <c r="F34" i="2"/>
  <c r="E37" i="2"/>
  <c r="F37" i="2" s="1"/>
  <c r="AK32" i="2"/>
  <c r="AK38" i="2" s="1"/>
  <c r="AI32" i="2"/>
  <c r="AJ32" i="2" s="1"/>
  <c r="AH32" i="2"/>
  <c r="AG32" i="2"/>
  <c r="AF32" i="2"/>
  <c r="AD32" i="2"/>
  <c r="AE32" i="2" s="1"/>
  <c r="AC32" i="2"/>
  <c r="AC38" i="2" s="1"/>
  <c r="AB32" i="2"/>
  <c r="AB38" i="2" s="1"/>
  <c r="AA32" i="2"/>
  <c r="AA38" i="2" s="1"/>
  <c r="Y32" i="2"/>
  <c r="Z32" i="2" s="1"/>
  <c r="X32" i="2"/>
  <c r="X38" i="2" s="1"/>
  <c r="W32" i="2"/>
  <c r="W38" i="2" s="1"/>
  <c r="V32" i="2"/>
  <c r="V38" i="2" s="1"/>
  <c r="T32" i="2"/>
  <c r="U32" i="2" s="1"/>
  <c r="S32" i="2"/>
  <c r="S38" i="2" s="1"/>
  <c r="R32" i="2"/>
  <c r="R38" i="2" s="1"/>
  <c r="Q32" i="2"/>
  <c r="Q38" i="2" s="1"/>
  <c r="M32" i="2"/>
  <c r="M38" i="2" s="1"/>
  <c r="N32" i="2"/>
  <c r="N38" i="2" s="1"/>
  <c r="O32" i="2"/>
  <c r="P32" i="2" s="1"/>
  <c r="L32" i="2"/>
  <c r="L38" i="2" s="1"/>
  <c r="E32" i="2"/>
  <c r="F32" i="2" s="1"/>
  <c r="AO29" i="2"/>
  <c r="AP29" i="2" s="1"/>
  <c r="AS29" i="2" s="1"/>
  <c r="AT29" i="2" s="1"/>
  <c r="AU29" i="2" s="1"/>
  <c r="AV29" i="2" s="1"/>
  <c r="AW29" i="2" s="1"/>
  <c r="AX29" i="2" s="1"/>
  <c r="AY29" i="2" s="1"/>
  <c r="AZ29" i="2" s="1"/>
  <c r="BA29" i="2" s="1"/>
  <c r="BB29" i="2" s="1"/>
  <c r="BC29" i="2" s="1"/>
  <c r="BD29" i="2" s="1"/>
  <c r="BE29" i="2" s="1"/>
  <c r="BF29" i="2" s="1"/>
  <c r="BG29" i="2" s="1"/>
  <c r="BH29" i="2" s="1"/>
  <c r="BI29" i="2" s="1"/>
  <c r="AJ30" i="2"/>
  <c r="AJ31" i="2"/>
  <c r="AJ29" i="2"/>
  <c r="AJ28" i="2"/>
  <c r="AK80" i="2" s="1"/>
  <c r="AK83" i="2" s="1"/>
  <c r="AJ27" i="2"/>
  <c r="AE30" i="2"/>
  <c r="AE31" i="2"/>
  <c r="AE29" i="2"/>
  <c r="AE28" i="2"/>
  <c r="AF80" i="2" s="1"/>
  <c r="AF83" i="2" s="1"/>
  <c r="AE27" i="2"/>
  <c r="Z30" i="2"/>
  <c r="Z31" i="2"/>
  <c r="Z29" i="2"/>
  <c r="Z28" i="2"/>
  <c r="AA80" i="2" s="1"/>
  <c r="AA83" i="2" s="1"/>
  <c r="Z27" i="2"/>
  <c r="U30" i="2"/>
  <c r="U31" i="2"/>
  <c r="U29" i="2"/>
  <c r="U28" i="2"/>
  <c r="V80" i="2" s="1"/>
  <c r="V83" i="2" s="1"/>
  <c r="U27" i="2"/>
  <c r="P30" i="2"/>
  <c r="P31" i="2"/>
  <c r="P29" i="2"/>
  <c r="P28" i="2"/>
  <c r="Q80" i="2" s="1"/>
  <c r="Q83" i="2" s="1"/>
  <c r="P27" i="2"/>
  <c r="K30" i="2"/>
  <c r="K31" i="2"/>
  <c r="K29" i="2"/>
  <c r="K28" i="2"/>
  <c r="L80" i="2" s="1"/>
  <c r="L83" i="2" s="1"/>
  <c r="K27" i="2"/>
  <c r="F28" i="2"/>
  <c r="G80" i="2" s="1"/>
  <c r="G83" i="2" s="1"/>
  <c r="F29" i="2"/>
  <c r="F31" i="2"/>
  <c r="F30" i="2"/>
  <c r="F27" i="2"/>
  <c r="AH22" i="2"/>
  <c r="AG22" i="2"/>
  <c r="AF22" i="2"/>
  <c r="AD22" i="2"/>
  <c r="AE22" i="2" s="1"/>
  <c r="AC22" i="2"/>
  <c r="AB22" i="2"/>
  <c r="AA22" i="2"/>
  <c r="AE20" i="2"/>
  <c r="AE19" i="2"/>
  <c r="Y22" i="2"/>
  <c r="Z22" i="2" s="1"/>
  <c r="X22" i="2"/>
  <c r="W22" i="2"/>
  <c r="V22" i="2"/>
  <c r="T22" i="2"/>
  <c r="S22" i="2"/>
  <c r="R22" i="2"/>
  <c r="Q22" i="2"/>
  <c r="O22" i="2"/>
  <c r="P22" i="2" s="1"/>
  <c r="N22" i="2"/>
  <c r="M22" i="2"/>
  <c r="L22" i="2"/>
  <c r="J22" i="2"/>
  <c r="AJ22" i="2"/>
  <c r="AJ21" i="2"/>
  <c r="AJ20" i="2"/>
  <c r="AJ19" i="2"/>
  <c r="AJ18" i="2"/>
  <c r="AJ57" i="3" s="1"/>
  <c r="AE21" i="2"/>
  <c r="AE18" i="2"/>
  <c r="AE57" i="3" s="1"/>
  <c r="Z21" i="2"/>
  <c r="Z20" i="2"/>
  <c r="Z19" i="2"/>
  <c r="Z18" i="2"/>
  <c r="Z57" i="3" s="1"/>
  <c r="U21" i="2"/>
  <c r="U20" i="2"/>
  <c r="U19" i="2"/>
  <c r="U18" i="2"/>
  <c r="U57" i="3" s="1"/>
  <c r="P21" i="2"/>
  <c r="P20" i="2"/>
  <c r="P19" i="2"/>
  <c r="P18" i="2"/>
  <c r="P57" i="3" s="1"/>
  <c r="K21" i="2"/>
  <c r="K20" i="2"/>
  <c r="K19" i="2"/>
  <c r="K18" i="2"/>
  <c r="K57" i="3" s="1"/>
  <c r="F21" i="2"/>
  <c r="F20" i="2"/>
  <c r="F19" i="2"/>
  <c r="F18" i="2"/>
  <c r="F57" i="3" s="1"/>
  <c r="E22" i="2"/>
  <c r="F22" i="2" s="1"/>
  <c r="AK16" i="2"/>
  <c r="AI16" i="2"/>
  <c r="AH16" i="2"/>
  <c r="AG16" i="2"/>
  <c r="AF16" i="2"/>
  <c r="AD16" i="2"/>
  <c r="AC16" i="2"/>
  <c r="AB16" i="2"/>
  <c r="AA16" i="2"/>
  <c r="Y16" i="2"/>
  <c r="X16" i="2"/>
  <c r="W16" i="2"/>
  <c r="V16" i="2"/>
  <c r="T16" i="2"/>
  <c r="S16" i="2"/>
  <c r="R16" i="2"/>
  <c r="Q16" i="2"/>
  <c r="M16" i="2"/>
  <c r="N16" i="2"/>
  <c r="O16" i="2"/>
  <c r="L16" i="2"/>
  <c r="AJ15" i="2"/>
  <c r="AJ14" i="2"/>
  <c r="AJ13" i="2"/>
  <c r="AJ12" i="2"/>
  <c r="AK79" i="2" s="1"/>
  <c r="AK82" i="2" s="1"/>
  <c r="AJ11" i="2"/>
  <c r="AJ50" i="2" s="1"/>
  <c r="AJ65" i="2" s="1"/>
  <c r="AE15" i="2"/>
  <c r="AE14" i="2"/>
  <c r="AE13" i="2"/>
  <c r="AE12" i="2"/>
  <c r="AF79" i="2" s="1"/>
  <c r="AF82" i="2" s="1"/>
  <c r="AE11" i="2"/>
  <c r="AE50" i="2" s="1"/>
  <c r="AE65" i="2" s="1"/>
  <c r="Z15" i="2"/>
  <c r="Z14" i="2"/>
  <c r="Z13" i="2"/>
  <c r="Z12" i="2"/>
  <c r="AA79" i="2" s="1"/>
  <c r="AA82" i="2" s="1"/>
  <c r="Z11" i="2"/>
  <c r="Z50" i="2" s="1"/>
  <c r="Z65" i="2" s="1"/>
  <c r="U15" i="2"/>
  <c r="U14" i="2"/>
  <c r="U13" i="2"/>
  <c r="U12" i="2"/>
  <c r="V79" i="2" s="1"/>
  <c r="V82" i="2" s="1"/>
  <c r="U11" i="2"/>
  <c r="U50" i="2" s="1"/>
  <c r="U65" i="2" s="1"/>
  <c r="P15" i="2"/>
  <c r="P14" i="2"/>
  <c r="P13" i="2"/>
  <c r="P12" i="2"/>
  <c r="Q79" i="2" s="1"/>
  <c r="Q82" i="2" s="1"/>
  <c r="P11" i="2"/>
  <c r="P50" i="2" s="1"/>
  <c r="P65" i="2" s="1"/>
  <c r="K15" i="2"/>
  <c r="K14" i="2"/>
  <c r="K13" i="2"/>
  <c r="K12" i="2"/>
  <c r="L79" i="2" s="1"/>
  <c r="L82" i="2" s="1"/>
  <c r="K11" i="2"/>
  <c r="K50" i="2" s="1"/>
  <c r="K65" i="2" s="1"/>
  <c r="F12" i="2"/>
  <c r="G79" i="2" s="1"/>
  <c r="G82" i="2" s="1"/>
  <c r="F13" i="2"/>
  <c r="F14" i="2"/>
  <c r="F15" i="2"/>
  <c r="F11" i="2"/>
  <c r="F50" i="2" s="1"/>
  <c r="F65" i="2" s="1"/>
  <c r="E16" i="2"/>
  <c r="AX21" i="2" l="1"/>
  <c r="AY21" i="2" s="1"/>
  <c r="AZ21" i="2" s="1"/>
  <c r="BA21" i="2" s="1"/>
  <c r="BB21" i="2" s="1"/>
  <c r="BC21" i="2" s="1"/>
  <c r="BD21" i="2" s="1"/>
  <c r="BE21" i="2" s="1"/>
  <c r="BF21" i="2" s="1"/>
  <c r="BG21" i="2" s="1"/>
  <c r="BH21" i="2" s="1"/>
  <c r="BI21" i="2" s="1"/>
  <c r="AW21" i="2"/>
  <c r="BB43" i="1"/>
  <c r="AG38" i="2"/>
  <c r="S56" i="2"/>
  <c r="AC56" i="2"/>
  <c r="W72" i="2"/>
  <c r="R56" i="2"/>
  <c r="AB56" i="2"/>
  <c r="AL56" i="2"/>
  <c r="AM63" i="1"/>
  <c r="AM64" i="1"/>
  <c r="AL73" i="1"/>
  <c r="L84" i="2"/>
  <c r="AP55" i="1"/>
  <c r="AP59" i="2"/>
  <c r="AH56" i="2"/>
  <c r="N56" i="2"/>
  <c r="F60" i="2"/>
  <c r="G78" i="2"/>
  <c r="G81" i="2" s="1"/>
  <c r="G84" i="2" s="1"/>
  <c r="AF78" i="2"/>
  <c r="AF81" i="2" s="1"/>
  <c r="AF84" i="2" s="1"/>
  <c r="P60" i="2"/>
  <c r="Q78" i="2"/>
  <c r="Q81" i="2" s="1"/>
  <c r="Q84" i="2" s="1"/>
  <c r="AA78" i="2"/>
  <c r="AA81" i="2" s="1"/>
  <c r="AA84" i="2" s="1"/>
  <c r="K60" i="2"/>
  <c r="L78" i="2"/>
  <c r="AJ60" i="2"/>
  <c r="AK78" i="2"/>
  <c r="AK81" i="2" s="1"/>
  <c r="AK84" i="2" s="1"/>
  <c r="U60" i="2"/>
  <c r="V78" i="2"/>
  <c r="V81" i="2" s="1"/>
  <c r="V84" i="2" s="1"/>
  <c r="AC72" i="2"/>
  <c r="T56" i="2"/>
  <c r="AD56" i="2"/>
  <c r="AH72" i="2"/>
  <c r="X72" i="2"/>
  <c r="AB72" i="2"/>
  <c r="AF72" i="2"/>
  <c r="AE72" i="2"/>
  <c r="AD72" i="2"/>
  <c r="AG72" i="2"/>
  <c r="AK72" i="2"/>
  <c r="AL72" i="2"/>
  <c r="AJ72" i="2"/>
  <c r="AI72" i="2"/>
  <c r="T72" i="2"/>
  <c r="U72" i="2"/>
  <c r="V72" i="2"/>
  <c r="Z72" i="2"/>
  <c r="Y72" i="2"/>
  <c r="AA72" i="2"/>
  <c r="O56" i="2"/>
  <c r="W56" i="2"/>
  <c r="AG56" i="2"/>
  <c r="L56" i="2"/>
  <c r="V56" i="2"/>
  <c r="AF56" i="2"/>
  <c r="M56" i="2"/>
  <c r="Y56" i="2"/>
  <c r="R55" i="2"/>
  <c r="R64" i="2" s="1"/>
  <c r="R54" i="2"/>
  <c r="R63" i="2" s="1"/>
  <c r="R53" i="2"/>
  <c r="X55" i="2"/>
  <c r="X64" i="2" s="1"/>
  <c r="X54" i="2"/>
  <c r="X63" i="2" s="1"/>
  <c r="X57" i="2"/>
  <c r="X53" i="2"/>
  <c r="AB57" i="2"/>
  <c r="AB55" i="2"/>
  <c r="AB64" i="2" s="1"/>
  <c r="AB54" i="2"/>
  <c r="AB63" i="2" s="1"/>
  <c r="AB53" i="2"/>
  <c r="W54" i="2"/>
  <c r="W63" i="2" s="1"/>
  <c r="W57" i="2"/>
  <c r="W55" i="2"/>
  <c r="W64" i="2" s="1"/>
  <c r="W53" i="2"/>
  <c r="AC57" i="2"/>
  <c r="AC54" i="2"/>
  <c r="AC63" i="2" s="1"/>
  <c r="AC55" i="2"/>
  <c r="AC64" i="2" s="1"/>
  <c r="AC53" i="2"/>
  <c r="AF55" i="2"/>
  <c r="AF64" i="2" s="1"/>
  <c r="AF54" i="2"/>
  <c r="AF63" i="2" s="1"/>
  <c r="AF57" i="2"/>
  <c r="AF53" i="2"/>
  <c r="AE46" i="2"/>
  <c r="AD54" i="2"/>
  <c r="AD63" i="2" s="1"/>
  <c r="AE57" i="2"/>
  <c r="AD57" i="2"/>
  <c r="AD55" i="2"/>
  <c r="AD64" i="2" s="1"/>
  <c r="AD53" i="2"/>
  <c r="AG55" i="2"/>
  <c r="AG64" i="2" s="1"/>
  <c r="AG54" i="2"/>
  <c r="AG63" i="2" s="1"/>
  <c r="AG57" i="2"/>
  <c r="AG53" i="2"/>
  <c r="AH57" i="2"/>
  <c r="AH55" i="2"/>
  <c r="AH64" i="2" s="1"/>
  <c r="AH54" i="2"/>
  <c r="AH63" i="2" s="1"/>
  <c r="AH53" i="2"/>
  <c r="AK54" i="2"/>
  <c r="AK63" i="2" s="1"/>
  <c r="AK57" i="2"/>
  <c r="AK55" i="2"/>
  <c r="AK64" i="2" s="1"/>
  <c r="AK53" i="2"/>
  <c r="AL57" i="2"/>
  <c r="AI57" i="2"/>
  <c r="AJ57" i="2"/>
  <c r="AI55" i="2"/>
  <c r="AI64" i="2" s="1"/>
  <c r="AI54" i="2"/>
  <c r="AI63" i="2" s="1"/>
  <c r="AI53" i="2"/>
  <c r="AI23" i="2"/>
  <c r="AI56" i="2"/>
  <c r="Q55" i="2"/>
  <c r="Q64" i="2" s="1"/>
  <c r="Q54" i="2"/>
  <c r="Q63" i="2" s="1"/>
  <c r="Q53" i="2"/>
  <c r="Q56" i="2"/>
  <c r="AA56" i="2"/>
  <c r="AK23" i="2"/>
  <c r="AK56" i="2"/>
  <c r="T54" i="2"/>
  <c r="T63" i="2" s="1"/>
  <c r="T57" i="2"/>
  <c r="U57" i="2"/>
  <c r="T55" i="2"/>
  <c r="T64" i="2" s="1"/>
  <c r="T53" i="2"/>
  <c r="V54" i="2"/>
  <c r="V63" i="2" s="1"/>
  <c r="V57" i="2"/>
  <c r="V55" i="2"/>
  <c r="V64" i="2" s="1"/>
  <c r="V53" i="2"/>
  <c r="X23" i="2"/>
  <c r="X56" i="2"/>
  <c r="S55" i="2"/>
  <c r="S64" i="2" s="1"/>
  <c r="S54" i="2"/>
  <c r="S63" i="2" s="1"/>
  <c r="S53" i="2"/>
  <c r="Z46" i="2"/>
  <c r="Z57" i="2"/>
  <c r="Y55" i="2"/>
  <c r="Y64" i="2" s="1"/>
  <c r="Y54" i="2"/>
  <c r="Y63" i="2" s="1"/>
  <c r="Y57" i="2"/>
  <c r="Y53" i="2"/>
  <c r="AA57" i="2"/>
  <c r="AA55" i="2"/>
  <c r="AA64" i="2" s="1"/>
  <c r="AA54" i="2"/>
  <c r="AA63" i="2" s="1"/>
  <c r="AA53" i="2"/>
  <c r="K51" i="2"/>
  <c r="U51" i="2"/>
  <c r="AE51" i="2"/>
  <c r="AJ51" i="2"/>
  <c r="P51" i="2"/>
  <c r="Z51" i="2"/>
  <c r="Q47" i="2"/>
  <c r="AN51" i="2"/>
  <c r="AM51" i="2"/>
  <c r="F51" i="2"/>
  <c r="V47" i="2"/>
  <c r="AT31" i="2"/>
  <c r="AY31" i="2" s="1"/>
  <c r="BA31" i="2" s="1"/>
  <c r="BB31" i="2" s="1"/>
  <c r="BC31" i="2" s="1"/>
  <c r="BD31" i="2" s="1"/>
  <c r="BE31" i="2" s="1"/>
  <c r="BF31" i="2" s="1"/>
  <c r="BG31" i="2" s="1"/>
  <c r="BH31" i="2" s="1"/>
  <c r="BI31" i="2" s="1"/>
  <c r="R47" i="2"/>
  <c r="AM15" i="2"/>
  <c r="AN15" i="2" s="1"/>
  <c r="S47" i="2"/>
  <c r="K22" i="2"/>
  <c r="J23" i="2"/>
  <c r="X47" i="2"/>
  <c r="AA47" i="2"/>
  <c r="AM30" i="2"/>
  <c r="AN30" i="2" s="1"/>
  <c r="W47" i="2"/>
  <c r="AB47" i="2"/>
  <c r="AC47" i="2"/>
  <c r="K16" i="2"/>
  <c r="K56" i="2" s="1"/>
  <c r="AK47" i="2"/>
  <c r="AG47" i="2"/>
  <c r="Y43" i="1"/>
  <c r="X52" i="1"/>
  <c r="X59" i="2" s="1"/>
  <c r="X60" i="2" s="1"/>
  <c r="AR50" i="1"/>
  <c r="AQ52" i="1"/>
  <c r="AJ46" i="2"/>
  <c r="U46" i="2"/>
  <c r="T38" i="2"/>
  <c r="U38" i="2" s="1"/>
  <c r="AF38" i="2"/>
  <c r="AF47" i="2" s="1"/>
  <c r="AH38" i="2"/>
  <c r="AH47" i="2" s="1"/>
  <c r="AD38" i="2"/>
  <c r="AE38" i="2" s="1"/>
  <c r="E38" i="2"/>
  <c r="F38" i="2" s="1"/>
  <c r="Y38" i="2"/>
  <c r="Z38" i="2" s="1"/>
  <c r="O38" i="2"/>
  <c r="P38" i="2" s="1"/>
  <c r="AI38" i="2"/>
  <c r="AJ38" i="2" s="1"/>
  <c r="AF23" i="2"/>
  <c r="AL23" i="2"/>
  <c r="Q23" i="2"/>
  <c r="AG23" i="2"/>
  <c r="L23" i="2"/>
  <c r="S23" i="2"/>
  <c r="M23" i="2"/>
  <c r="M46" i="2" s="1"/>
  <c r="Y23" i="2"/>
  <c r="AB23" i="2"/>
  <c r="E23" i="2"/>
  <c r="AC23" i="2"/>
  <c r="AD23" i="2"/>
  <c r="N23" i="2"/>
  <c r="V23" i="2"/>
  <c r="AA23" i="2"/>
  <c r="O23" i="2"/>
  <c r="W23" i="2"/>
  <c r="R23" i="2"/>
  <c r="AH23" i="2"/>
  <c r="T23" i="2"/>
  <c r="U22" i="2"/>
  <c r="AJ16" i="2"/>
  <c r="AJ56" i="2" s="1"/>
  <c r="F16" i="2"/>
  <c r="F56" i="2" s="1"/>
  <c r="AE16" i="2"/>
  <c r="AE56" i="2" s="1"/>
  <c r="Z16" i="2"/>
  <c r="Z56" i="2" s="1"/>
  <c r="U16" i="2"/>
  <c r="U56" i="2" s="1"/>
  <c r="P16" i="2"/>
  <c r="P56" i="2" s="1"/>
  <c r="BC43" i="1" l="1"/>
  <c r="AO30" i="2"/>
  <c r="AP30" i="2" s="1"/>
  <c r="AS30" i="2" s="1"/>
  <c r="AT30" i="2" s="1"/>
  <c r="AU30" i="2" s="1"/>
  <c r="AV30" i="2" s="1"/>
  <c r="AW30" i="2" s="1"/>
  <c r="AX30" i="2" s="1"/>
  <c r="AY30" i="2" s="1"/>
  <c r="AZ30" i="2" s="1"/>
  <c r="BA30" i="2" s="1"/>
  <c r="BB30" i="2" s="1"/>
  <c r="BC30" i="2" s="1"/>
  <c r="BD30" i="2" s="1"/>
  <c r="BE30" i="2" s="1"/>
  <c r="BF30" i="2" s="1"/>
  <c r="BG30" i="2" s="1"/>
  <c r="BH30" i="2" s="1"/>
  <c r="BI30" i="2" s="1"/>
  <c r="AN32" i="2"/>
  <c r="AH73" i="2"/>
  <c r="AM65" i="1"/>
  <c r="AM66" i="1" s="1"/>
  <c r="AM70" i="2"/>
  <c r="AM79" i="2" s="1"/>
  <c r="AM82" i="2" s="1"/>
  <c r="AL74" i="1"/>
  <c r="AQ55" i="1"/>
  <c r="AQ56" i="1" s="1"/>
  <c r="AQ57" i="1" s="1"/>
  <c r="AQ59" i="2"/>
  <c r="Z47" i="2"/>
  <c r="AH74" i="2"/>
  <c r="AF74" i="2"/>
  <c r="Z23" i="2"/>
  <c r="Y73" i="2"/>
  <c r="Z73" i="2"/>
  <c r="K23" i="2"/>
  <c r="K46" i="2" s="1"/>
  <c r="J73" i="2"/>
  <c r="K73" i="2"/>
  <c r="U74" i="2"/>
  <c r="T74" i="2"/>
  <c r="Y74" i="2"/>
  <c r="Z74" i="2"/>
  <c r="AG74" i="2"/>
  <c r="V73" i="2"/>
  <c r="S73" i="2"/>
  <c r="X73" i="2"/>
  <c r="W74" i="2"/>
  <c r="X74" i="2"/>
  <c r="AB73" i="2"/>
  <c r="AA73" i="2"/>
  <c r="U23" i="2"/>
  <c r="W73" i="2" s="1"/>
  <c r="U73" i="2"/>
  <c r="T73" i="2"/>
  <c r="AE23" i="2"/>
  <c r="AG73" i="2" s="1"/>
  <c r="AD73" i="2"/>
  <c r="AE73" i="2"/>
  <c r="V74" i="2"/>
  <c r="L46" i="2"/>
  <c r="L53" i="2" s="1"/>
  <c r="L73" i="2"/>
  <c r="M73" i="2"/>
  <c r="AC73" i="2"/>
  <c r="AA74" i="2"/>
  <c r="AJ23" i="2"/>
  <c r="AL73" i="2" s="1"/>
  <c r="AI73" i="2"/>
  <c r="AJ73" i="2"/>
  <c r="AE74" i="2"/>
  <c r="AD74" i="2"/>
  <c r="N46" i="2"/>
  <c r="N53" i="2" s="1"/>
  <c r="N73" i="2"/>
  <c r="Q73" i="2"/>
  <c r="F73" i="2"/>
  <c r="I73" i="2"/>
  <c r="G73" i="2"/>
  <c r="AK73" i="2"/>
  <c r="AJ74" i="2"/>
  <c r="AI74" i="2"/>
  <c r="P73" i="2"/>
  <c r="O73" i="2"/>
  <c r="AF73" i="2"/>
  <c r="AK74" i="2"/>
  <c r="AL74" i="2"/>
  <c r="AC74" i="2"/>
  <c r="AB74" i="2"/>
  <c r="AH66" i="2"/>
  <c r="AH67" i="2"/>
  <c r="AF66" i="2"/>
  <c r="AF67" i="2"/>
  <c r="V66" i="2"/>
  <c r="V67" i="2"/>
  <c r="X66" i="2"/>
  <c r="X67" i="2"/>
  <c r="AA66" i="2"/>
  <c r="AA67" i="2"/>
  <c r="AD66" i="2"/>
  <c r="AD67" i="2"/>
  <c r="W66" i="2"/>
  <c r="W67" i="2"/>
  <c r="AI66" i="2"/>
  <c r="AI67" i="2"/>
  <c r="S66" i="2"/>
  <c r="S67" i="2"/>
  <c r="AK66" i="2"/>
  <c r="AK67" i="2"/>
  <c r="AC66" i="2"/>
  <c r="AC67" i="2"/>
  <c r="AB66" i="2"/>
  <c r="AB67" i="2"/>
  <c r="R66" i="2"/>
  <c r="R67" i="2"/>
  <c r="T66" i="2"/>
  <c r="T67" i="2"/>
  <c r="Y66" i="2"/>
  <c r="Y67" i="2"/>
  <c r="Q66" i="2"/>
  <c r="Q67" i="2"/>
  <c r="AG66" i="2"/>
  <c r="AG67" i="2"/>
  <c r="F52" i="2"/>
  <c r="Z55" i="2"/>
  <c r="Z64" i="2" s="1"/>
  <c r="Z54" i="2"/>
  <c r="Z63" i="2" s="1"/>
  <c r="Z52" i="2"/>
  <c r="Z75" i="2" s="1"/>
  <c r="Z53" i="2"/>
  <c r="Z66" i="2" s="1"/>
  <c r="U54" i="2"/>
  <c r="U63" i="2" s="1"/>
  <c r="U55" i="2"/>
  <c r="U64" i="2" s="1"/>
  <c r="M47" i="2"/>
  <c r="M55" i="2"/>
  <c r="M64" i="2" s="1"/>
  <c r="M54" i="2"/>
  <c r="M63" i="2" s="1"/>
  <c r="M53" i="2"/>
  <c r="AJ47" i="2"/>
  <c r="AJ54" i="2"/>
  <c r="AJ63" i="2" s="1"/>
  <c r="AJ55" i="2"/>
  <c r="AJ64" i="2" s="1"/>
  <c r="P52" i="2"/>
  <c r="AJ52" i="2"/>
  <c r="AJ75" i="2" s="1"/>
  <c r="AJ53" i="2"/>
  <c r="AJ66" i="2" s="1"/>
  <c r="U53" i="2"/>
  <c r="U66" i="2" s="1"/>
  <c r="U52" i="2"/>
  <c r="AE53" i="2"/>
  <c r="AE66" i="2" s="1"/>
  <c r="AE52" i="2"/>
  <c r="AO20" i="2"/>
  <c r="K52" i="2"/>
  <c r="AE55" i="2"/>
  <c r="AE64" i="2" s="1"/>
  <c r="AE54" i="2"/>
  <c r="AE63" i="2" s="1"/>
  <c r="AO27" i="2"/>
  <c r="AO51" i="2" s="1"/>
  <c r="E46" i="2"/>
  <c r="Y47" i="2"/>
  <c r="AO15" i="2"/>
  <c r="AP15" i="2" s="1"/>
  <c r="AQ15" i="2" s="1"/>
  <c r="AS15" i="2" s="1"/>
  <c r="AT15" i="2" s="1"/>
  <c r="AU15" i="2" s="1"/>
  <c r="AV15" i="2" s="1"/>
  <c r="AW15" i="2" s="1"/>
  <c r="AX15" i="2" s="1"/>
  <c r="AY15" i="2" s="1"/>
  <c r="AZ15" i="2" s="1"/>
  <c r="BA15" i="2" s="1"/>
  <c r="BB15" i="2" s="1"/>
  <c r="BC15" i="2" s="1"/>
  <c r="BD15" i="2" s="1"/>
  <c r="BE15" i="2" s="1"/>
  <c r="BF15" i="2" s="1"/>
  <c r="BG15" i="2" s="1"/>
  <c r="BH15" i="2" s="1"/>
  <c r="BI15" i="2" s="1"/>
  <c r="P23" i="2"/>
  <c r="P46" i="2" s="1"/>
  <c r="O46" i="2"/>
  <c r="T47" i="2"/>
  <c r="U47" i="2"/>
  <c r="AI47" i="2"/>
  <c r="J46" i="2"/>
  <c r="Z43" i="1"/>
  <c r="Y52" i="1"/>
  <c r="Y59" i="2" s="1"/>
  <c r="Y60" i="2" s="1"/>
  <c r="AR52" i="1"/>
  <c r="AR55" i="1" s="1"/>
  <c r="AR56" i="1" s="1"/>
  <c r="AR57" i="1" s="1"/>
  <c r="AS50" i="1"/>
  <c r="AD47" i="2"/>
  <c r="AD48" i="2" s="1"/>
  <c r="AE47" i="2"/>
  <c r="F23" i="2"/>
  <c r="BD43" i="1" l="1"/>
  <c r="N47" i="2"/>
  <c r="N54" i="2"/>
  <c r="N63" i="2" s="1"/>
  <c r="N55" i="2"/>
  <c r="N64" i="2" s="1"/>
  <c r="AM57" i="3"/>
  <c r="AM140" i="1"/>
  <c r="AM139" i="1"/>
  <c r="AM147" i="1"/>
  <c r="AM133" i="1"/>
  <c r="AM56" i="3"/>
  <c r="AM77" i="1"/>
  <c r="AM137" i="1"/>
  <c r="AN140" i="1"/>
  <c r="AN133" i="1"/>
  <c r="AN139" i="1"/>
  <c r="AN137" i="1"/>
  <c r="AN147" i="1"/>
  <c r="AM150" i="1"/>
  <c r="AN56" i="3"/>
  <c r="AO86" i="1"/>
  <c r="AN77" i="1"/>
  <c r="AN78" i="1" s="1"/>
  <c r="AN135" i="1"/>
  <c r="AN70" i="2"/>
  <c r="AN57" i="3"/>
  <c r="AR59" i="2"/>
  <c r="L55" i="2"/>
  <c r="L64" i="2" s="1"/>
  <c r="L54" i="2"/>
  <c r="L63" i="2" s="1"/>
  <c r="L47" i="2"/>
  <c r="AE67" i="2"/>
  <c r="AE75" i="2"/>
  <c r="J72" i="2"/>
  <c r="K72" i="2"/>
  <c r="N72" i="2"/>
  <c r="L72" i="2"/>
  <c r="AO18" i="2"/>
  <c r="F46" i="2"/>
  <c r="F55" i="2" s="1"/>
  <c r="F64" i="2" s="1"/>
  <c r="H73" i="2"/>
  <c r="R73" i="2"/>
  <c r="O72" i="2"/>
  <c r="P72" i="2"/>
  <c r="R72" i="2"/>
  <c r="S72" i="2"/>
  <c r="Q72" i="2"/>
  <c r="M72" i="2"/>
  <c r="AJ67" i="2"/>
  <c r="AP51" i="2"/>
  <c r="N66" i="2"/>
  <c r="N67" i="2"/>
  <c r="L66" i="2"/>
  <c r="L67" i="2"/>
  <c r="M66" i="2"/>
  <c r="M67" i="2"/>
  <c r="U67" i="2"/>
  <c r="Z67" i="2"/>
  <c r="J47" i="2"/>
  <c r="J55" i="2"/>
  <c r="J64" i="2" s="1"/>
  <c r="K57" i="2"/>
  <c r="J57" i="2"/>
  <c r="J54" i="2"/>
  <c r="J63" i="2" s="1"/>
  <c r="J53" i="2"/>
  <c r="N74" i="2" s="1"/>
  <c r="P55" i="2"/>
  <c r="P64" i="2" s="1"/>
  <c r="P54" i="2"/>
  <c r="P63" i="2" s="1"/>
  <c r="O55" i="2"/>
  <c r="O64" i="2" s="1"/>
  <c r="O54" i="2"/>
  <c r="O63" i="2" s="1"/>
  <c r="O57" i="2"/>
  <c r="P57" i="2"/>
  <c r="O53" i="2"/>
  <c r="R57" i="2"/>
  <c r="Q57" i="2"/>
  <c r="S57" i="2"/>
  <c r="L57" i="2"/>
  <c r="E47" i="2"/>
  <c r="H57" i="2"/>
  <c r="G57" i="2"/>
  <c r="F57" i="2"/>
  <c r="I57" i="2"/>
  <c r="M57" i="2"/>
  <c r="K55" i="2"/>
  <c r="K64" i="2" s="1"/>
  <c r="K54" i="2"/>
  <c r="K63" i="2" s="1"/>
  <c r="K53" i="2"/>
  <c r="K66" i="2" s="1"/>
  <c r="N57" i="2"/>
  <c r="P53" i="2"/>
  <c r="P66" i="2" s="1"/>
  <c r="O47" i="2"/>
  <c r="K47" i="2"/>
  <c r="AA43" i="1"/>
  <c r="Z52" i="1"/>
  <c r="AS52" i="1"/>
  <c r="AT50" i="1"/>
  <c r="BE43" i="1" l="1"/>
  <c r="BF43" i="1" s="1"/>
  <c r="AO70" i="2"/>
  <c r="AO12" i="2"/>
  <c r="AN79" i="2"/>
  <c r="AN82" i="2" s="1"/>
  <c r="AT52" i="1"/>
  <c r="AT59" i="2" s="1"/>
  <c r="AU50" i="1"/>
  <c r="AO77" i="1"/>
  <c r="AO78" i="1" s="1"/>
  <c r="AM78" i="1"/>
  <c r="AO57" i="3"/>
  <c r="AO89" i="1"/>
  <c r="AO150" i="1" s="1"/>
  <c r="AO56" i="3"/>
  <c r="AO82" i="1"/>
  <c r="AO133" i="1"/>
  <c r="AO81" i="1"/>
  <c r="AN150" i="1"/>
  <c r="AO139" i="1"/>
  <c r="AO137" i="1"/>
  <c r="AO147" i="1"/>
  <c r="AO58" i="3"/>
  <c r="AO140" i="1"/>
  <c r="AO83" i="1"/>
  <c r="AN91" i="1"/>
  <c r="AN94" i="1" s="1"/>
  <c r="AN149" i="1"/>
  <c r="Z61" i="1"/>
  <c r="Z59" i="2"/>
  <c r="Z60" i="2" s="1"/>
  <c r="AS59" i="2"/>
  <c r="F47" i="2"/>
  <c r="F54" i="2"/>
  <c r="F63" i="2" s="1"/>
  <c r="F53" i="2"/>
  <c r="F66" i="2" s="1"/>
  <c r="O74" i="2"/>
  <c r="P74" i="2"/>
  <c r="R74" i="2"/>
  <c r="Q74" i="2"/>
  <c r="S74" i="2"/>
  <c r="L74" i="2"/>
  <c r="K74" i="2"/>
  <c r="J74" i="2"/>
  <c r="M74" i="2"/>
  <c r="AQ51" i="2"/>
  <c r="G72" i="2"/>
  <c r="F72" i="2"/>
  <c r="H72" i="2"/>
  <c r="I72" i="2"/>
  <c r="J66" i="2"/>
  <c r="J67" i="2"/>
  <c r="P67" i="2"/>
  <c r="K67" i="2"/>
  <c r="O66" i="2"/>
  <c r="O67" i="2"/>
  <c r="AR61" i="1"/>
  <c r="AR64" i="1" s="1"/>
  <c r="AR60" i="1"/>
  <c r="AB43" i="1"/>
  <c r="AA52" i="1"/>
  <c r="BG43" i="1" l="1"/>
  <c r="AN143" i="1"/>
  <c r="AN117" i="1"/>
  <c r="AN128" i="1" s="1"/>
  <c r="AU52" i="1"/>
  <c r="AU61" i="1" s="1"/>
  <c r="AV50" i="1"/>
  <c r="AO136" i="1"/>
  <c r="AM135" i="1"/>
  <c r="AM149" i="1"/>
  <c r="AM91" i="1"/>
  <c r="AN134" i="1"/>
  <c r="AN148" i="1"/>
  <c r="AN138" i="1"/>
  <c r="AN152" i="1"/>
  <c r="AN71" i="2"/>
  <c r="AA61" i="1"/>
  <c r="AA64" i="1" s="1"/>
  <c r="AA59" i="2"/>
  <c r="AA60" i="2" s="1"/>
  <c r="AR51" i="2"/>
  <c r="F67" i="2"/>
  <c r="AR63" i="1"/>
  <c r="AR65" i="1" s="1"/>
  <c r="AR66" i="1" s="1"/>
  <c r="AR72" i="1" s="1"/>
  <c r="AR70" i="1" s="1"/>
  <c r="AR71" i="1" s="1"/>
  <c r="AN141" i="1"/>
  <c r="AN155" i="1"/>
  <c r="AC43" i="1"/>
  <c r="AB52" i="1"/>
  <c r="BH43" i="1" l="1"/>
  <c r="AU63" i="1"/>
  <c r="AU64" i="1"/>
  <c r="AN159" i="1"/>
  <c r="AN80" i="2"/>
  <c r="AN83" i="2" s="1"/>
  <c r="AN78" i="2"/>
  <c r="AN81" i="2" s="1"/>
  <c r="AP147" i="1"/>
  <c r="AP57" i="3"/>
  <c r="AU83" i="1"/>
  <c r="AU55" i="1" s="1"/>
  <c r="AU59" i="2"/>
  <c r="AP139" i="1"/>
  <c r="AV52" i="1"/>
  <c r="AW50" i="1"/>
  <c r="AP56" i="3"/>
  <c r="AP70" i="2"/>
  <c r="AP79" i="2" s="1"/>
  <c r="AP82" i="2" s="1"/>
  <c r="AN69" i="2"/>
  <c r="AN130" i="1"/>
  <c r="AP137" i="1"/>
  <c r="AP140" i="1"/>
  <c r="AP133" i="1"/>
  <c r="AM71" i="2"/>
  <c r="AM148" i="1"/>
  <c r="AM134" i="1"/>
  <c r="AO87" i="1"/>
  <c r="AM152" i="1"/>
  <c r="AM94" i="1"/>
  <c r="AM143" i="1" s="1"/>
  <c r="AM138" i="1"/>
  <c r="AA63" i="1"/>
  <c r="AA65" i="1" s="1"/>
  <c r="AA66" i="1" s="1"/>
  <c r="AA72" i="1" s="1"/>
  <c r="AB61" i="1"/>
  <c r="AB63" i="1" s="1"/>
  <c r="AB59" i="2"/>
  <c r="AB60" i="2" s="1"/>
  <c r="AT27" i="2"/>
  <c r="AN96" i="1"/>
  <c r="AN111" i="1" s="1"/>
  <c r="AD43" i="1"/>
  <c r="AE43" i="1" s="1"/>
  <c r="AE52" i="1" s="1"/>
  <c r="AC52" i="1"/>
  <c r="BI43" i="1" l="1"/>
  <c r="AM78" i="2"/>
  <c r="AM81" i="2" s="1"/>
  <c r="AM80" i="2"/>
  <c r="AM83" i="2" s="1"/>
  <c r="AN84" i="2"/>
  <c r="AP77" i="1"/>
  <c r="AP78" i="1" s="1"/>
  <c r="AV83" i="1"/>
  <c r="AV55" i="1" s="1"/>
  <c r="AV59" i="2"/>
  <c r="AT51" i="2"/>
  <c r="AX50" i="1"/>
  <c r="AW52" i="1"/>
  <c r="AW61" i="1" s="1"/>
  <c r="AR133" i="1"/>
  <c r="AR57" i="3"/>
  <c r="AP150" i="1"/>
  <c r="AR137" i="1"/>
  <c r="AO71" i="2"/>
  <c r="AO134" i="1"/>
  <c r="AO148" i="1"/>
  <c r="AO88" i="1"/>
  <c r="AM117" i="1"/>
  <c r="AO95" i="1"/>
  <c r="AM141" i="1"/>
  <c r="AM155" i="1"/>
  <c r="AR140" i="1"/>
  <c r="AR147" i="1"/>
  <c r="AR56" i="3"/>
  <c r="AR77" i="1"/>
  <c r="AR78" i="1" s="1"/>
  <c r="AR70" i="2"/>
  <c r="AR79" i="2" s="1"/>
  <c r="AR82" i="2" s="1"/>
  <c r="AR139" i="1"/>
  <c r="AA70" i="1"/>
  <c r="AA71" i="1" s="1"/>
  <c r="AB64" i="1"/>
  <c r="AC61" i="1"/>
  <c r="AC63" i="1" s="1"/>
  <c r="AC59" i="2"/>
  <c r="AC60" i="2" s="1"/>
  <c r="AS51" i="2"/>
  <c r="AN68" i="2"/>
  <c r="AT20" i="2"/>
  <c r="AY20" i="2" s="1"/>
  <c r="BA20" i="2" s="1"/>
  <c r="BB20" i="2" s="1"/>
  <c r="BC20" i="2" s="1"/>
  <c r="BD20" i="2" s="1"/>
  <c r="BE20" i="2" s="1"/>
  <c r="BF20" i="2" s="1"/>
  <c r="BG20" i="2" s="1"/>
  <c r="BH20" i="2" s="1"/>
  <c r="BI20" i="2" s="1"/>
  <c r="AN98" i="1"/>
  <c r="AD52" i="1"/>
  <c r="AT18" i="2"/>
  <c r="AW63" i="1" l="1"/>
  <c r="AW64" i="1"/>
  <c r="AM84" i="2"/>
  <c r="AW83" i="1"/>
  <c r="AW55" i="1" s="1"/>
  <c r="AW59" i="2"/>
  <c r="AU51" i="2"/>
  <c r="AY50" i="1"/>
  <c r="AX52" i="1"/>
  <c r="AR135" i="1"/>
  <c r="AP135" i="1"/>
  <c r="AP91" i="1"/>
  <c r="AM128" i="1"/>
  <c r="AO117" i="1"/>
  <c r="AO91" i="1"/>
  <c r="AO135" i="1"/>
  <c r="AO149" i="1"/>
  <c r="AM32" i="2"/>
  <c r="AM38" i="2" s="1"/>
  <c r="AM60" i="2"/>
  <c r="AM96" i="1"/>
  <c r="AA73" i="1"/>
  <c r="AA74" i="1" s="1"/>
  <c r="AR150" i="1"/>
  <c r="AB65" i="1"/>
  <c r="AB66" i="1" s="1"/>
  <c r="AB72" i="1" s="1"/>
  <c r="AC64" i="1"/>
  <c r="AD61" i="1"/>
  <c r="AD63" i="1" s="1"/>
  <c r="AD59" i="2"/>
  <c r="AD60" i="2" s="1"/>
  <c r="AE61" i="1"/>
  <c r="AE59" i="2"/>
  <c r="AE60" i="2" s="1"/>
  <c r="AM159" i="1" l="1"/>
  <c r="AY52" i="1"/>
  <c r="AY59" i="2" s="1"/>
  <c r="AZ50" i="1"/>
  <c r="AX83" i="1"/>
  <c r="AX55" i="1" s="1"/>
  <c r="AX59" i="2"/>
  <c r="AV51" i="2"/>
  <c r="AR149" i="1"/>
  <c r="AR91" i="1"/>
  <c r="AR152" i="1" s="1"/>
  <c r="AR71" i="2"/>
  <c r="AO152" i="1"/>
  <c r="AO138" i="1"/>
  <c r="AO94" i="1"/>
  <c r="AM68" i="2"/>
  <c r="AM98" i="1"/>
  <c r="AO98" i="1" s="1"/>
  <c r="AM111" i="1"/>
  <c r="AM114" i="1" s="1"/>
  <c r="AO28" i="2"/>
  <c r="AO128" i="1"/>
  <c r="AM130" i="1"/>
  <c r="AM69" i="2"/>
  <c r="AO13" i="2"/>
  <c r="AN60" i="2"/>
  <c r="AP94" i="1"/>
  <c r="AP143" i="1" s="1"/>
  <c r="AP138" i="1"/>
  <c r="AP152" i="1"/>
  <c r="AD64" i="1"/>
  <c r="AD65" i="1" s="1"/>
  <c r="AD66" i="1" s="1"/>
  <c r="AD72" i="1" s="1"/>
  <c r="AB70" i="1"/>
  <c r="AB71" i="1" s="1"/>
  <c r="AC65" i="1"/>
  <c r="AC66" i="1" s="1"/>
  <c r="AC72" i="1" s="1"/>
  <c r="AO159" i="1" l="1"/>
  <c r="BA50" i="1"/>
  <c r="AZ52" i="1"/>
  <c r="AZ61" i="1" s="1"/>
  <c r="AR78" i="2"/>
  <c r="AR81" i="2" s="1"/>
  <c r="AR80" i="2"/>
  <c r="AR83" i="2" s="1"/>
  <c r="AO60" i="2"/>
  <c r="AR94" i="1"/>
  <c r="AW51" i="2"/>
  <c r="AR134" i="1"/>
  <c r="AR138" i="1"/>
  <c r="AR148" i="1"/>
  <c r="AN18" i="3"/>
  <c r="AM18" i="3"/>
  <c r="AM39" i="3" s="1"/>
  <c r="AM42" i="3" s="1"/>
  <c r="AO69" i="2"/>
  <c r="AO130" i="1"/>
  <c r="AP117" i="1"/>
  <c r="AP128" i="1" s="1"/>
  <c r="AP155" i="1"/>
  <c r="AP96" i="1"/>
  <c r="AP141" i="1"/>
  <c r="AO141" i="1"/>
  <c r="AO155" i="1"/>
  <c r="AO96" i="1"/>
  <c r="AO143" i="1"/>
  <c r="AN38" i="2"/>
  <c r="AO38" i="2" s="1"/>
  <c r="AO47" i="2" s="1"/>
  <c r="AO32" i="2"/>
  <c r="AM157" i="1"/>
  <c r="AC70" i="1"/>
  <c r="AC71" i="1" s="1"/>
  <c r="AD70" i="1"/>
  <c r="AD71" i="1" s="1"/>
  <c r="AB73" i="1"/>
  <c r="AB74" i="1" s="1"/>
  <c r="AP149" i="1"/>
  <c r="AZ64" i="1" l="1"/>
  <c r="AZ63" i="1"/>
  <c r="AP159" i="1"/>
  <c r="AZ59" i="2"/>
  <c r="BB50" i="1"/>
  <c r="BA52" i="1"/>
  <c r="AR117" i="1"/>
  <c r="AR128" i="1" s="1"/>
  <c r="AR143" i="1"/>
  <c r="AR84" i="2"/>
  <c r="AR141" i="1"/>
  <c r="AR155" i="1"/>
  <c r="AR96" i="1"/>
  <c r="AR98" i="1" s="1"/>
  <c r="AY27" i="2"/>
  <c r="AX51" i="2"/>
  <c r="AY18" i="2"/>
  <c r="BA18" i="2" s="1"/>
  <c r="BB18" i="2" s="1"/>
  <c r="BC18" i="2" s="1"/>
  <c r="BD18" i="2" s="1"/>
  <c r="BE18" i="2" s="1"/>
  <c r="BF18" i="2" s="1"/>
  <c r="BG18" i="2" s="1"/>
  <c r="BH18" i="2" s="1"/>
  <c r="BI18" i="2" s="1"/>
  <c r="AO18" i="3"/>
  <c r="AO45" i="3" s="1"/>
  <c r="AO47" i="3" s="1"/>
  <c r="AP98" i="1"/>
  <c r="AP111" i="1"/>
  <c r="AP68" i="2"/>
  <c r="AP130" i="1"/>
  <c r="AP69" i="2"/>
  <c r="AM45" i="3"/>
  <c r="AM47" i="3" s="1"/>
  <c r="AO111" i="1"/>
  <c r="AO114" i="1" s="1"/>
  <c r="AO68" i="2"/>
  <c r="AN45" i="3"/>
  <c r="AN47" i="3" s="1"/>
  <c r="AN39" i="3"/>
  <c r="AC73" i="1"/>
  <c r="AC74" i="1" s="1"/>
  <c r="AD73" i="1"/>
  <c r="AD74" i="1" s="1"/>
  <c r="AP134" i="1"/>
  <c r="AP71" i="2"/>
  <c r="AP148" i="1"/>
  <c r="AR69" i="2" l="1"/>
  <c r="AR159" i="1"/>
  <c r="AY51" i="2"/>
  <c r="BA59" i="2"/>
  <c r="BA83" i="1"/>
  <c r="BC50" i="1"/>
  <c r="BB52" i="1"/>
  <c r="AR130" i="1"/>
  <c r="AP80" i="2"/>
  <c r="AP83" i="2" s="1"/>
  <c r="AP78" i="2"/>
  <c r="AP81" i="2" s="1"/>
  <c r="AR68" i="2"/>
  <c r="AR111" i="1"/>
  <c r="AO39" i="3"/>
  <c r="AO48" i="3"/>
  <c r="AN48" i="3"/>
  <c r="AM50" i="3"/>
  <c r="AM48" i="3"/>
  <c r="AN41" i="3"/>
  <c r="AN42" i="3" s="1"/>
  <c r="BA27" i="2" l="1"/>
  <c r="AZ51" i="2"/>
  <c r="BD50" i="1"/>
  <c r="BC52" i="1"/>
  <c r="BB59" i="2"/>
  <c r="BB83" i="1"/>
  <c r="AP84" i="2"/>
  <c r="AM51" i="3"/>
  <c r="AM53" i="3"/>
  <c r="AM50" i="2"/>
  <c r="AM16" i="2"/>
  <c r="AO42" i="3"/>
  <c r="AP32" i="2"/>
  <c r="AP38" i="2" s="1"/>
  <c r="AP60" i="2"/>
  <c r="AP18" i="3"/>
  <c r="AW58" i="2"/>
  <c r="AV58" i="2"/>
  <c r="BD52" i="1" l="1"/>
  <c r="BD59" i="2" s="1"/>
  <c r="BE50" i="1"/>
  <c r="BB27" i="2"/>
  <c r="BA51" i="2"/>
  <c r="BC59" i="2"/>
  <c r="BC83" i="1"/>
  <c r="AP41" i="3"/>
  <c r="AT41" i="3"/>
  <c r="AM56" i="2"/>
  <c r="AM23" i="2"/>
  <c r="AN50" i="2"/>
  <c r="AN16" i="2"/>
  <c r="AO11" i="2"/>
  <c r="AM52" i="2"/>
  <c r="AM65" i="2"/>
  <c r="AP39" i="3"/>
  <c r="AP45" i="3"/>
  <c r="AP47" i="3" s="1"/>
  <c r="AQ58" i="2"/>
  <c r="AP58" i="2"/>
  <c r="AR58" i="2"/>
  <c r="AP114" i="1"/>
  <c r="AR114" i="1"/>
  <c r="BF50" i="1" l="1"/>
  <c r="BE52" i="1"/>
  <c r="BC27" i="2"/>
  <c r="BB51" i="2"/>
  <c r="AP48" i="3"/>
  <c r="AP42" i="3"/>
  <c r="AQ41" i="3" s="1"/>
  <c r="AO50" i="2"/>
  <c r="AO16" i="2"/>
  <c r="AO56" i="2" s="1"/>
  <c r="AM73" i="2"/>
  <c r="AN56" i="2"/>
  <c r="AN23" i="2"/>
  <c r="AM75" i="2"/>
  <c r="AN52" i="2"/>
  <c r="AP50" i="3"/>
  <c r="AP157" i="1"/>
  <c r="AR157" i="1"/>
  <c r="BE83" i="1" l="1"/>
  <c r="BE59" i="2"/>
  <c r="BG50" i="1"/>
  <c r="BF52" i="1"/>
  <c r="BD27" i="2"/>
  <c r="BC51" i="2"/>
  <c r="AN75" i="2"/>
  <c r="AP51" i="3"/>
  <c r="AP50" i="2"/>
  <c r="AO52" i="2"/>
  <c r="AO73" i="2"/>
  <c r="AN73" i="2"/>
  <c r="AO23" i="2"/>
  <c r="AM72" i="2"/>
  <c r="AM53" i="2"/>
  <c r="AM54" i="2"/>
  <c r="AM63" i="2" s="1"/>
  <c r="AM47" i="2"/>
  <c r="AM55" i="2"/>
  <c r="AM64" i="2" s="1"/>
  <c r="AM57" i="2"/>
  <c r="BD51" i="2" l="1"/>
  <c r="BE27" i="2"/>
  <c r="BF83" i="1"/>
  <c r="BF59" i="2"/>
  <c r="BH50" i="1"/>
  <c r="BG52" i="1"/>
  <c r="AP16" i="2"/>
  <c r="AP23" i="2" s="1"/>
  <c r="AM74" i="2"/>
  <c r="AM66" i="2"/>
  <c r="AM67" i="2"/>
  <c r="AO57" i="2"/>
  <c r="AO72" i="2"/>
  <c r="AN55" i="2"/>
  <c r="AN53" i="2"/>
  <c r="AN72" i="2"/>
  <c r="AN47" i="2"/>
  <c r="AN54" i="2"/>
  <c r="AN57" i="2"/>
  <c r="AO75" i="2"/>
  <c r="AP52" i="2"/>
  <c r="AP75" i="2" s="1"/>
  <c r="AP65" i="2"/>
  <c r="BF27" i="2" l="1"/>
  <c r="BE51" i="2"/>
  <c r="BG83" i="1"/>
  <c r="BG59" i="2"/>
  <c r="BI50" i="1"/>
  <c r="BI52" i="1" s="1"/>
  <c r="BH52" i="1"/>
  <c r="AP73" i="2"/>
  <c r="AQ73" i="2"/>
  <c r="AP56" i="2"/>
  <c r="AN67" i="2"/>
  <c r="AN74" i="2"/>
  <c r="AO74" i="2"/>
  <c r="AN66" i="2"/>
  <c r="AO55" i="2"/>
  <c r="AO54" i="2"/>
  <c r="AO53" i="2"/>
  <c r="BG27" i="2" l="1"/>
  <c r="BF51" i="2"/>
  <c r="BI59" i="2"/>
  <c r="BH83" i="1"/>
  <c r="BH59" i="2"/>
  <c r="AO66" i="2"/>
  <c r="AO67" i="2"/>
  <c r="AP47" i="2"/>
  <c r="AP55" i="2"/>
  <c r="AP64" i="2" s="1"/>
  <c r="AP54" i="2"/>
  <c r="AP63" i="2" s="1"/>
  <c r="AP53" i="2"/>
  <c r="AP72" i="2"/>
  <c r="AP57" i="2"/>
  <c r="BH27" i="2" l="1"/>
  <c r="BG51" i="2"/>
  <c r="AP66" i="2"/>
  <c r="AP74" i="2"/>
  <c r="AP67" i="2"/>
  <c r="BI27" i="2" l="1"/>
  <c r="BI51" i="2" s="1"/>
  <c r="BH51" i="2"/>
  <c r="AM72" i="1"/>
  <c r="AM70" i="1" s="1"/>
  <c r="AM71" i="1" l="1"/>
  <c r="AM73" i="1"/>
  <c r="AM74" i="1" l="1"/>
  <c r="AN58" i="2" l="1"/>
  <c r="AN50" i="3"/>
  <c r="AN53" i="3" s="1"/>
  <c r="AN63" i="2"/>
  <c r="AX58" i="2"/>
  <c r="AN114" i="1"/>
  <c r="AP53" i="3" l="1"/>
  <c r="AN157" i="1"/>
  <c r="AN51" i="3"/>
  <c r="AS58" i="2"/>
  <c r="AT113" i="1"/>
  <c r="AO50" i="3"/>
  <c r="AO51" i="3" s="1"/>
  <c r="AO58" i="2"/>
  <c r="AO158" i="1"/>
  <c r="AO63" i="2"/>
  <c r="AN65" i="2"/>
  <c r="AN64" i="2"/>
  <c r="AO65" i="2" l="1"/>
  <c r="AO64" i="2"/>
  <c r="AT58" i="2"/>
  <c r="AT158" i="1"/>
  <c r="AO157" i="1"/>
  <c r="AO59" i="1" l="1"/>
  <c r="AO60" i="1" s="1"/>
  <c r="AO61" i="1" l="1"/>
  <c r="AN61" i="1"/>
  <c r="AN64" i="1" l="1"/>
  <c r="AO64" i="1" s="1"/>
  <c r="AN63" i="1"/>
  <c r="AO63" i="1" s="1"/>
  <c r="AS55" i="1" l="1"/>
  <c r="AN56" i="1"/>
  <c r="AN57" i="1" s="1"/>
  <c r="AN60" i="1"/>
  <c r="AN65" i="1" l="1"/>
  <c r="AN66" i="1" s="1"/>
  <c r="AN72" i="1" s="1"/>
  <c r="AN70" i="1" s="1"/>
  <c r="AO67" i="1"/>
  <c r="AO65" i="1" s="1"/>
  <c r="AN71" i="1" l="1"/>
  <c r="AO70" i="1"/>
  <c r="AO71" i="1" s="1"/>
  <c r="AO66" i="1"/>
  <c r="AN73" i="1" l="1"/>
  <c r="AO72" i="1"/>
  <c r="AO73" i="1" l="1"/>
  <c r="AO74" i="1" s="1"/>
  <c r="AN74" i="1"/>
  <c r="AP60" i="1" l="1"/>
  <c r="AP61" i="1"/>
  <c r="AP63" i="1" s="1"/>
  <c r="AP64" i="1" l="1"/>
  <c r="AP56" i="1" l="1"/>
  <c r="AP57" i="1" s="1"/>
  <c r="AP65" i="1" l="1"/>
  <c r="AP66" i="1" s="1"/>
  <c r="AP72" i="1" l="1"/>
  <c r="AP70" i="1" s="1"/>
  <c r="AP71" i="1" l="1"/>
  <c r="AP73" i="1"/>
  <c r="AP74" i="1" l="1"/>
  <c r="AQ61" i="1" l="1"/>
  <c r="AQ64" i="1" s="1"/>
  <c r="AQ63" i="1" l="1"/>
  <c r="AQ65" i="1" s="1"/>
  <c r="AQ66" i="1" s="1"/>
  <c r="AQ72" i="1" s="1"/>
  <c r="AQ70" i="1" l="1"/>
  <c r="AQ71" i="1" s="1"/>
  <c r="AQ73" i="1" l="1"/>
  <c r="AQ74" i="1" s="1"/>
  <c r="AQ149" i="1" l="1"/>
  <c r="AQ56" i="3"/>
  <c r="AQ135" i="1"/>
  <c r="AQ70" i="2" l="1"/>
  <c r="AQ79" i="2" s="1"/>
  <c r="AQ82" i="2" s="1"/>
  <c r="AQ140" i="1"/>
  <c r="AQ139" i="1"/>
  <c r="AQ137" i="1"/>
  <c r="AQ133" i="1"/>
  <c r="AQ147" i="1"/>
  <c r="AQ57" i="3" l="1"/>
  <c r="AQ91" i="1"/>
  <c r="AQ150" i="1"/>
  <c r="AQ148" i="1"/>
  <c r="AQ134" i="1"/>
  <c r="AQ71" i="2"/>
  <c r="AQ80" i="2" l="1"/>
  <c r="AQ83" i="2" s="1"/>
  <c r="AQ78" i="2"/>
  <c r="AQ81" i="2" s="1"/>
  <c r="AQ94" i="1"/>
  <c r="AQ138" i="1"/>
  <c r="AQ152" i="1"/>
  <c r="AQ84" i="2" l="1"/>
  <c r="AQ143" i="1"/>
  <c r="AQ117" i="1"/>
  <c r="AQ32" i="2"/>
  <c r="AQ38" i="2" s="1"/>
  <c r="AQ60" i="2"/>
  <c r="AQ155" i="1"/>
  <c r="AQ96" i="1"/>
  <c r="AQ141" i="1"/>
  <c r="AR32" i="2" l="1"/>
  <c r="AR38" i="2" s="1"/>
  <c r="AR47" i="2" s="1"/>
  <c r="AQ128" i="1"/>
  <c r="AR60" i="2"/>
  <c r="AR18" i="3"/>
  <c r="AQ68" i="2"/>
  <c r="AQ98" i="1"/>
  <c r="AQ111" i="1"/>
  <c r="AQ114" i="1" s="1"/>
  <c r="AR45" i="3" l="1"/>
  <c r="AR47" i="3" s="1"/>
  <c r="AR39" i="3"/>
  <c r="AQ157" i="1"/>
  <c r="AQ69" i="2"/>
  <c r="AQ130" i="1"/>
  <c r="AQ159" i="1"/>
  <c r="AQ18" i="3"/>
  <c r="AR48" i="3" l="1"/>
  <c r="AR50" i="3"/>
  <c r="AQ39" i="3"/>
  <c r="AQ45" i="3"/>
  <c r="AQ47" i="3" s="1"/>
  <c r="AQ42" i="3" l="1"/>
  <c r="AR41" i="3" s="1"/>
  <c r="AR42" i="3" s="1"/>
  <c r="AS39" i="3"/>
  <c r="AR51" i="3"/>
  <c r="AQ48" i="3"/>
  <c r="AQ50" i="3"/>
  <c r="AQ51" i="3" l="1"/>
  <c r="AQ53" i="3"/>
  <c r="AR53" i="3"/>
  <c r="AQ50" i="2"/>
  <c r="AQ16" i="2"/>
  <c r="AS41" i="3"/>
  <c r="AQ56" i="2" l="1"/>
  <c r="AQ23" i="2"/>
  <c r="AQ65" i="2"/>
  <c r="AQ52" i="2"/>
  <c r="AR16" i="2"/>
  <c r="AR50" i="2"/>
  <c r="AR65" i="2" l="1"/>
  <c r="AR52" i="2"/>
  <c r="AQ55" i="2"/>
  <c r="AQ64" i="2" s="1"/>
  <c r="AQ47" i="2"/>
  <c r="AQ57" i="2"/>
  <c r="AQ53" i="2"/>
  <c r="AQ67" i="2" s="1"/>
  <c r="AQ54" i="2"/>
  <c r="AQ63" i="2" s="1"/>
  <c r="AQ72" i="2"/>
  <c r="AR56" i="2"/>
  <c r="AR23" i="2"/>
  <c r="AQ75" i="2"/>
  <c r="AQ66" i="2" l="1"/>
  <c r="AQ74" i="2"/>
  <c r="AR73" i="2"/>
  <c r="AR75" i="2"/>
  <c r="AR57" i="2" l="1"/>
  <c r="AR53" i="2"/>
  <c r="AR55" i="2"/>
  <c r="AR64" i="2" s="1"/>
  <c r="AR54" i="2"/>
  <c r="AR63" i="2" s="1"/>
  <c r="AR72" i="2"/>
  <c r="AR66" i="2" l="1"/>
  <c r="AR74" i="2"/>
  <c r="AR67" i="2"/>
  <c r="AR73" i="1" l="1"/>
  <c r="AR74" i="1" l="1"/>
  <c r="AT59" i="1"/>
  <c r="AT61" i="1" s="1"/>
  <c r="AT60" i="1" l="1"/>
  <c r="AS61" i="1"/>
  <c r="AS63" i="1" s="1"/>
  <c r="AT63" i="1" s="1"/>
  <c r="AS56" i="1"/>
  <c r="AS57" i="1" s="1"/>
  <c r="AS60" i="1"/>
  <c r="AS64" i="1" l="1"/>
  <c r="AT64" i="1" s="1"/>
  <c r="AS77" i="1" l="1"/>
  <c r="AT89" i="1"/>
  <c r="AT150" i="1" s="1"/>
  <c r="AT86" i="1"/>
  <c r="AT56" i="3" l="1"/>
  <c r="AT140" i="1"/>
  <c r="AT58" i="3"/>
  <c r="AT82" i="1"/>
  <c r="AT81" i="1"/>
  <c r="AT133" i="1"/>
  <c r="AT137" i="1"/>
  <c r="AT139" i="1"/>
  <c r="AT57" i="3"/>
  <c r="AT70" i="2"/>
  <c r="AT136" i="1"/>
  <c r="AT83" i="1"/>
  <c r="AT147" i="1"/>
  <c r="AT77" i="1"/>
  <c r="AS78" i="1"/>
  <c r="AS150" i="1"/>
  <c r="AS70" i="2"/>
  <c r="AS79" i="2" s="1"/>
  <c r="AS82" i="2" s="1"/>
  <c r="AS137" i="1"/>
  <c r="AS147" i="1"/>
  <c r="AS133" i="1"/>
  <c r="AS140" i="1"/>
  <c r="AS139" i="1"/>
  <c r="AT12" i="2" l="1"/>
  <c r="AT78" i="1"/>
  <c r="AS67" i="1"/>
  <c r="AS65" i="1" s="1"/>
  <c r="AS66" i="1" s="1"/>
  <c r="AT66" i="1" l="1"/>
  <c r="AS72" i="1"/>
  <c r="AT67" i="1"/>
  <c r="AT65" i="1" s="1"/>
  <c r="AT72" i="1" l="1"/>
  <c r="AS134" i="1" l="1"/>
  <c r="AS148" i="1"/>
  <c r="AT87" i="1"/>
  <c r="AT88" i="1" s="1"/>
  <c r="AT91" i="1" l="1"/>
  <c r="AT135" i="1"/>
  <c r="AT149" i="1"/>
  <c r="AT134" i="1"/>
  <c r="AT71" i="2"/>
  <c r="AT148" i="1"/>
  <c r="AS71" i="2"/>
  <c r="AS78" i="2" l="1"/>
  <c r="AS81" i="2" s="1"/>
  <c r="AS80" i="2"/>
  <c r="AS83" i="2" s="1"/>
  <c r="AS60" i="2"/>
  <c r="AT13" i="2"/>
  <c r="AT94" i="1"/>
  <c r="AT152" i="1"/>
  <c r="AT138" i="1"/>
  <c r="AS84" i="2" l="1"/>
  <c r="AS32" i="2"/>
  <c r="AT28" i="2"/>
  <c r="AT60" i="2"/>
  <c r="AT155" i="1"/>
  <c r="AT141" i="1"/>
  <c r="AS38" i="2" l="1"/>
  <c r="AT38" i="2" s="1"/>
  <c r="AT32" i="2"/>
  <c r="AS91" i="1" l="1"/>
  <c r="AS135" i="1"/>
  <c r="AS149" i="1"/>
  <c r="AS70" i="1"/>
  <c r="AT70" i="1" s="1"/>
  <c r="AT71" i="1" s="1"/>
  <c r="AS71" i="1" l="1"/>
  <c r="AS94" i="1"/>
  <c r="AS138" i="1"/>
  <c r="AS152" i="1"/>
  <c r="AS73" i="1"/>
  <c r="AS143" i="1" l="1"/>
  <c r="AS117" i="1"/>
  <c r="AT95" i="1"/>
  <c r="AS141" i="1"/>
  <c r="AS155" i="1"/>
  <c r="AS96" i="1"/>
  <c r="AS74" i="1"/>
  <c r="AT73" i="1"/>
  <c r="AT74" i="1" s="1"/>
  <c r="AS68" i="2" l="1"/>
  <c r="AS111" i="1"/>
  <c r="AS114" i="1" s="1"/>
  <c r="AS98" i="1"/>
  <c r="AT98" i="1" s="1"/>
  <c r="AT117" i="1"/>
  <c r="AS128" i="1"/>
  <c r="AT96" i="1"/>
  <c r="AT143" i="1"/>
  <c r="AS157" i="1" l="1"/>
  <c r="AT68" i="2"/>
  <c r="AT111" i="1"/>
  <c r="AT114" i="1" s="1"/>
  <c r="AT128" i="1"/>
  <c r="AS130" i="1"/>
  <c r="AS69" i="2"/>
  <c r="AS159" i="1"/>
  <c r="AT69" i="2" l="1"/>
  <c r="AT130" i="1"/>
  <c r="AT159" i="1"/>
  <c r="AT157" i="1"/>
  <c r="AT11" i="2" l="1"/>
  <c r="AS50" i="2"/>
  <c r="AS16" i="2"/>
  <c r="AS52" i="2" l="1"/>
  <c r="AS65" i="2"/>
  <c r="AT50" i="2"/>
  <c r="AT16" i="2"/>
  <c r="AT56" i="2" s="1"/>
  <c r="AS23" i="2"/>
  <c r="AS56" i="2"/>
  <c r="AT23" i="2" l="1"/>
  <c r="AT73" i="2"/>
  <c r="AS73" i="2"/>
  <c r="AS75" i="2"/>
  <c r="AT52" i="2"/>
  <c r="AT65" i="2"/>
  <c r="AT75" i="2" l="1"/>
  <c r="AS54" i="2"/>
  <c r="AS63" i="2" s="1"/>
  <c r="AT46" i="2"/>
  <c r="AS55" i="2"/>
  <c r="AS64" i="2" s="1"/>
  <c r="AS47" i="2"/>
  <c r="AT57" i="2"/>
  <c r="AS53" i="2"/>
  <c r="AS57" i="2"/>
  <c r="AT72" i="2"/>
  <c r="AS72" i="2"/>
  <c r="AS66" i="2" l="1"/>
  <c r="AT74" i="2"/>
  <c r="AS74" i="2"/>
  <c r="AS67" i="2"/>
  <c r="AT47" i="2"/>
  <c r="AT53" i="2"/>
  <c r="AT54" i="2"/>
  <c r="AT63" i="2" s="1"/>
  <c r="AT55" i="2"/>
  <c r="AT64" i="2" s="1"/>
  <c r="AT66" i="2" l="1"/>
  <c r="AT67" i="2"/>
  <c r="AT45" i="3"/>
  <c r="AT47" i="3" s="1"/>
  <c r="AS14" i="3"/>
  <c r="AS18" i="3" s="1"/>
  <c r="AT18" i="3"/>
  <c r="AS45" i="3" l="1"/>
  <c r="AS47" i="3" s="1"/>
  <c r="AT50" i="3"/>
  <c r="AT48" i="3"/>
  <c r="AT51" i="3" l="1"/>
  <c r="AS50" i="3"/>
  <c r="AS48" i="3"/>
  <c r="AS51" i="3" l="1"/>
  <c r="AS53" i="3"/>
  <c r="AS22" i="3"/>
  <c r="AS26" i="3" s="1"/>
  <c r="AT26" i="3"/>
  <c r="AS32" i="3"/>
  <c r="AS34" i="3" s="1"/>
  <c r="AS42" i="3" s="1"/>
  <c r="AT42" i="3" s="1"/>
  <c r="AT34" i="3"/>
  <c r="AT39" i="3" s="1"/>
  <c r="AY41" i="3" l="1"/>
  <c r="AU41" i="3"/>
  <c r="AU56" i="1" l="1"/>
  <c r="AU57" i="1" s="1"/>
  <c r="AU57" i="3" l="1"/>
  <c r="AU77" i="1"/>
  <c r="AU78" i="1" l="1"/>
  <c r="AU56" i="3"/>
  <c r="AU70" i="2" l="1"/>
  <c r="AU79" i="2" s="1"/>
  <c r="AU82" i="2" s="1"/>
  <c r="AU67" i="1"/>
  <c r="AU65" i="1" l="1"/>
  <c r="AU66" i="1" s="1"/>
  <c r="AU72" i="1" s="1"/>
  <c r="AU71" i="2" l="1"/>
  <c r="AU60" i="2"/>
  <c r="AU78" i="2" l="1"/>
  <c r="AU81" i="2" s="1"/>
  <c r="AU80" i="2"/>
  <c r="AU83" i="2" s="1"/>
  <c r="AU32" i="2"/>
  <c r="AU38" i="2" s="1"/>
  <c r="AU47" i="2" s="1"/>
  <c r="AU84" i="2" l="1"/>
  <c r="AU70" i="1"/>
  <c r="AU73" i="1" s="1"/>
  <c r="AU91" i="1"/>
  <c r="AU94" i="1" l="1"/>
  <c r="AU152" i="1"/>
  <c r="AU138" i="1"/>
  <c r="AU71" i="1"/>
  <c r="AU74" i="1"/>
  <c r="AU117" i="1" l="1"/>
  <c r="AU128" i="1" s="1"/>
  <c r="AU143" i="1"/>
  <c r="AU141" i="1"/>
  <c r="AU155" i="1"/>
  <c r="AU96" i="1"/>
  <c r="AU159" i="1" l="1"/>
  <c r="AU98" i="1"/>
  <c r="AU111" i="1"/>
  <c r="AU68" i="2"/>
  <c r="AU130" i="1"/>
  <c r="AU69" i="2"/>
  <c r="AU18" i="3" l="1"/>
  <c r="AU45" i="3" l="1"/>
  <c r="AU47" i="3" s="1"/>
  <c r="AU39" i="3"/>
  <c r="AU42" i="3" s="1"/>
  <c r="AV41" i="3" l="1"/>
  <c r="AU48" i="3"/>
  <c r="AU50" i="2" l="1"/>
  <c r="AU16" i="2"/>
  <c r="AU56" i="2" l="1"/>
  <c r="AU23" i="2"/>
  <c r="AU52" i="2"/>
  <c r="AV73" i="2" l="1"/>
  <c r="AU73" i="2"/>
  <c r="AU75" i="2"/>
  <c r="AU57" i="2" l="1"/>
  <c r="AU55" i="2"/>
  <c r="AU54" i="2"/>
  <c r="AU53" i="2"/>
  <c r="AU72" i="2"/>
  <c r="AU66" i="2" l="1"/>
  <c r="AU74" i="2"/>
  <c r="AU67" i="2"/>
  <c r="AU58" i="2" l="1"/>
  <c r="AU65" i="2" s="1"/>
  <c r="AU50" i="3"/>
  <c r="AU64" i="2" l="1"/>
  <c r="AU53" i="3"/>
  <c r="AU51" i="3"/>
  <c r="AY113" i="1"/>
  <c r="AU63" i="2"/>
  <c r="AU158" i="1"/>
  <c r="AU114" i="1"/>
  <c r="AU157" i="1" l="1"/>
  <c r="AY58" i="2"/>
  <c r="BD113" i="1"/>
  <c r="BI158" i="1" s="1"/>
  <c r="AZ58" i="2"/>
  <c r="AY158" i="1"/>
  <c r="BD58" i="2" l="1"/>
  <c r="BD158" i="1"/>
  <c r="AV60" i="1" l="1"/>
  <c r="AV61" i="1" l="1"/>
  <c r="AV64" i="1" l="1"/>
  <c r="AV63" i="1"/>
  <c r="AV56" i="1"/>
  <c r="AV57" i="1" s="1"/>
  <c r="BA55" i="1"/>
  <c r="BA59" i="1" s="1"/>
  <c r="BF55" i="1" s="1"/>
  <c r="BF59" i="1" s="1"/>
  <c r="BF61" i="1" l="1"/>
  <c r="BF60" i="1"/>
  <c r="BA60" i="1"/>
  <c r="BA61" i="1"/>
  <c r="BF64" i="1" l="1"/>
  <c r="BF63" i="1"/>
  <c r="BA64" i="1"/>
  <c r="BA63" i="1"/>
  <c r="BF70" i="1" l="1"/>
  <c r="BF67" i="1"/>
  <c r="BF66" i="1"/>
  <c r="BA66" i="1"/>
  <c r="BA70" i="1"/>
  <c r="BA67" i="1"/>
  <c r="BF72" i="1" l="1"/>
  <c r="BF86" i="1"/>
  <c r="BF9" i="3" s="1"/>
  <c r="BA72" i="1"/>
  <c r="BA73" i="1" s="1"/>
  <c r="BA86" i="1"/>
  <c r="BA9" i="3" s="1"/>
  <c r="BA74" i="1" l="1"/>
  <c r="BF70" i="2"/>
  <c r="BF56" i="3"/>
  <c r="BF140" i="1"/>
  <c r="BF147" i="1"/>
  <c r="BF139" i="1"/>
  <c r="BF137" i="1"/>
  <c r="BF133" i="1"/>
  <c r="BF89" i="1"/>
  <c r="BF73" i="1"/>
  <c r="BA89" i="1"/>
  <c r="BA140" i="1"/>
  <c r="BA56" i="3"/>
  <c r="BA137" i="1"/>
  <c r="BA133" i="1"/>
  <c r="BA70" i="2"/>
  <c r="BA139" i="1"/>
  <c r="BF88" i="1" l="1"/>
  <c r="BF74" i="1"/>
  <c r="BF150" i="1"/>
  <c r="BF77" i="1"/>
  <c r="BF57" i="3"/>
  <c r="BA77" i="1"/>
  <c r="BA88" i="1"/>
  <c r="BA57" i="3"/>
  <c r="BF78" i="1" l="1"/>
  <c r="BF91" i="1"/>
  <c r="BF135" i="1"/>
  <c r="BF149" i="1"/>
  <c r="BF87" i="1"/>
  <c r="BA135" i="1"/>
  <c r="BA91" i="1"/>
  <c r="BA87" i="1"/>
  <c r="BF94" i="1" l="1"/>
  <c r="BF152" i="1"/>
  <c r="BF138" i="1"/>
  <c r="BF71" i="2"/>
  <c r="BF148" i="1"/>
  <c r="BF134" i="1"/>
  <c r="BA138" i="1"/>
  <c r="BA94" i="1"/>
  <c r="BA134" i="1"/>
  <c r="BA71" i="2"/>
  <c r="BF95" i="1" l="1"/>
  <c r="BF96" i="1" s="1"/>
  <c r="BF155" i="1"/>
  <c r="BF141" i="1"/>
  <c r="BF117" i="1"/>
  <c r="BA141" i="1"/>
  <c r="BA117" i="1"/>
  <c r="BA95" i="1"/>
  <c r="BF68" i="2" l="1"/>
  <c r="BF8" i="3"/>
  <c r="BF111" i="1"/>
  <c r="BF114" i="1" s="1"/>
  <c r="BF98" i="1"/>
  <c r="BF128" i="1"/>
  <c r="BA96" i="1"/>
  <c r="BA128" i="1"/>
  <c r="BF69" i="2" l="1"/>
  <c r="BF130" i="1"/>
  <c r="BF159" i="1"/>
  <c r="BA111" i="1"/>
  <c r="BA114" i="1" s="1"/>
  <c r="BF157" i="1" s="1"/>
  <c r="BA98" i="1"/>
  <c r="BA68" i="2"/>
  <c r="BA8" i="3"/>
  <c r="BA69" i="2"/>
  <c r="BA130" i="1"/>
  <c r="AV70" i="2" l="1"/>
  <c r="AV79" i="2" s="1"/>
  <c r="AV82" i="2" s="1"/>
  <c r="BA150" i="1" l="1"/>
  <c r="AV77" i="1"/>
  <c r="AV78" i="1" l="1"/>
  <c r="BA78" i="1"/>
  <c r="BA147" i="1"/>
  <c r="AV67" i="1" l="1"/>
  <c r="AV65" i="1" s="1"/>
  <c r="AV66" i="1" s="1"/>
  <c r="AV72" i="1" l="1"/>
  <c r="BA148" i="1" l="1"/>
  <c r="AV71" i="2" l="1"/>
  <c r="AV78" i="2" l="1"/>
  <c r="AV81" i="2" s="1"/>
  <c r="AV80" i="2"/>
  <c r="AV83" i="2" s="1"/>
  <c r="AV60" i="2"/>
  <c r="AV32" i="2"/>
  <c r="AV38" i="2" s="1"/>
  <c r="AV47" i="2" s="1"/>
  <c r="AV84" i="2" l="1"/>
  <c r="BA149" i="1"/>
  <c r="AV91" i="1"/>
  <c r="AV70" i="1"/>
  <c r="AV73" i="1" s="1"/>
  <c r="AV152" i="1" l="1"/>
  <c r="AV138" i="1"/>
  <c r="AV94" i="1"/>
  <c r="AV117" i="1" s="1"/>
  <c r="BA152" i="1"/>
  <c r="AV74" i="1"/>
  <c r="AV71" i="1"/>
  <c r="AV143" i="1" l="1"/>
  <c r="AV155" i="1"/>
  <c r="AV141" i="1"/>
  <c r="BA155" i="1"/>
  <c r="AV96" i="1"/>
  <c r="AV68" i="2" s="1"/>
  <c r="AV128" i="1"/>
  <c r="AV98" i="1"/>
  <c r="AV111" i="1" l="1"/>
  <c r="AV114" i="1" s="1"/>
  <c r="AV157" i="1"/>
  <c r="AV159" i="1"/>
  <c r="BA159" i="1"/>
  <c r="AV130" i="1"/>
  <c r="AV69" i="2"/>
  <c r="AV18" i="3"/>
  <c r="BA157" i="1" l="1"/>
  <c r="AV45" i="3"/>
  <c r="AV47" i="3" s="1"/>
  <c r="AV39" i="3"/>
  <c r="AV42" i="3" s="1"/>
  <c r="AW41" i="3" l="1"/>
  <c r="AV48" i="3"/>
  <c r="AV50" i="3"/>
  <c r="AV51" i="3" l="1"/>
  <c r="AV53" i="3"/>
  <c r="AV16" i="2"/>
  <c r="AV50" i="2"/>
  <c r="AV65" i="2" l="1"/>
  <c r="AV52" i="2"/>
  <c r="AV23" i="2"/>
  <c r="AV56" i="2"/>
  <c r="AV75" i="2" l="1"/>
  <c r="AV53" i="2"/>
  <c r="AV55" i="2"/>
  <c r="AV64" i="2" s="1"/>
  <c r="AV54" i="2"/>
  <c r="AV63" i="2" s="1"/>
  <c r="AV57" i="2"/>
  <c r="AV72" i="2"/>
  <c r="AV66" i="2" l="1"/>
  <c r="AV74" i="2"/>
  <c r="AV67" i="2"/>
  <c r="BB55" i="1"/>
  <c r="BB59" i="1" s="1"/>
  <c r="BG55" i="1" s="1"/>
  <c r="BG59" i="1" s="1"/>
  <c r="BG60" i="1" l="1"/>
  <c r="BG61" i="1"/>
  <c r="BB61" i="1"/>
  <c r="BB60" i="1"/>
  <c r="AW56" i="1"/>
  <c r="AW57" i="1" s="1"/>
  <c r="BG63" i="1" l="1"/>
  <c r="BG64" i="1"/>
  <c r="BB64" i="1"/>
  <c r="BB63" i="1"/>
  <c r="BG66" i="1" l="1"/>
  <c r="BG70" i="1"/>
  <c r="BG67" i="1"/>
  <c r="BB70" i="1"/>
  <c r="BB67" i="1"/>
  <c r="BB66" i="1"/>
  <c r="BG86" i="1" l="1"/>
  <c r="BG9" i="3" s="1"/>
  <c r="BG72" i="1"/>
  <c r="BB86" i="1"/>
  <c r="BB9" i="3" s="1"/>
  <c r="BB72" i="1"/>
  <c r="BG73" i="1" l="1"/>
  <c r="BG56" i="3"/>
  <c r="BG70" i="2"/>
  <c r="BG140" i="1"/>
  <c r="BG133" i="1"/>
  <c r="BG137" i="1"/>
  <c r="BG89" i="1"/>
  <c r="BG147" i="1"/>
  <c r="BG139" i="1"/>
  <c r="BB73" i="1"/>
  <c r="BB70" i="2"/>
  <c r="BB89" i="1"/>
  <c r="BB139" i="1"/>
  <c r="BB137" i="1"/>
  <c r="BB56" i="3"/>
  <c r="BB133" i="1"/>
  <c r="BB140" i="1"/>
  <c r="BG57" i="3" l="1"/>
  <c r="BG150" i="1"/>
  <c r="BG77" i="1"/>
  <c r="BG88" i="1"/>
  <c r="BG74" i="1"/>
  <c r="BB57" i="3"/>
  <c r="BB77" i="1"/>
  <c r="BB88" i="1"/>
  <c r="BB74" i="1"/>
  <c r="BG78" i="1" l="1"/>
  <c r="BG149" i="1"/>
  <c r="BG135" i="1"/>
  <c r="BG91" i="1"/>
  <c r="BG87" i="1"/>
  <c r="BB91" i="1"/>
  <c r="BB135" i="1"/>
  <c r="BB87" i="1"/>
  <c r="BG71" i="2" l="1"/>
  <c r="BG148" i="1"/>
  <c r="BG134" i="1"/>
  <c r="BG152" i="1"/>
  <c r="BG138" i="1"/>
  <c r="BG94" i="1"/>
  <c r="BB94" i="1"/>
  <c r="BB138" i="1"/>
  <c r="BB71" i="2"/>
  <c r="BB134" i="1"/>
  <c r="BG155" i="1" l="1"/>
  <c r="BG141" i="1"/>
  <c r="BG95" i="1"/>
  <c r="BG96" i="1" s="1"/>
  <c r="BG117" i="1"/>
  <c r="BB95" i="1"/>
  <c r="BB117" i="1"/>
  <c r="BB141" i="1"/>
  <c r="BG128" i="1" l="1"/>
  <c r="BG68" i="2"/>
  <c r="BG8" i="3"/>
  <c r="BG111" i="1"/>
  <c r="BG114" i="1" s="1"/>
  <c r="BG98" i="1"/>
  <c r="BB96" i="1"/>
  <c r="BB98" i="1" s="1"/>
  <c r="BB128" i="1"/>
  <c r="BB111" i="1" l="1"/>
  <c r="BB114" i="1" s="1"/>
  <c r="BB8" i="3"/>
  <c r="BB68" i="2"/>
  <c r="BG69" i="2"/>
  <c r="BG159" i="1"/>
  <c r="BG130" i="1"/>
  <c r="BB69" i="2"/>
  <c r="BB130" i="1"/>
  <c r="BG157" i="1" l="1"/>
  <c r="AW70" i="2"/>
  <c r="AW79" i="2" s="1"/>
  <c r="AW82" i="2" s="1"/>
  <c r="AW77" i="1" l="1"/>
  <c r="BB78" i="1" l="1"/>
  <c r="AW78" i="1"/>
  <c r="BB150" i="1"/>
  <c r="BB147" i="1"/>
  <c r="AW67" i="1" l="1"/>
  <c r="AW65" i="1" l="1"/>
  <c r="AW66" i="1" s="1"/>
  <c r="AW72" i="1" s="1"/>
  <c r="BB148" i="1" l="1"/>
  <c r="AW71" i="2" l="1"/>
  <c r="AW78" i="2" l="1"/>
  <c r="AW81" i="2" s="1"/>
  <c r="AW80" i="2"/>
  <c r="AW83" i="2" s="1"/>
  <c r="AW32" i="2"/>
  <c r="AW38" i="2" s="1"/>
  <c r="AW47" i="2" s="1"/>
  <c r="AW60" i="2"/>
  <c r="AW84" i="2" l="1"/>
  <c r="BB149" i="1" l="1"/>
  <c r="AW70" i="1"/>
  <c r="AW73" i="1" s="1"/>
  <c r="AW91" i="1"/>
  <c r="AW94" i="1" l="1"/>
  <c r="BB155" i="1" s="1"/>
  <c r="AW152" i="1"/>
  <c r="AW138" i="1"/>
  <c r="AW74" i="1"/>
  <c r="BB152" i="1"/>
  <c r="AW71" i="1"/>
  <c r="AW117" i="1" l="1"/>
  <c r="AW128" i="1" s="1"/>
  <c r="AW155" i="1"/>
  <c r="AW141" i="1"/>
  <c r="AW143" i="1"/>
  <c r="AW96" i="1"/>
  <c r="AW98" i="1" s="1"/>
  <c r="AW159" i="1" l="1"/>
  <c r="AW68" i="2"/>
  <c r="AW111" i="1"/>
  <c r="AW114" i="1" s="1"/>
  <c r="AW18" i="3"/>
  <c r="AW69" i="2"/>
  <c r="AW130" i="1"/>
  <c r="BB159" i="1"/>
  <c r="AW157" i="1" l="1"/>
  <c r="BB157" i="1"/>
  <c r="AW45" i="3"/>
  <c r="AW47" i="3" s="1"/>
  <c r="AW39" i="3"/>
  <c r="AW42" i="3" s="1"/>
  <c r="AX41" i="3" l="1"/>
  <c r="AW50" i="3"/>
  <c r="AW48" i="3"/>
  <c r="AW50" i="2" l="1"/>
  <c r="AW16" i="2"/>
  <c r="AW53" i="3"/>
  <c r="AW51" i="3"/>
  <c r="AW52" i="2" l="1"/>
  <c r="AW65" i="2"/>
  <c r="AW23" i="2"/>
  <c r="AW56" i="2"/>
  <c r="AW73" i="2" l="1"/>
  <c r="AW75" i="2"/>
  <c r="AW53" i="2" l="1"/>
  <c r="AW54" i="2"/>
  <c r="AW63" i="2" s="1"/>
  <c r="AW57" i="2"/>
  <c r="AW55" i="2"/>
  <c r="AW64" i="2" s="1"/>
  <c r="AW72" i="2"/>
  <c r="AW66" i="2" l="1"/>
  <c r="AW74" i="2"/>
  <c r="AW67" i="2"/>
  <c r="AY59" i="1" l="1"/>
  <c r="AY60" i="1" s="1"/>
  <c r="AX61" i="1"/>
  <c r="BC55" i="1"/>
  <c r="BC59" i="1" s="1"/>
  <c r="AX56" i="1"/>
  <c r="AX57" i="1" s="1"/>
  <c r="AX60" i="1"/>
  <c r="AX64" i="1" l="1"/>
  <c r="AY64" i="1" s="1"/>
  <c r="AX63" i="1"/>
  <c r="AY63" i="1" s="1"/>
  <c r="AY61" i="1"/>
  <c r="BH55" i="1"/>
  <c r="BH59" i="1" s="1"/>
  <c r="BC60" i="1"/>
  <c r="BC61" i="1"/>
  <c r="BH61" i="1" l="1"/>
  <c r="BH60" i="1"/>
  <c r="BC64" i="1"/>
  <c r="BC63" i="1"/>
  <c r="BH64" i="1" l="1"/>
  <c r="BH63" i="1"/>
  <c r="BC70" i="1"/>
  <c r="BC67" i="1"/>
  <c r="BC66" i="1"/>
  <c r="BH67" i="1" l="1"/>
  <c r="BH70" i="1"/>
  <c r="BH66" i="1"/>
  <c r="BC72" i="1"/>
  <c r="BC86" i="1"/>
  <c r="BC9" i="3" s="1"/>
  <c r="BH72" i="1" l="1"/>
  <c r="BH86" i="1"/>
  <c r="BH9" i="3" s="1"/>
  <c r="BC73" i="1"/>
  <c r="BC70" i="2"/>
  <c r="BC89" i="1"/>
  <c r="BC140" i="1"/>
  <c r="BC139" i="1"/>
  <c r="BC56" i="3"/>
  <c r="BC133" i="1"/>
  <c r="BC137" i="1"/>
  <c r="BH70" i="2" l="1"/>
  <c r="BH56" i="3"/>
  <c r="BH147" i="1"/>
  <c r="BH133" i="1"/>
  <c r="BH139" i="1"/>
  <c r="BH140" i="1"/>
  <c r="BH137" i="1"/>
  <c r="BH89" i="1"/>
  <c r="BH73" i="1"/>
  <c r="BC88" i="1"/>
  <c r="BC74" i="1"/>
  <c r="BC57" i="3"/>
  <c r="BC77" i="1"/>
  <c r="BH88" i="1" l="1"/>
  <c r="BH74" i="1"/>
  <c r="BH77" i="1"/>
  <c r="BH150" i="1"/>
  <c r="BH57" i="3"/>
  <c r="BC91" i="1"/>
  <c r="BC135" i="1"/>
  <c r="BC87" i="1"/>
  <c r="BH78" i="1" l="1"/>
  <c r="BH149" i="1"/>
  <c r="BH91" i="1"/>
  <c r="BH135" i="1"/>
  <c r="BH87" i="1"/>
  <c r="BC71" i="2"/>
  <c r="BC134" i="1"/>
  <c r="BC94" i="1"/>
  <c r="BC138" i="1"/>
  <c r="BH71" i="2" l="1"/>
  <c r="BH134" i="1"/>
  <c r="BH148" i="1"/>
  <c r="BH94" i="1"/>
  <c r="BH152" i="1"/>
  <c r="BH138" i="1"/>
  <c r="BC95" i="1"/>
  <c r="BC117" i="1"/>
  <c r="BC141" i="1"/>
  <c r="BC96" i="1" l="1"/>
  <c r="BC98" i="1" s="1"/>
  <c r="BH155" i="1"/>
  <c r="BH95" i="1"/>
  <c r="BH141" i="1"/>
  <c r="BH117" i="1"/>
  <c r="BC128" i="1"/>
  <c r="BC8" i="3" l="1"/>
  <c r="BC68" i="2"/>
  <c r="BC111" i="1"/>
  <c r="BC114" i="1" s="1"/>
  <c r="BH128" i="1"/>
  <c r="BH96" i="1"/>
  <c r="BC130" i="1"/>
  <c r="BC69" i="2"/>
  <c r="BH69" i="2" l="1"/>
  <c r="BH159" i="1"/>
  <c r="BH130" i="1"/>
  <c r="BH68" i="2"/>
  <c r="BH8" i="3"/>
  <c r="BH111" i="1"/>
  <c r="BH114" i="1" s="1"/>
  <c r="BH157" i="1" s="1"/>
  <c r="BH98" i="1"/>
  <c r="BC147" i="1" l="1"/>
  <c r="AY86" i="1"/>
  <c r="AX70" i="2"/>
  <c r="AX79" i="2" s="1"/>
  <c r="AX82" i="2" s="1"/>
  <c r="AX67" i="1"/>
  <c r="AY67" i="1" s="1"/>
  <c r="AY65" i="1" s="1"/>
  <c r="AY82" i="1" l="1"/>
  <c r="AY137" i="1"/>
  <c r="AX65" i="1"/>
  <c r="AX66" i="1" s="1"/>
  <c r="AY66" i="1" s="1"/>
  <c r="AY147" i="1"/>
  <c r="AY81" i="1"/>
  <c r="AY12" i="2"/>
  <c r="AY139" i="1"/>
  <c r="AY83" i="1"/>
  <c r="AY89" i="1"/>
  <c r="BC150" i="1"/>
  <c r="AX77" i="1"/>
  <c r="AY56" i="3"/>
  <c r="AY140" i="1"/>
  <c r="AY133" i="1"/>
  <c r="AY57" i="3"/>
  <c r="AY70" i="2"/>
  <c r="AX72" i="1" l="1"/>
  <c r="AY72" i="1" s="1"/>
  <c r="AY136" i="1"/>
  <c r="AY150" i="1"/>
  <c r="AX78" i="1"/>
  <c r="BC78" i="1"/>
  <c r="AY77" i="1"/>
  <c r="AY78" i="1" l="1"/>
  <c r="BC148" i="1" l="1"/>
  <c r="AY87" i="1"/>
  <c r="AY71" i="2" s="1"/>
  <c r="AX71" i="2"/>
  <c r="AX80" i="2" l="1"/>
  <c r="AX83" i="2" s="1"/>
  <c r="AX78" i="2"/>
  <c r="AX81" i="2" s="1"/>
  <c r="AY134" i="1"/>
  <c r="AY88" i="1"/>
  <c r="AY148" i="1"/>
  <c r="AX84" i="2" l="1"/>
  <c r="AY149" i="1"/>
  <c r="AY91" i="1"/>
  <c r="AY94" i="1" s="1"/>
  <c r="AY135" i="1"/>
  <c r="AY13" i="2"/>
  <c r="AX60" i="2"/>
  <c r="AY138" i="1"/>
  <c r="AY28" i="2"/>
  <c r="AX32" i="2"/>
  <c r="AY152" i="1" l="1"/>
  <c r="AY141" i="1"/>
  <c r="AY155" i="1"/>
  <c r="AY60" i="2"/>
  <c r="AY32" i="2"/>
  <c r="AX38" i="2"/>
  <c r="AY38" i="2" s="1"/>
  <c r="BC149" i="1" l="1"/>
  <c r="AX70" i="1"/>
  <c r="AY70" i="1" s="1"/>
  <c r="AY71" i="1" s="1"/>
  <c r="AX91" i="1"/>
  <c r="AX138" i="1" l="1"/>
  <c r="AX152" i="1"/>
  <c r="AX94" i="1"/>
  <c r="BC155" i="1" s="1"/>
  <c r="AX73" i="1"/>
  <c r="AX71" i="1"/>
  <c r="BC152" i="1"/>
  <c r="AX143" i="1" l="1"/>
  <c r="AX155" i="1"/>
  <c r="AX141" i="1"/>
  <c r="AX117" i="1"/>
  <c r="AX74" i="1"/>
  <c r="AY73" i="1"/>
  <c r="AY74" i="1" s="1"/>
  <c r="AY95" i="1"/>
  <c r="AX96" i="1"/>
  <c r="AX128" i="1" l="1"/>
  <c r="AY117" i="1"/>
  <c r="AY96" i="1"/>
  <c r="AY143" i="1"/>
  <c r="AX111" i="1"/>
  <c r="AX114" i="1" s="1"/>
  <c r="AX98" i="1"/>
  <c r="AY98" i="1" s="1"/>
  <c r="AX68" i="2"/>
  <c r="AX159" i="1" l="1"/>
  <c r="AX157" i="1"/>
  <c r="AX69" i="2"/>
  <c r="AX130" i="1"/>
  <c r="AY128" i="1"/>
  <c r="BC159" i="1"/>
  <c r="BC157" i="1"/>
  <c r="AY111" i="1"/>
  <c r="AY114" i="1" s="1"/>
  <c r="AY68" i="2"/>
  <c r="AY69" i="2" l="1"/>
  <c r="AY130" i="1"/>
  <c r="AY159" i="1"/>
  <c r="AY157" i="1"/>
  <c r="AX50" i="2" l="1"/>
  <c r="AY11" i="2"/>
  <c r="AX16" i="2"/>
  <c r="AX56" i="2" l="1"/>
  <c r="AX23" i="2"/>
  <c r="AY50" i="2"/>
  <c r="AY16" i="2"/>
  <c r="AY56" i="2" s="1"/>
  <c r="AX65" i="2"/>
  <c r="AX52" i="2"/>
  <c r="AX75" i="2" l="1"/>
  <c r="AY52" i="2"/>
  <c r="AY65" i="2"/>
  <c r="AY23" i="2"/>
  <c r="AX46" i="2"/>
  <c r="AX73" i="2"/>
  <c r="AY73" i="2"/>
  <c r="AY57" i="2" l="1"/>
  <c r="AX57" i="2"/>
  <c r="AX53" i="2"/>
  <c r="AY46" i="2"/>
  <c r="AX54" i="2"/>
  <c r="AX63" i="2" s="1"/>
  <c r="AX55" i="2"/>
  <c r="AX64" i="2" s="1"/>
  <c r="AX47" i="2"/>
  <c r="AY72" i="2"/>
  <c r="AX72" i="2"/>
  <c r="AY75" i="2"/>
  <c r="AY53" i="2" l="1"/>
  <c r="AY54" i="2"/>
  <c r="AY63" i="2" s="1"/>
  <c r="AY55" i="2"/>
  <c r="AY64" i="2" s="1"/>
  <c r="AY47" i="2"/>
  <c r="AX66" i="2"/>
  <c r="AX74" i="2"/>
  <c r="AY74" i="2"/>
  <c r="AX67" i="2"/>
  <c r="AY66" i="2" l="1"/>
  <c r="AY67" i="2"/>
  <c r="AX12" i="3"/>
  <c r="AX18" i="3" s="1"/>
  <c r="AX45" i="3" s="1"/>
  <c r="AX47" i="3" s="1"/>
  <c r="AX50" i="3" s="1"/>
  <c r="AY18" i="3"/>
  <c r="AX14" i="3"/>
  <c r="AX51" i="3" l="1"/>
  <c r="AX53" i="3"/>
  <c r="AX48" i="3"/>
  <c r="AY45" i="3"/>
  <c r="AY47" i="3" s="1"/>
  <c r="AY50" i="3" l="1"/>
  <c r="AY48" i="3"/>
  <c r="AY51" i="3" l="1"/>
  <c r="AY26" i="3"/>
  <c r="AX22" i="3"/>
  <c r="AX26" i="3" s="1"/>
  <c r="AY39" i="3"/>
  <c r="AX32" i="3"/>
  <c r="AX34" i="3" s="1"/>
  <c r="AX39" i="3" s="1"/>
  <c r="AX42" i="3" s="1"/>
  <c r="AY42" i="3" s="1"/>
  <c r="AY34" i="3"/>
  <c r="AZ41" i="3" l="1"/>
  <c r="BD41" i="3"/>
  <c r="BD59" i="1" l="1"/>
  <c r="BD61" i="1" s="1"/>
  <c r="BD60" i="1" l="1"/>
  <c r="BD64" i="1"/>
  <c r="BE55" i="1"/>
  <c r="BE59" i="1" s="1"/>
  <c r="AZ60" i="1"/>
  <c r="AZ56" i="1"/>
  <c r="AZ57" i="1" s="1"/>
  <c r="BI59" i="1" l="1"/>
  <c r="BE60" i="1"/>
  <c r="BE61" i="1"/>
  <c r="BD63" i="1"/>
  <c r="BE64" i="1" l="1"/>
  <c r="BE63" i="1"/>
  <c r="BI61" i="1"/>
  <c r="BI60" i="1"/>
  <c r="BE70" i="1" l="1"/>
  <c r="BI70" i="1" s="1"/>
  <c r="BI63" i="1"/>
  <c r="BE67" i="1"/>
  <c r="BI64" i="1"/>
  <c r="BE66" i="1"/>
  <c r="BE86" i="1" l="1"/>
  <c r="BE9" i="3" s="1"/>
  <c r="BI67" i="1"/>
  <c r="BI65" i="1" s="1"/>
  <c r="BI66" i="1"/>
  <c r="BE72" i="1"/>
  <c r="BI71" i="1"/>
  <c r="BI72" i="1" l="1"/>
  <c r="BE73" i="1"/>
  <c r="BE70" i="2"/>
  <c r="BI86" i="1"/>
  <c r="BI83" i="1" s="1"/>
  <c r="BE89" i="1"/>
  <c r="BE56" i="3"/>
  <c r="BE139" i="1"/>
  <c r="BE140" i="1"/>
  <c r="BE133" i="1"/>
  <c r="BE137" i="1"/>
  <c r="BI82" i="1" l="1"/>
  <c r="BI81" i="1"/>
  <c r="BI139" i="1"/>
  <c r="BI133" i="1"/>
  <c r="BI137" i="1"/>
  <c r="BI70" i="2"/>
  <c r="BI56" i="3"/>
  <c r="BI140" i="1"/>
  <c r="BI73" i="1"/>
  <c r="BI74" i="1" s="1"/>
  <c r="BE88" i="1"/>
  <c r="BE74" i="1"/>
  <c r="BI89" i="1"/>
  <c r="BE77" i="1"/>
  <c r="BI9" i="3"/>
  <c r="BI57" i="3" s="1"/>
  <c r="BE57" i="3"/>
  <c r="BI136" i="1" l="1"/>
  <c r="BI77" i="1"/>
  <c r="BE135" i="1"/>
  <c r="BE91" i="1"/>
  <c r="BE87" i="1"/>
  <c r="BE71" i="2" l="1"/>
  <c r="BI87" i="1"/>
  <c r="BE134" i="1"/>
  <c r="BE94" i="1"/>
  <c r="BE138" i="1"/>
  <c r="BE95" i="1" l="1"/>
  <c r="BI95" i="1" s="1"/>
  <c r="BE141" i="1"/>
  <c r="BE117" i="1"/>
  <c r="BI134" i="1"/>
  <c r="BI71" i="2"/>
  <c r="BI88" i="1"/>
  <c r="BI117" i="1" l="1"/>
  <c r="BE128" i="1"/>
  <c r="BI91" i="1"/>
  <c r="BI135" i="1"/>
  <c r="BE96" i="1"/>
  <c r="BE68" i="2" l="1"/>
  <c r="BE8" i="3"/>
  <c r="BE98" i="1"/>
  <c r="BI98" i="1" s="1"/>
  <c r="BE111" i="1"/>
  <c r="BE114" i="1" s="1"/>
  <c r="BI128" i="1"/>
  <c r="BE69" i="2"/>
  <c r="BE130" i="1"/>
  <c r="BI94" i="1"/>
  <c r="BI138" i="1"/>
  <c r="BI130" i="1" l="1"/>
  <c r="BI69" i="2"/>
  <c r="BI96" i="1"/>
  <c r="BI141" i="1"/>
  <c r="BI143" i="1"/>
  <c r="BI8" i="3"/>
  <c r="BI111" i="1" l="1"/>
  <c r="BI114" i="1" s="1"/>
  <c r="BI68" i="2"/>
  <c r="BD9" i="3" l="1"/>
  <c r="BD57" i="3" s="1"/>
  <c r="AZ57" i="3" l="1"/>
  <c r="BD89" i="1"/>
  <c r="BI150" i="1" s="1"/>
  <c r="BE150" i="1"/>
  <c r="AZ77" i="1" l="1"/>
  <c r="BD150" i="1"/>
  <c r="BD77" i="1" l="1"/>
  <c r="AZ78" i="1"/>
  <c r="BE78" i="1"/>
  <c r="BD78" i="1" l="1"/>
  <c r="BI78" i="1"/>
  <c r="AZ56" i="3"/>
  <c r="BE147" i="1"/>
  <c r="BD86" i="1"/>
  <c r="BD83" i="1" s="1"/>
  <c r="BD82" i="1" l="1"/>
  <c r="BD81" i="1"/>
  <c r="BD140" i="1"/>
  <c r="BD70" i="2"/>
  <c r="BD56" i="3"/>
  <c r="BD139" i="1"/>
  <c r="BI147" i="1"/>
  <c r="BD137" i="1"/>
  <c r="BD147" i="1"/>
  <c r="BD133" i="1"/>
  <c r="BD136" i="1"/>
  <c r="AZ70" i="2"/>
  <c r="AZ79" i="2" s="1"/>
  <c r="AZ82" i="2" s="1"/>
  <c r="BA12" i="2"/>
  <c r="AZ67" i="1"/>
  <c r="BD67" i="1" l="1"/>
  <c r="BD65" i="1" s="1"/>
  <c r="AZ65" i="1"/>
  <c r="AZ66" i="1" s="1"/>
  <c r="BB12" i="2"/>
  <c r="BC12" i="2" l="1"/>
  <c r="BD66" i="1"/>
  <c r="AZ72" i="1"/>
  <c r="BD12" i="2" l="1"/>
  <c r="BE12" i="2"/>
  <c r="BD72" i="1"/>
  <c r="BF12" i="2" l="1"/>
  <c r="BG12" i="2" l="1"/>
  <c r="BH12" i="2" l="1"/>
  <c r="BD87" i="1"/>
  <c r="BD88" i="1" s="1"/>
  <c r="BE148" i="1"/>
  <c r="AZ71" i="2"/>
  <c r="AZ78" i="2" l="1"/>
  <c r="AZ81" i="2" s="1"/>
  <c r="AZ80" i="2"/>
  <c r="AZ83" i="2" s="1"/>
  <c r="BI12" i="2"/>
  <c r="BA13" i="2"/>
  <c r="AZ60" i="2"/>
  <c r="BD148" i="1"/>
  <c r="BD134" i="1"/>
  <c r="BD91" i="1"/>
  <c r="BD149" i="1"/>
  <c r="BD135" i="1"/>
  <c r="BI149" i="1"/>
  <c r="BI148" i="1"/>
  <c r="BD71" i="2"/>
  <c r="AZ84" i="2" l="1"/>
  <c r="BA28" i="2"/>
  <c r="AZ32" i="2"/>
  <c r="AZ38" i="2" s="1"/>
  <c r="AZ47" i="2" s="1"/>
  <c r="BD138" i="1"/>
  <c r="BD94" i="1"/>
  <c r="BI152" i="1"/>
  <c r="BD152" i="1"/>
  <c r="BB13" i="2"/>
  <c r="BA60" i="2"/>
  <c r="BA16" i="3" l="1"/>
  <c r="BA18" i="3" s="1"/>
  <c r="BA45" i="3" s="1"/>
  <c r="BA47" i="3" s="1"/>
  <c r="BC13" i="2"/>
  <c r="BB60" i="2"/>
  <c r="BB28" i="2"/>
  <c r="BA32" i="2"/>
  <c r="BA38" i="2" s="1"/>
  <c r="BD141" i="1"/>
  <c r="BD155" i="1"/>
  <c r="BI155" i="1"/>
  <c r="BA39" i="3" l="1"/>
  <c r="BC28" i="2"/>
  <c r="BB32" i="2"/>
  <c r="BB38" i="2" s="1"/>
  <c r="BB16" i="3"/>
  <c r="BA50" i="3"/>
  <c r="BA48" i="3"/>
  <c r="BC60" i="2"/>
  <c r="BD13" i="2"/>
  <c r="BC16" i="3" l="1"/>
  <c r="BC18" i="3" s="1"/>
  <c r="BC45" i="3" s="1"/>
  <c r="BC47" i="3" s="1"/>
  <c r="BB18" i="3"/>
  <c r="BD60" i="2"/>
  <c r="BE13" i="2"/>
  <c r="BA51" i="3"/>
  <c r="BD28" i="2"/>
  <c r="BC32" i="2"/>
  <c r="BC39" i="3" l="1"/>
  <c r="BD16" i="3"/>
  <c r="BE28" i="2"/>
  <c r="BC38" i="2"/>
  <c r="BD38" i="2" s="1"/>
  <c r="BD32" i="2"/>
  <c r="BB39" i="3"/>
  <c r="BB45" i="3"/>
  <c r="BB47" i="3" s="1"/>
  <c r="BE60" i="2"/>
  <c r="BF13" i="2"/>
  <c r="BC48" i="3"/>
  <c r="BC50" i="3"/>
  <c r="BE32" i="2" l="1"/>
  <c r="BE38" i="2" s="1"/>
  <c r="BF28" i="2"/>
  <c r="BE16" i="3"/>
  <c r="BE18" i="3" s="1"/>
  <c r="BB50" i="3"/>
  <c r="BB48" i="3"/>
  <c r="BG13" i="2"/>
  <c r="BF60" i="2"/>
  <c r="BC51" i="3"/>
  <c r="BF16" i="3" l="1"/>
  <c r="BF18" i="3" s="1"/>
  <c r="BF39" i="3" s="1"/>
  <c r="BG28" i="2"/>
  <c r="BF32" i="2"/>
  <c r="BF38" i="2" s="1"/>
  <c r="BG60" i="2"/>
  <c r="BH13" i="2"/>
  <c r="BE39" i="3"/>
  <c r="BE45" i="3"/>
  <c r="BE47" i="3" s="1"/>
  <c r="BB51" i="3"/>
  <c r="BH28" i="2" l="1"/>
  <c r="BF45" i="3"/>
  <c r="BF47" i="3" s="1"/>
  <c r="BF48" i="3" s="1"/>
  <c r="BG32" i="2"/>
  <c r="BG38" i="2" s="1"/>
  <c r="BG16" i="3"/>
  <c r="BG18" i="3" s="1"/>
  <c r="BH32" i="2"/>
  <c r="BI13" i="2"/>
  <c r="BH60" i="2"/>
  <c r="BE50" i="3"/>
  <c r="BH16" i="3" l="1"/>
  <c r="BH18" i="3" s="1"/>
  <c r="BH45" i="3" s="1"/>
  <c r="BH47" i="3" s="1"/>
  <c r="BI28" i="2"/>
  <c r="BF50" i="3"/>
  <c r="BF53" i="3" s="1"/>
  <c r="BI60" i="2"/>
  <c r="BI16" i="3"/>
  <c r="BI18" i="3" s="1"/>
  <c r="BI45" i="3" s="1"/>
  <c r="BI47" i="3" s="1"/>
  <c r="BG39" i="3"/>
  <c r="BG45" i="3"/>
  <c r="BG47" i="3" s="1"/>
  <c r="BE53" i="3"/>
  <c r="BI32" i="2"/>
  <c r="BH38" i="2"/>
  <c r="BI38" i="2" s="1"/>
  <c r="BH39" i="3" l="1"/>
  <c r="BF51" i="3"/>
  <c r="BI39" i="3"/>
  <c r="BI50" i="3"/>
  <c r="BG48" i="3"/>
  <c r="BG50" i="3"/>
  <c r="BH50" i="3"/>
  <c r="BH48" i="3"/>
  <c r="BG53" i="3" l="1"/>
  <c r="BG51" i="3"/>
  <c r="BH51" i="3"/>
  <c r="BH53" i="3"/>
  <c r="BE149" i="1"/>
  <c r="AZ70" i="1"/>
  <c r="BD70" i="1" s="1"/>
  <c r="BD71" i="1" s="1"/>
  <c r="AZ91" i="1"/>
  <c r="AZ94" i="1" l="1"/>
  <c r="AZ152" i="1"/>
  <c r="AZ138" i="1"/>
  <c r="AZ73" i="1"/>
  <c r="AZ74" i="1" s="1"/>
  <c r="AZ117" i="1"/>
  <c r="BE155" i="1"/>
  <c r="BD95" i="1"/>
  <c r="BD143" i="1" s="1"/>
  <c r="AZ96" i="1"/>
  <c r="AZ111" i="1" s="1"/>
  <c r="BE152" i="1"/>
  <c r="AZ71" i="1"/>
  <c r="BD73" i="1" l="1"/>
  <c r="BD74" i="1" s="1"/>
  <c r="AZ143" i="1"/>
  <c r="AZ141" i="1"/>
  <c r="AZ155" i="1"/>
  <c r="AZ98" i="1"/>
  <c r="BD98" i="1" s="1"/>
  <c r="AZ114" i="1"/>
  <c r="AZ157" i="1" s="1"/>
  <c r="AZ68" i="2"/>
  <c r="BD117" i="1"/>
  <c r="AZ128" i="1"/>
  <c r="AZ159" i="1" s="1"/>
  <c r="BD96" i="1"/>
  <c r="BD68" i="2" l="1"/>
  <c r="BD111" i="1"/>
  <c r="BD114" i="1" s="1"/>
  <c r="AZ69" i="2"/>
  <c r="BE159" i="1"/>
  <c r="AZ130" i="1"/>
  <c r="BD128" i="1"/>
  <c r="AZ18" i="3"/>
  <c r="BD8" i="3"/>
  <c r="BD18" i="3" s="1"/>
  <c r="BE157" i="1"/>
  <c r="BD159" i="1" l="1"/>
  <c r="BI159" i="1"/>
  <c r="BD130" i="1"/>
  <c r="BD69" i="2"/>
  <c r="BI157" i="1"/>
  <c r="BD157" i="1"/>
  <c r="AZ45" i="3"/>
  <c r="AZ47" i="3" s="1"/>
  <c r="AZ39" i="3"/>
  <c r="AZ42" i="3" s="1"/>
  <c r="BD39" i="3"/>
  <c r="BD45" i="3"/>
  <c r="BD47" i="3" s="1"/>
  <c r="BD50" i="3" l="1"/>
  <c r="BI48" i="3"/>
  <c r="BD48" i="3"/>
  <c r="BA41" i="3"/>
  <c r="BA42" i="3" s="1"/>
  <c r="AZ50" i="3"/>
  <c r="BE48" i="3"/>
  <c r="AZ48" i="3"/>
  <c r="BE51" i="3" l="1"/>
  <c r="AZ51" i="3"/>
  <c r="BB53" i="3"/>
  <c r="BC53" i="3"/>
  <c r="AZ53" i="3"/>
  <c r="BA53" i="3"/>
  <c r="BA11" i="2"/>
  <c r="BB41" i="3"/>
  <c r="BB42" i="3" s="1"/>
  <c r="AZ50" i="2"/>
  <c r="AZ16" i="2"/>
  <c r="BI51" i="3"/>
  <c r="BD51" i="3"/>
  <c r="BB11" i="2" l="1"/>
  <c r="BC41" i="3"/>
  <c r="BC42" i="3" s="1"/>
  <c r="BA16" i="2"/>
  <c r="BA50" i="2"/>
  <c r="AZ52" i="2"/>
  <c r="AZ65" i="2"/>
  <c r="AZ56" i="2"/>
  <c r="AZ23" i="2"/>
  <c r="BA52" i="2" l="1"/>
  <c r="BA65" i="2"/>
  <c r="BD42" i="3"/>
  <c r="BC11" i="2"/>
  <c r="AZ73" i="2"/>
  <c r="BA73" i="2"/>
  <c r="BA56" i="2"/>
  <c r="BA23" i="2"/>
  <c r="BA46" i="2" s="1"/>
  <c r="AZ75" i="2"/>
  <c r="BB16" i="2"/>
  <c r="BB50" i="2"/>
  <c r="BE41" i="3" l="1"/>
  <c r="BE42" i="3" s="1"/>
  <c r="BI41" i="3"/>
  <c r="BB23" i="2"/>
  <c r="BB56" i="2"/>
  <c r="BD11" i="2"/>
  <c r="BC50" i="2"/>
  <c r="BC16" i="2"/>
  <c r="BB52" i="2"/>
  <c r="BB65" i="2"/>
  <c r="BA57" i="2"/>
  <c r="BA55" i="2"/>
  <c r="BA64" i="2" s="1"/>
  <c r="BA54" i="2"/>
  <c r="BA63" i="2" s="1"/>
  <c r="BA53" i="2"/>
  <c r="BA67" i="2" s="1"/>
  <c r="BA47" i="2"/>
  <c r="BA72" i="2"/>
  <c r="AZ55" i="2"/>
  <c r="AZ64" i="2" s="1"/>
  <c r="AZ54" i="2"/>
  <c r="AZ63" i="2" s="1"/>
  <c r="AZ57" i="2"/>
  <c r="AZ53" i="2"/>
  <c r="AZ72" i="2"/>
  <c r="BA75" i="2"/>
  <c r="BC23" i="2" l="1"/>
  <c r="BC56" i="2"/>
  <c r="BB46" i="2"/>
  <c r="BB73" i="2"/>
  <c r="BC52" i="2"/>
  <c r="BC65" i="2"/>
  <c r="AZ66" i="2"/>
  <c r="AZ74" i="2"/>
  <c r="AZ67" i="2"/>
  <c r="BB75" i="2"/>
  <c r="BA66" i="2"/>
  <c r="BA74" i="2"/>
  <c r="BD16" i="2"/>
  <c r="BD56" i="2" s="1"/>
  <c r="BD50" i="2"/>
  <c r="BF41" i="3"/>
  <c r="BF42" i="3" s="1"/>
  <c r="BE11" i="2"/>
  <c r="BD52" i="2" l="1"/>
  <c r="BD65" i="2"/>
  <c r="BB57" i="2"/>
  <c r="BB47" i="2"/>
  <c r="BB54" i="2"/>
  <c r="BB63" i="2" s="1"/>
  <c r="BB53" i="2"/>
  <c r="BB55" i="2"/>
  <c r="BB64" i="2" s="1"/>
  <c r="BB72" i="2"/>
  <c r="BG41" i="3"/>
  <c r="BG42" i="3" s="1"/>
  <c r="BF11" i="2"/>
  <c r="BE16" i="2"/>
  <c r="BE50" i="2"/>
  <c r="BC75" i="2"/>
  <c r="BD23" i="2"/>
  <c r="BC46" i="2"/>
  <c r="BD73" i="2"/>
  <c r="BC73" i="2"/>
  <c r="BC55" i="2" l="1"/>
  <c r="BC64" i="2" s="1"/>
  <c r="BC53" i="2"/>
  <c r="BD46" i="2"/>
  <c r="BC47" i="2"/>
  <c r="BC57" i="2"/>
  <c r="BC54" i="2"/>
  <c r="BC63" i="2" s="1"/>
  <c r="BD57" i="2"/>
  <c r="BC72" i="2"/>
  <c r="BD72" i="2"/>
  <c r="BE56" i="2"/>
  <c r="BE23" i="2"/>
  <c r="BE65" i="2"/>
  <c r="BE52" i="2"/>
  <c r="BF50" i="2"/>
  <c r="BF16" i="2"/>
  <c r="BB66" i="2"/>
  <c r="BB74" i="2"/>
  <c r="BB67" i="2"/>
  <c r="BG11" i="2"/>
  <c r="BH41" i="3"/>
  <c r="BH42" i="3" s="1"/>
  <c r="BD75" i="2"/>
  <c r="BF23" i="2" l="1"/>
  <c r="BF46" i="2" s="1"/>
  <c r="BF56" i="2"/>
  <c r="BE46" i="2"/>
  <c r="BE73" i="2"/>
  <c r="BF73" i="2"/>
  <c r="BD54" i="2"/>
  <c r="BD63" i="2" s="1"/>
  <c r="BD55" i="2"/>
  <c r="BD64" i="2" s="1"/>
  <c r="BD53" i="2"/>
  <c r="BD47" i="2"/>
  <c r="BG16" i="2"/>
  <c r="BG50" i="2"/>
  <c r="BF65" i="2"/>
  <c r="BF52" i="2"/>
  <c r="BC66" i="2"/>
  <c r="BC74" i="2"/>
  <c r="BD74" i="2"/>
  <c r="BC67" i="2"/>
  <c r="BI42" i="3"/>
  <c r="BH11" i="2"/>
  <c r="BE75" i="2"/>
  <c r="BD66" i="2" l="1"/>
  <c r="BD67" i="2"/>
  <c r="BG23" i="2"/>
  <c r="BG56" i="2"/>
  <c r="BH16" i="2"/>
  <c r="BH50" i="2"/>
  <c r="BI11" i="2"/>
  <c r="BG65" i="2"/>
  <c r="BG52" i="2"/>
  <c r="BE57" i="2"/>
  <c r="BE53" i="2"/>
  <c r="BE72" i="2"/>
  <c r="BE55" i="2"/>
  <c r="BE64" i="2" s="1"/>
  <c r="BE47" i="2"/>
  <c r="BE54" i="2"/>
  <c r="BE63" i="2" s="1"/>
  <c r="BF75" i="2"/>
  <c r="BF54" i="2"/>
  <c r="BF63" i="2" s="1"/>
  <c r="BF53" i="2"/>
  <c r="BF55" i="2"/>
  <c r="BF64" i="2" s="1"/>
  <c r="BF57" i="2"/>
  <c r="BF47" i="2"/>
  <c r="BF72" i="2"/>
  <c r="BF66" i="2" l="1"/>
  <c r="BF74" i="2"/>
  <c r="BE66" i="2"/>
  <c r="BE74" i="2"/>
  <c r="BE67" i="2"/>
  <c r="BI16" i="2"/>
  <c r="BI56" i="2" s="1"/>
  <c r="BI50" i="2"/>
  <c r="BG73" i="2"/>
  <c r="BG46" i="2"/>
  <c r="BH52" i="2"/>
  <c r="BH65" i="2"/>
  <c r="BF67" i="2"/>
  <c r="BG75" i="2"/>
  <c r="BH56" i="2"/>
  <c r="BH23" i="2"/>
  <c r="BI52" i="2" l="1"/>
  <c r="BI65" i="2"/>
  <c r="BI23" i="2"/>
  <c r="BH73" i="2"/>
  <c r="BH46" i="2"/>
  <c r="BI73" i="2"/>
  <c r="BH75" i="2"/>
  <c r="BG54" i="2"/>
  <c r="BG63" i="2" s="1"/>
  <c r="BG47" i="2"/>
  <c r="BG55" i="2"/>
  <c r="BG64" i="2" s="1"/>
  <c r="BG53" i="2"/>
  <c r="BG72" i="2"/>
  <c r="BG57" i="2"/>
  <c r="BG66" i="2" l="1"/>
  <c r="BG74" i="2"/>
  <c r="BG67" i="2"/>
  <c r="BH54" i="2"/>
  <c r="BH63" i="2" s="1"/>
  <c r="BH47" i="2"/>
  <c r="BI72" i="2"/>
  <c r="BH72" i="2"/>
  <c r="BH57" i="2"/>
  <c r="BH53" i="2"/>
  <c r="BH55" i="2"/>
  <c r="BH64" i="2" s="1"/>
  <c r="BI57" i="2"/>
  <c r="BI46" i="2"/>
  <c r="BI75" i="2"/>
  <c r="BI55" i="2" l="1"/>
  <c r="BI64" i="2" s="1"/>
  <c r="BI54" i="2"/>
  <c r="BI63" i="2" s="1"/>
  <c r="BI53" i="2"/>
  <c r="BI47" i="2"/>
  <c r="BH74" i="2"/>
  <c r="BI74" i="2"/>
  <c r="BH66" i="2"/>
  <c r="BH67" i="2"/>
  <c r="BI66" i="2" l="1"/>
  <c r="BI6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CJ Dipollino</author>
  </authors>
  <commentList>
    <comment ref="A1" authorId="0" shapeId="0" xr:uid="{4BAF2630-1709-4A9D-AD67-7DE7F4ECAB88}">
      <text>
        <r>
          <rPr>
            <b/>
            <sz val="9"/>
            <color indexed="81"/>
            <rFont val="Tahoma"/>
            <family val="2"/>
          </rPr>
          <t>&lt;?xml version="1.0" encoding="utf-8"?&gt;&lt;Schema xmlns:xsi="http://www.w3.org/2001/XMLSchema-instance" xmlns:xsd="http://www.w3.org/2001/XMLSchema" Version="2" Timestamp="1770242846"&gt;&lt;FQL&gt;&lt;Q&gt;VVV^FE_ESTIMATE(EPS,MEAN,ANN,+2,NOW,,,'')&lt;/Q&gt;&lt;R&gt;1&lt;/R&gt;&lt;C&gt;1&lt;/C&gt;&lt;D xsi:type="xsd:double"&gt;1.646&lt;/D&gt;&lt;/FQL&gt;&lt;FQL&gt;&lt;Q&gt;VVV^FE_ESTIMATE(SALES,MEAN,ANN,+3,NOW,,,'')&lt;/Q&gt;&lt;R&gt;1&lt;/R&gt;&lt;C&gt;1&lt;/C&gt;&lt;D xsi:type="xsd:double"&gt;1795.753&lt;/D&gt;&lt;/FQL&gt;&lt;FQL&gt;&lt;Q&gt;VVV^FE_ESTIMATE(EPS,MEAN,ANNUAL,+3,NOW,,,'')&lt;/Q&gt;&lt;R&gt;1&lt;/R&gt;&lt;C&gt;1&lt;/C&gt;&lt;D xsi:type="xsd:double"&gt;2.0458817&lt;/D&gt;&lt;/FQL&gt;&lt;FQL&gt;&lt;Q&gt;VVV^FE_ESTIMATE(EPS,MEAN,ANNUAL,+2,NOW,,,'')&lt;/Q&gt;&lt;R&gt;1&lt;/R&gt;&lt;C&gt;1&lt;/C&gt;&lt;D xsi:type="xsd:double"&gt;1.9907912&lt;/D&gt;&lt;/FQL&gt;&lt;FQL&gt;&lt;Q&gt;VVV^FE_ESTIMATE(EPS,MEAN,ANNUAL,+1,NOW,,,'')&lt;/Q&gt;&lt;R&gt;1&lt;/R&gt;&lt;C&gt;1&lt;/C&gt;&lt;D xsi:type="xsd:double"&gt;1.6840503&lt;/D&gt;&lt;/FQL&gt;&lt;FQL&gt;&lt;Q&gt;VVV^FE_ESTIMATE(SALES,MEAN,ANN,+2,NOW,,,'')&lt;/Q&gt;&lt;R&gt;1&lt;/R&gt;&lt;C&gt;1&lt;/C&gt;&lt;D xsi:type="xsd:double"&gt;2248.4165&lt;/D&gt;&lt;/FQL&gt;&lt;FQL&gt;&lt;Q&gt;VVV^FE_ESTIMATE(SALES,MEAN,ANN,+1,NOW,,,'')&lt;/Q&gt;&lt;R&gt;1&lt;/R&gt;&lt;C&gt;1&lt;/C&gt;&lt;D xsi:type="xsd:double"&gt;2038.6299&lt;/D&gt;&lt;/FQL&gt;&lt;FQL&gt;&lt;Q&gt;VVV-US^FF_PE(ANN_R,0)&lt;/Q&gt;&lt;R&gt;1&lt;/R&gt;&lt;C&gt;1&lt;/C&gt;&lt;D xsi:type="xsd:double"&gt;10.7738095238095&lt;/D&gt;&lt;/FQL&gt;&lt;FQL&gt;&lt;Q&gt;VVV-US^FF_PE(CURR,0)&lt;/Q&gt;&lt;R&gt;0&lt;/R&gt;&lt;C&gt;0&lt;/C&gt;&lt;/FQL&gt;&lt;FQL&gt;&lt;Q&gt;VVV-US^FE_VALUATION(PE,MEAN,ANN_ROLL,+1,NOW,,,'')&lt;/Q&gt;&lt;R&gt;1&lt;/R&gt;&lt;C&gt;1&lt;/C&gt;&lt;D xsi:type="xsd:double"&gt;33.340332&lt;/D&gt;&lt;/FQL&gt;&lt;FQL&gt;&lt;Q&gt;VVV-US^FE_VALUATION(PE,MEAN,ANN_ROLL,+2,NOW,,,'')&lt;/Q&gt;&lt;R&gt;1&lt;/R&gt;&lt;C&gt;1&lt;/C&gt;&lt;D xsi:type="xsd:double"&gt;22.56379&lt;/D&gt;&lt;/FQL&gt;&lt;FQL&gt;&lt;Q&gt;VVV-US^FE_VALUATION(PE,MEAN,ANN_ROLL,+2,-2AY,,,'')&lt;/Q&gt;&lt;R&gt;1&lt;/R&gt;&lt;C&gt;1&lt;/C&gt;&lt;D xsi:type="xsd:double"&gt;16.449162&lt;/D&gt;&lt;/FQL&gt;&lt;FQL&gt;&lt;Q&gt;VVV-US^FE_VALUATION(PE,MEAN,ANN_ROLL,+2,-10AY,,,'')&lt;/Q&gt;&lt;R&gt;0&lt;/R&gt;&lt;C&gt;0&lt;/C&gt;&lt;/FQL&gt;&lt;FQL&gt;&lt;Q&gt;VVV-US^FE_VALUATION(PE,MEAN,ANN_ROLL,+2,-5AY,,,'')&lt;/Q&gt;&lt;R&gt;1&lt;/R&gt;&lt;C&gt;1&lt;/C&gt;&lt;D xsi:type="xsd:double"&gt;13.60855&lt;/D&gt;&lt;/FQL&gt;&lt;FQL&gt;&lt;Q&gt;VVV-US^RTP_PRICE&lt;/Q&gt;&lt;R&gt;1&lt;/R&gt;&lt;C&gt;1&lt;/C&gt;&lt;D xsi:type="xsd:double"&gt;37.14&lt;/D&gt;&lt;/FQL&gt;&lt;/Schema&gt;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Liam Straker</author>
    <author>CJ Dipollino</author>
  </authors>
  <commentList>
    <comment ref="AF7" authorId="0" shapeId="0" xr:uid="{7B0EED4E-1F4B-4196-AC61-06D8459EA7FF}">
      <text>
        <r>
          <rPr>
            <b/>
            <sz val="9"/>
            <color indexed="81"/>
            <rFont val="Tahoma"/>
            <family val="2"/>
          </rPr>
          <t>Liam Straker:</t>
        </r>
        <r>
          <rPr>
            <sz val="9"/>
            <color indexed="81"/>
            <rFont val="Tahoma"/>
            <family val="2"/>
          </rPr>
          <t xml:space="preserve">
Restated for sale of Global Products segment</t>
        </r>
      </text>
    </comment>
    <comment ref="AG7" authorId="0" shapeId="0" xr:uid="{2F05447F-B879-4C78-A584-8B6FF0EC95FB}">
      <text>
        <r>
          <rPr>
            <b/>
            <sz val="9"/>
            <color indexed="81"/>
            <rFont val="Tahoma"/>
            <family val="2"/>
          </rPr>
          <t>Liam Straker:</t>
        </r>
        <r>
          <rPr>
            <sz val="9"/>
            <color indexed="81"/>
            <rFont val="Tahoma"/>
            <family val="2"/>
          </rPr>
          <t xml:space="preserve">
Restated for sale of global products business</t>
        </r>
      </text>
    </comment>
    <comment ref="AH7" authorId="0" shapeId="0" xr:uid="{34C0CEF7-DD8A-4EC3-B5DF-5FCC91C6F225}">
      <text>
        <r>
          <rPr>
            <b/>
            <sz val="9"/>
            <color indexed="81"/>
            <rFont val="Tahoma"/>
            <family val="2"/>
          </rPr>
          <t>Liam Straker:</t>
        </r>
        <r>
          <rPr>
            <sz val="9"/>
            <color indexed="81"/>
            <rFont val="Tahoma"/>
            <family val="2"/>
          </rPr>
          <t xml:space="preserve">
Restated for sale of global products business</t>
        </r>
      </text>
    </comment>
    <comment ref="AI7" authorId="0" shapeId="0" xr:uid="{B9699202-C2B3-4592-A439-96E9A261DF9B}">
      <text>
        <r>
          <rPr>
            <b/>
            <sz val="9"/>
            <color indexed="81"/>
            <rFont val="Tahoma"/>
            <family val="2"/>
          </rPr>
          <t>Liam Straker:</t>
        </r>
        <r>
          <rPr>
            <sz val="9"/>
            <color indexed="81"/>
            <rFont val="Tahoma"/>
            <family val="2"/>
          </rPr>
          <t xml:space="preserve">
Ex- Global Products</t>
        </r>
      </text>
    </comment>
    <comment ref="AO39" authorId="0" shapeId="0" xr:uid="{FFD54FA1-55FA-4F42-A072-1D52A428DCEB}">
      <text>
        <r>
          <rPr>
            <b/>
            <sz val="9"/>
            <color indexed="81"/>
            <rFont val="Tahoma"/>
            <family val="2"/>
          </rPr>
          <t>Liam Straker:</t>
        </r>
        <r>
          <rPr>
            <sz val="9"/>
            <color indexed="81"/>
            <rFont val="Tahoma"/>
            <family val="2"/>
          </rPr>
          <t xml:space="preserve">
Q1'23: 80-90
</t>
        </r>
      </text>
    </comment>
    <comment ref="AT39" authorId="0" shapeId="0" xr:uid="{1D42947F-9FB3-4253-A348-120F6E1022F8}">
      <text>
        <r>
          <rPr>
            <b/>
            <sz val="9"/>
            <color indexed="81"/>
            <rFont val="Tahoma"/>
            <family val="2"/>
          </rPr>
          <t>Liam Straker:</t>
        </r>
        <r>
          <rPr>
            <sz val="9"/>
            <color indexed="81"/>
            <rFont val="Tahoma"/>
            <family val="2"/>
          </rPr>
          <t xml:space="preserve">
Q4'23: 85-100
Q1'24: no change</t>
        </r>
      </text>
    </comment>
    <comment ref="AY39" authorId="1" shapeId="0" xr:uid="{DD6F4396-582F-4220-8243-EF5AEEE51059}">
      <text>
        <r>
          <rPr>
            <b/>
            <sz val="9"/>
            <color indexed="81"/>
            <rFont val="Tahoma"/>
            <family val="2"/>
          </rPr>
          <t>CJ Dipollino:</t>
        </r>
        <r>
          <rPr>
            <sz val="9"/>
            <color indexed="81"/>
            <rFont val="Tahoma"/>
            <family val="2"/>
          </rPr>
          <t xml:space="preserve">
Q4'24: 160-185 total stores</t>
        </r>
      </text>
    </comment>
    <comment ref="BD39" authorId="1" shapeId="0" xr:uid="{FECC202E-01F2-42AC-9046-5E4F36F0660E}">
      <text>
        <r>
          <rPr>
            <b/>
            <sz val="9"/>
            <color indexed="81"/>
            <rFont val="Tahoma"/>
            <family val="2"/>
          </rPr>
          <t>CJ Dipollino:</t>
        </r>
        <r>
          <rPr>
            <sz val="9"/>
            <color indexed="81"/>
            <rFont val="Tahoma"/>
            <family val="2"/>
          </rPr>
          <t xml:space="preserve">
Q4'25: 330-360 total</t>
        </r>
      </text>
    </comment>
    <comment ref="BI39" authorId="1" shapeId="0" xr:uid="{C2244436-7307-4467-8BDF-8B159D865AAF}">
      <text>
        <r>
          <rPr>
            <b/>
            <sz val="9"/>
            <color indexed="81"/>
            <rFont val="Tahoma"/>
            <family val="2"/>
          </rPr>
          <t>CJ Dipollino:</t>
        </r>
        <r>
          <rPr>
            <sz val="9"/>
            <color indexed="81"/>
            <rFont val="Tahoma"/>
            <family val="2"/>
          </rPr>
          <t xml:space="preserve">
12/11 Investor Day: &gt;7% unit growth</t>
        </r>
      </text>
    </comment>
    <comment ref="AO46" authorId="0" shapeId="0" xr:uid="{CEF93490-EBC2-4404-BEE3-2E3BB4E595E0}">
      <text>
        <r>
          <rPr>
            <b/>
            <sz val="9"/>
            <color indexed="81"/>
            <rFont val="Tahoma"/>
            <family val="2"/>
          </rPr>
          <t>Liam Straker:</t>
        </r>
        <r>
          <rPr>
            <sz val="9"/>
            <color indexed="81"/>
            <rFont val="Tahoma"/>
            <family val="2"/>
          </rPr>
          <t xml:space="preserve">
Q1'23: 50-70</t>
        </r>
      </text>
    </comment>
    <comment ref="AT46" authorId="0" shapeId="0" xr:uid="{F397D70E-2E6A-4BE8-8D43-A202B69AA042}">
      <text>
        <r>
          <rPr>
            <b/>
            <sz val="9"/>
            <color indexed="81"/>
            <rFont val="Tahoma"/>
            <family val="2"/>
          </rPr>
          <t>Liam Straker:</t>
        </r>
        <r>
          <rPr>
            <sz val="9"/>
            <color indexed="81"/>
            <rFont val="Tahoma"/>
            <family val="2"/>
          </rPr>
          <t xml:space="preserve">
Q4'23: 55-70
Q1'24: no change</t>
        </r>
      </text>
    </comment>
    <comment ref="AY46" authorId="1" shapeId="0" xr:uid="{1B32EF59-522A-4541-84CC-7CFD3FBF39AD}">
      <text>
        <r>
          <rPr>
            <b/>
            <sz val="9"/>
            <color indexed="81"/>
            <rFont val="Tahoma"/>
            <family val="2"/>
          </rPr>
          <t>CJ Dipollino:</t>
        </r>
        <r>
          <rPr>
            <sz val="9"/>
            <color indexed="81"/>
            <rFont val="Tahoma"/>
            <family val="2"/>
          </rPr>
          <t xml:space="preserve">
Q4'24: 160-185 total stores</t>
        </r>
      </text>
    </comment>
    <comment ref="BD46" authorId="1" shapeId="0" xr:uid="{653F936E-C0CF-48D6-A785-913A06A1B252}">
      <text>
        <r>
          <rPr>
            <b/>
            <sz val="9"/>
            <color indexed="81"/>
            <rFont val="Tahoma"/>
            <family val="2"/>
          </rPr>
          <t>CJ Dipollino:</t>
        </r>
        <r>
          <rPr>
            <sz val="9"/>
            <color indexed="81"/>
            <rFont val="Tahoma"/>
            <family val="2"/>
          </rPr>
          <t xml:space="preserve">
Q4'25: 330-360 total</t>
        </r>
      </text>
    </comment>
    <comment ref="BI46" authorId="1" shapeId="0" xr:uid="{5333C5A3-DBBA-493C-B89F-F2D2598F9CE3}">
      <text>
        <r>
          <rPr>
            <b/>
            <sz val="9"/>
            <color indexed="81"/>
            <rFont val="Tahoma"/>
            <family val="2"/>
          </rPr>
          <t>CJ Dipollino:</t>
        </r>
        <r>
          <rPr>
            <sz val="9"/>
            <color indexed="81"/>
            <rFont val="Tahoma"/>
            <family val="2"/>
          </rPr>
          <t xml:space="preserve">
12/11 Investor Day: New unites 50-60% franchised locations</t>
        </r>
      </text>
    </comment>
    <comment ref="AO60" authorId="0" shapeId="0" xr:uid="{93C60A8A-FBC8-456B-8776-CA9E0E6D3BBB}">
      <text>
        <r>
          <rPr>
            <b/>
            <sz val="9"/>
            <color indexed="81"/>
            <rFont val="Tahoma"/>
            <family val="2"/>
          </rPr>
          <t>Liam Straker:</t>
        </r>
        <r>
          <rPr>
            <sz val="9"/>
            <color indexed="81"/>
            <rFont val="Tahoma"/>
            <family val="2"/>
          </rPr>
          <t xml:space="preserve">
Q2'23: 16-20%</t>
        </r>
      </text>
    </comment>
    <comment ref="AO83" authorId="0" shapeId="0" xr:uid="{57AD3112-9886-4DB4-8447-1924651B849B}">
      <text>
        <r>
          <rPr>
            <b/>
            <sz val="9"/>
            <color indexed="81"/>
            <rFont val="Tahoma"/>
            <family val="2"/>
          </rPr>
          <t>Liam Straker:</t>
        </r>
        <r>
          <rPr>
            <sz val="9"/>
            <color indexed="81"/>
            <rFont val="Tahoma"/>
            <family val="2"/>
          </rPr>
          <t xml:space="preserve">
Q1'23: 8-12%</t>
        </r>
      </text>
    </comment>
    <comment ref="AT83" authorId="0" shapeId="0" xr:uid="{19B141B7-86C6-466D-B1AA-EF9D9E04AF84}">
      <text>
        <r>
          <rPr>
            <b/>
            <sz val="9"/>
            <color indexed="81"/>
            <rFont val="Tahoma"/>
            <family val="2"/>
          </rPr>
          <t>Liam Straker:</t>
        </r>
        <r>
          <rPr>
            <sz val="9"/>
            <color indexed="81"/>
            <rFont val="Tahoma"/>
            <family val="2"/>
          </rPr>
          <t xml:space="preserve">
Q4'23: 6%-9%
Q1'24: 6%-8%</t>
        </r>
      </text>
    </comment>
    <comment ref="AY83" authorId="1" shapeId="0" xr:uid="{E9EBAED5-8ADD-4ED7-B236-3506B0C864FB}">
      <text>
        <r>
          <rPr>
            <b/>
            <sz val="9"/>
            <color indexed="81"/>
            <rFont val="Tahoma"/>
            <family val="2"/>
          </rPr>
          <t>CJ Dipollino:</t>
        </r>
        <r>
          <rPr>
            <sz val="9"/>
            <color indexed="81"/>
            <rFont val="Tahoma"/>
            <family val="2"/>
          </rPr>
          <t xml:space="preserve">
Q4'24: 5%-7%</t>
        </r>
      </text>
    </comment>
    <comment ref="BD83" authorId="1" shapeId="0" xr:uid="{02110CEE-945D-4DB5-AE47-A5682D635C4A}">
      <text>
        <r>
          <rPr>
            <b/>
            <sz val="9"/>
            <color indexed="81"/>
            <rFont val="Tahoma"/>
            <family val="2"/>
          </rPr>
          <t>CJ Dipollino:</t>
        </r>
        <r>
          <rPr>
            <sz val="9"/>
            <color indexed="81"/>
            <rFont val="Tahoma"/>
            <family val="2"/>
          </rPr>
          <t xml:space="preserve">
Q4'25: 4-6%</t>
        </r>
      </text>
    </comment>
    <comment ref="BI83" authorId="1" shapeId="0" xr:uid="{E28FF920-680C-418B-8C33-87F31016D862}">
      <text>
        <r>
          <rPr>
            <b/>
            <sz val="9"/>
            <color indexed="81"/>
            <rFont val="Tahoma"/>
            <family val="2"/>
          </rPr>
          <t>CJ Dipollino:</t>
        </r>
        <r>
          <rPr>
            <sz val="9"/>
            <color indexed="81"/>
            <rFont val="Tahoma"/>
            <family val="2"/>
          </rPr>
          <t xml:space="preserve">
Investor Day 12/11: LT Comp 3-5%</t>
        </r>
      </text>
    </comment>
    <comment ref="AO86" authorId="0" shapeId="0" xr:uid="{A6597D9E-D223-415A-BA00-14A4BA78113D}">
      <text>
        <r>
          <rPr>
            <b/>
            <sz val="9"/>
            <color indexed="81"/>
            <rFont val="Tahoma"/>
            <family val="2"/>
          </rPr>
          <t>Liam Straker:</t>
        </r>
        <r>
          <rPr>
            <sz val="9"/>
            <color indexed="81"/>
            <rFont val="Tahoma"/>
            <family val="2"/>
          </rPr>
          <t xml:space="preserve">
Q2'23: $1.4-$1.5B</t>
        </r>
      </text>
    </comment>
    <comment ref="AT86" authorId="0" shapeId="0" xr:uid="{D11F1B9B-5F51-45C8-B73B-3A3DB1104E45}">
      <text>
        <r>
          <rPr>
            <b/>
            <sz val="9"/>
            <color indexed="81"/>
            <rFont val="Tahoma"/>
            <family val="2"/>
          </rPr>
          <t>Liam Straker:</t>
        </r>
        <r>
          <rPr>
            <sz val="9"/>
            <color indexed="81"/>
            <rFont val="Tahoma"/>
            <family val="2"/>
          </rPr>
          <t xml:space="preserve">
Q4'23: $1.6-$1.7B
Q1'24: $1.6-$1.65B</t>
        </r>
      </text>
    </comment>
    <comment ref="AY86" authorId="1" shapeId="0" xr:uid="{887C564E-30AE-44B7-B6F2-B5B808544E29}">
      <text>
        <r>
          <rPr>
            <b/>
            <sz val="9"/>
            <color indexed="81"/>
            <rFont val="Tahoma"/>
            <family val="2"/>
          </rPr>
          <t>CJ Dipollino:</t>
        </r>
        <r>
          <rPr>
            <sz val="9"/>
            <color indexed="81"/>
            <rFont val="Tahoma"/>
            <family val="2"/>
          </rPr>
          <t xml:space="preserve">
Q4'24: $1.67B-$1.73B</t>
        </r>
      </text>
    </comment>
    <comment ref="BD86" authorId="1" shapeId="0" xr:uid="{94D72DAB-E89D-4562-B811-459C3C48D7F9}">
      <text>
        <r>
          <rPr>
            <b/>
            <sz val="9"/>
            <color indexed="81"/>
            <rFont val="Tahoma"/>
            <family val="2"/>
          </rPr>
          <t>CJ Dipollino:</t>
        </r>
        <r>
          <rPr>
            <sz val="9"/>
            <color indexed="81"/>
            <rFont val="Tahoma"/>
            <family val="2"/>
          </rPr>
          <t xml:space="preserve">
Q4'25: $2.0B - $2.1B</t>
        </r>
      </text>
    </comment>
    <comment ref="AO111" authorId="0" shapeId="0" xr:uid="{42EEE318-E46D-4223-9532-3FC382A1858A}">
      <text>
        <r>
          <rPr>
            <b/>
            <sz val="9"/>
            <color indexed="81"/>
            <rFont val="Tahoma"/>
            <family val="2"/>
          </rPr>
          <t>Liam Straker:</t>
        </r>
        <r>
          <rPr>
            <sz val="9"/>
            <color indexed="81"/>
            <rFont val="Tahoma"/>
            <family val="2"/>
          </rPr>
          <t xml:space="preserve">
Q2'23: $160M-$180M
Q3'23: $185M-$200M</t>
        </r>
      </text>
    </comment>
    <comment ref="C114" authorId="0" shapeId="0" xr:uid="{8480ABEF-6890-42F9-996B-D5A406DF1533}">
      <text>
        <r>
          <rPr>
            <b/>
            <sz val="9"/>
            <color indexed="81"/>
            <rFont val="Tahoma"/>
            <family val="2"/>
          </rPr>
          <t>Liam Straker:</t>
        </r>
        <r>
          <rPr>
            <sz val="9"/>
            <color indexed="81"/>
            <rFont val="Tahoma"/>
            <family val="2"/>
          </rPr>
          <t xml:space="preserve">
rounded to match reported figure</t>
        </r>
      </text>
    </comment>
    <comment ref="H114" authorId="0" shapeId="0" xr:uid="{BCAB34ED-E3EA-44FB-B2BA-09A427C1DFD1}">
      <text>
        <r>
          <rPr>
            <b/>
            <sz val="9"/>
            <color indexed="81"/>
            <rFont val="Tahoma"/>
            <family val="2"/>
          </rPr>
          <t>Liam Straker:</t>
        </r>
        <r>
          <rPr>
            <sz val="9"/>
            <color indexed="81"/>
            <rFont val="Tahoma"/>
            <family val="2"/>
          </rPr>
          <t xml:space="preserve">
rounded to match reported figure
</t>
        </r>
      </text>
    </comment>
    <comment ref="AT114" authorId="0" shapeId="0" xr:uid="{92B1B703-A68E-4DF7-A42B-6AF9F8DEBECC}">
      <text>
        <r>
          <rPr>
            <b/>
            <sz val="9"/>
            <color indexed="81"/>
            <rFont val="Tahoma"/>
            <family val="2"/>
          </rPr>
          <t>Liam Straker:</t>
        </r>
        <r>
          <rPr>
            <sz val="9"/>
            <color indexed="81"/>
            <rFont val="Tahoma"/>
            <family val="2"/>
          </rPr>
          <t xml:space="preserve">
Q4'23: $1.40-$1.65
Q1'24: $1.45-$1.65</t>
        </r>
      </text>
    </comment>
    <comment ref="AY114" authorId="1" shapeId="0" xr:uid="{70DF2046-C362-4AF4-902D-72C63F9B7512}">
      <text>
        <r>
          <rPr>
            <b/>
            <sz val="9"/>
            <color indexed="81"/>
            <rFont val="Tahoma"/>
            <family val="2"/>
          </rPr>
          <t>CJ Dipollino:</t>
        </r>
        <r>
          <rPr>
            <sz val="9"/>
            <color indexed="81"/>
            <rFont val="Tahoma"/>
            <family val="2"/>
          </rPr>
          <t xml:space="preserve">
Q4'24: $1.57-$1.67</t>
        </r>
      </text>
    </comment>
    <comment ref="BD114" authorId="1" shapeId="0" xr:uid="{D15F3A53-D0AE-4BA2-B297-3BC0794285DB}">
      <text>
        <r>
          <rPr>
            <b/>
            <sz val="9"/>
            <color indexed="81"/>
            <rFont val="Tahoma"/>
            <family val="2"/>
          </rPr>
          <t>CJ Dipollino:</t>
        </r>
        <r>
          <rPr>
            <sz val="9"/>
            <color indexed="81"/>
            <rFont val="Tahoma"/>
            <family val="2"/>
          </rPr>
          <t xml:space="preserve">
Q4'25: $1.60 to $1.70</t>
        </r>
      </text>
    </comment>
    <comment ref="AO128" authorId="0" shapeId="0" xr:uid="{A1457C52-ECFB-4201-8013-ABC2405464BD}">
      <text>
        <r>
          <rPr>
            <b/>
            <sz val="9"/>
            <color indexed="81"/>
            <rFont val="Tahoma"/>
            <family val="2"/>
          </rPr>
          <t>Liam Straker:</t>
        </r>
        <r>
          <rPr>
            <sz val="9"/>
            <color indexed="81"/>
            <rFont val="Tahoma"/>
            <family val="2"/>
          </rPr>
          <t xml:space="preserve">
Q2'23: $370M-$390M
Q3'23: $375M-$385M</t>
        </r>
      </text>
    </comment>
    <comment ref="AT128" authorId="0" shapeId="0" xr:uid="{597B818B-056C-4DA1-B6D9-606121435225}">
      <text>
        <r>
          <rPr>
            <b/>
            <sz val="9"/>
            <color indexed="81"/>
            <rFont val="Tahoma"/>
            <family val="2"/>
          </rPr>
          <t>Liam Straker:</t>
        </r>
        <r>
          <rPr>
            <sz val="9"/>
            <color indexed="81"/>
            <rFont val="Tahoma"/>
            <family val="2"/>
          </rPr>
          <t xml:space="preserve">
Q4'23: $420-$460M
Q1'24: $430-$455M</t>
        </r>
      </text>
    </comment>
    <comment ref="AY128" authorId="1" shapeId="0" xr:uid="{73D2B148-008F-4EAE-BCFE-8D70994E94F0}">
      <text>
        <r>
          <rPr>
            <b/>
            <sz val="9"/>
            <color indexed="81"/>
            <rFont val="Tahoma"/>
            <family val="2"/>
          </rPr>
          <t>CJ Dipollino:</t>
        </r>
        <r>
          <rPr>
            <sz val="9"/>
            <color indexed="81"/>
            <rFont val="Tahoma"/>
            <family val="2"/>
          </rPr>
          <t xml:space="preserve">
Q4'24: $450M-$470M</t>
        </r>
      </text>
    </comment>
    <comment ref="BD128" authorId="1" shapeId="0" xr:uid="{99D7C720-E7E1-49D1-9AAD-BC2ACB822216}">
      <text>
        <r>
          <rPr>
            <b/>
            <sz val="9"/>
            <color indexed="81"/>
            <rFont val="Tahoma"/>
            <family val="2"/>
          </rPr>
          <t>CJ Dipollino:</t>
        </r>
        <r>
          <rPr>
            <sz val="9"/>
            <color indexed="81"/>
            <rFont val="Tahoma"/>
            <family val="2"/>
          </rPr>
          <t xml:space="preserve">
Q4'25: $525M - $550M</t>
        </r>
      </text>
    </comment>
    <comment ref="AO147" authorId="0" shapeId="0" xr:uid="{40D2D7AA-AD96-4530-8A1D-F1941E11C999}">
      <text>
        <r>
          <rPr>
            <b/>
            <sz val="9"/>
            <color indexed="81"/>
            <rFont val="Tahoma"/>
            <family val="2"/>
          </rPr>
          <t>Liam Straker:</t>
        </r>
        <r>
          <rPr>
            <sz val="9"/>
            <color indexed="81"/>
            <rFont val="Tahoma"/>
            <family val="2"/>
          </rPr>
          <t xml:space="preserve">
Q2'23: 14%-18%</t>
        </r>
      </text>
    </comment>
    <comment ref="BI147" authorId="1" shapeId="0" xr:uid="{1847AACA-EEC5-4591-B733-A6C23FBB34BD}">
      <text>
        <r>
          <rPr>
            <b/>
            <sz val="9"/>
            <color indexed="81"/>
            <rFont val="Tahoma"/>
            <family val="2"/>
          </rPr>
          <t>CJ Dipollino:</t>
        </r>
        <r>
          <rPr>
            <sz val="9"/>
            <color indexed="81"/>
            <rFont val="Tahoma"/>
            <family val="2"/>
          </rPr>
          <t xml:space="preserve">
Investor Day 12/11: 9-11% net sales growth </t>
        </r>
      </text>
    </comment>
    <comment ref="BI157" authorId="1" shapeId="0" xr:uid="{BC08B20A-A4D1-4A99-B38B-B3AFBBEE7414}">
      <text>
        <r>
          <rPr>
            <b/>
            <sz val="9"/>
            <color indexed="81"/>
            <rFont val="Tahoma"/>
            <family val="2"/>
          </rPr>
          <t>CJ Dipollino:</t>
        </r>
        <r>
          <rPr>
            <sz val="9"/>
            <color indexed="81"/>
            <rFont val="Tahoma"/>
            <family val="2"/>
          </rPr>
          <t xml:space="preserve">
Investor Day 12/11: mid to high teens % growth</t>
        </r>
      </text>
    </comment>
    <comment ref="BI159" authorId="1" shapeId="0" xr:uid="{6FD2DF48-0D86-4D5F-9327-C2563BF68A15}">
      <text>
        <r>
          <rPr>
            <b/>
            <sz val="9"/>
            <color indexed="81"/>
            <rFont val="Tahoma"/>
            <family val="2"/>
          </rPr>
          <t>CJ Dipollino:</t>
        </r>
        <r>
          <rPr>
            <sz val="9"/>
            <color indexed="81"/>
            <rFont val="Tahoma"/>
            <family val="2"/>
          </rPr>
          <t xml:space="preserve">
Investor Day 12/11: low to mid teens % growth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Liam Straker</author>
    <author>CJ Dipollino</author>
  </authors>
  <commentList>
    <comment ref="AF5" authorId="0" shapeId="0" xr:uid="{C17853AD-AC70-451A-9277-ACD67F4359B7}">
      <text>
        <r>
          <rPr>
            <b/>
            <sz val="9"/>
            <color indexed="81"/>
            <rFont val="Tahoma"/>
            <family val="2"/>
          </rPr>
          <t>Liam Straker:</t>
        </r>
        <r>
          <rPr>
            <sz val="9"/>
            <color indexed="81"/>
            <rFont val="Tahoma"/>
            <family val="2"/>
          </rPr>
          <t xml:space="preserve">
Restated for sale of Global Products business</t>
        </r>
      </text>
    </comment>
    <comment ref="AG5" authorId="0" shapeId="0" xr:uid="{F414956C-02A8-4384-B74E-FA783A3F35A0}">
      <text>
        <r>
          <rPr>
            <b/>
            <sz val="9"/>
            <color indexed="81"/>
            <rFont val="Tahoma"/>
            <family val="2"/>
          </rPr>
          <t>Liam Straker:</t>
        </r>
        <r>
          <rPr>
            <sz val="9"/>
            <color indexed="81"/>
            <rFont val="Tahoma"/>
            <family val="2"/>
          </rPr>
          <t xml:space="preserve">
Restated for sale of global products business
</t>
        </r>
      </text>
    </comment>
    <comment ref="AO21" authorId="0" shapeId="0" xr:uid="{1359A2D5-6120-475C-9CB4-0D6BB8524D38}">
      <text>
        <r>
          <rPr>
            <b/>
            <sz val="9"/>
            <color indexed="81"/>
            <rFont val="Tahoma"/>
            <family val="2"/>
          </rPr>
          <t>Liam Straker:</t>
        </r>
        <r>
          <rPr>
            <sz val="9"/>
            <color indexed="81"/>
            <rFont val="Tahoma"/>
            <family val="2"/>
          </rPr>
          <t xml:space="preserve">
Q2'23: $170-$200M</t>
        </r>
      </text>
    </comment>
    <comment ref="AT21" authorId="0" shapeId="0" xr:uid="{B3D4E883-5C1A-4ACD-BC44-7647304DD55B}">
      <text>
        <r>
          <rPr>
            <b/>
            <sz val="9"/>
            <color indexed="81"/>
            <rFont val="Tahoma"/>
            <family val="2"/>
          </rPr>
          <t>Liam Straker:</t>
        </r>
        <r>
          <rPr>
            <sz val="9"/>
            <color indexed="81"/>
            <rFont val="Tahoma"/>
            <family val="2"/>
          </rPr>
          <t xml:space="preserve">
Q4'23: $185-$215M
Q1'24: no change
</t>
        </r>
      </text>
    </comment>
    <comment ref="AY21" authorId="1" shapeId="0" xr:uid="{3C78FE72-7DB9-4AD3-8B96-6C2A6B435DB1}">
      <text>
        <r>
          <rPr>
            <b/>
            <sz val="9"/>
            <color indexed="81"/>
            <rFont val="Tahoma"/>
            <family val="2"/>
          </rPr>
          <t>CJ Dipollino:</t>
        </r>
        <r>
          <rPr>
            <sz val="9"/>
            <color indexed="81"/>
            <rFont val="Tahoma"/>
            <family val="2"/>
          </rPr>
          <t xml:space="preserve">
Q4'24: $230M-$250M</t>
        </r>
      </text>
    </comment>
    <comment ref="BD21" authorId="1" shapeId="0" xr:uid="{1DA4051D-F49D-4C37-8C3C-3D3C0DD6088B}">
      <text>
        <r>
          <rPr>
            <b/>
            <sz val="9"/>
            <color indexed="81"/>
            <rFont val="Tahoma"/>
            <family val="2"/>
          </rPr>
          <t>CJ Dipollino:</t>
        </r>
        <r>
          <rPr>
            <sz val="9"/>
            <color indexed="81"/>
            <rFont val="Tahoma"/>
            <family val="2"/>
          </rPr>
          <t xml:space="preserve">
Q4'25: $250 - $280M</t>
        </r>
      </text>
    </comment>
    <comment ref="AY31" authorId="1" shapeId="0" xr:uid="{FB437E3A-A2BF-4150-AE7C-F3AE9821B36B}">
      <text>
        <r>
          <rPr>
            <b/>
            <sz val="9"/>
            <color indexed="81"/>
            <rFont val="Tahoma"/>
            <family val="2"/>
          </rPr>
          <t>CJ Dipollino:</t>
        </r>
        <r>
          <rPr>
            <sz val="9"/>
            <color indexed="81"/>
            <rFont val="Tahoma"/>
            <family val="2"/>
          </rPr>
          <t xml:space="preserve">
Q4'24: $40-$70M</t>
        </r>
      </text>
    </comment>
  </commentList>
</comments>
</file>

<file path=xl/sharedStrings.xml><?xml version="1.0" encoding="utf-8"?>
<sst xmlns="http://schemas.openxmlformats.org/spreadsheetml/2006/main" count="305" uniqueCount="262">
  <si>
    <t>Consolidated Balance Sheet</t>
  </si>
  <si>
    <t>Assets</t>
  </si>
  <si>
    <t>Current assets:</t>
  </si>
  <si>
    <t>Cash and equivalents</t>
  </si>
  <si>
    <t>Inventories</t>
  </si>
  <si>
    <t>Total current assets</t>
  </si>
  <si>
    <t>Other assets</t>
  </si>
  <si>
    <t>Total assets</t>
  </si>
  <si>
    <t>Liabilities and Shareholders' Equity</t>
  </si>
  <si>
    <t>Current liabilities:</t>
  </si>
  <si>
    <t>Current portion of LT debt</t>
  </si>
  <si>
    <t>Federal and state income taxes payable</t>
  </si>
  <si>
    <t>Total current liabilities</t>
  </si>
  <si>
    <t>Long term debt</t>
  </si>
  <si>
    <t>Other long-term liabilities</t>
  </si>
  <si>
    <t xml:space="preserve">       Total liabilities</t>
  </si>
  <si>
    <t>Shareholders' equity</t>
  </si>
  <si>
    <t>Retained earnings</t>
  </si>
  <si>
    <t>Total shareholders' equity</t>
  </si>
  <si>
    <t>Total liabilities and shareholders' equity</t>
  </si>
  <si>
    <t>BALANCE SHEET ANALYSIS</t>
  </si>
  <si>
    <t>Cash</t>
  </si>
  <si>
    <t>Debt</t>
  </si>
  <si>
    <t>Capital</t>
  </si>
  <si>
    <t>Book Value</t>
  </si>
  <si>
    <t>Tangible book value</t>
  </si>
  <si>
    <t>Working capital</t>
  </si>
  <si>
    <t>Average equity (LTM)</t>
  </si>
  <si>
    <t>Shares Outstanding</t>
  </si>
  <si>
    <t>Inventory/store</t>
  </si>
  <si>
    <t>Financial Ratios</t>
  </si>
  <si>
    <t>Book Value/Share</t>
  </si>
  <si>
    <t>Tangible book value/share</t>
  </si>
  <si>
    <t>Cash/share</t>
  </si>
  <si>
    <t>Debt/Capital</t>
  </si>
  <si>
    <t>Net Debt/Capital</t>
  </si>
  <si>
    <t>TTM ROA</t>
  </si>
  <si>
    <t>TTM ROE</t>
  </si>
  <si>
    <t>TTM ROIC</t>
  </si>
  <si>
    <t>Operating Cycle - Current Quarter</t>
  </si>
  <si>
    <t>Inventory Turns</t>
  </si>
  <si>
    <t>Receivable Turns</t>
  </si>
  <si>
    <t>Payable Turns</t>
  </si>
  <si>
    <t>Inventory Processing Period</t>
  </si>
  <si>
    <t>Receivable Processing Period</t>
  </si>
  <si>
    <t>Payable Payment Period</t>
  </si>
  <si>
    <t>Cash Conversion Cycle</t>
  </si>
  <si>
    <t>Gross Profit</t>
  </si>
  <si>
    <t>Interest Expense</t>
  </si>
  <si>
    <t>EBT</t>
  </si>
  <si>
    <t>Receivables</t>
  </si>
  <si>
    <t>Prepaid expenses and other current assets</t>
  </si>
  <si>
    <t>Current assets of discontinued operations</t>
  </si>
  <si>
    <t>($M's, except per share)</t>
  </si>
  <si>
    <t>Property, Plant and Equipment</t>
  </si>
  <si>
    <t>Goodwill and Intangibles</t>
  </si>
  <si>
    <t>Operating lease assets</t>
  </si>
  <si>
    <t>Deferred Tax Assets</t>
  </si>
  <si>
    <t>Accrued expenses and other liabilities</t>
  </si>
  <si>
    <t>Current liabilities held for sale</t>
  </si>
  <si>
    <t>Trade accounts payable</t>
  </si>
  <si>
    <t>Employee benefit obligations</t>
  </si>
  <si>
    <t xml:space="preserve">Operating lease liabilities </t>
  </si>
  <si>
    <t>Preferred stock, no par value</t>
  </si>
  <si>
    <t>Common Stock</t>
  </si>
  <si>
    <t>Paid-in capital</t>
  </si>
  <si>
    <t>Accumulated other comprehensive loss</t>
  </si>
  <si>
    <t>1Q16</t>
  </si>
  <si>
    <t>2Q16</t>
  </si>
  <si>
    <t>3Q16</t>
  </si>
  <si>
    <t>4Q16</t>
  </si>
  <si>
    <t>FY16</t>
  </si>
  <si>
    <t>1Q17</t>
  </si>
  <si>
    <t>2Q17</t>
  </si>
  <si>
    <t>3Q17</t>
  </si>
  <si>
    <t>4Q17</t>
  </si>
  <si>
    <t>FY17</t>
  </si>
  <si>
    <t>1Q18</t>
  </si>
  <si>
    <t>2Q18</t>
  </si>
  <si>
    <t>3Q18</t>
  </si>
  <si>
    <t>4Q18</t>
  </si>
  <si>
    <t>FY18</t>
  </si>
  <si>
    <t>1Q19</t>
  </si>
  <si>
    <t>2Q19</t>
  </si>
  <si>
    <t>3Q19</t>
  </si>
  <si>
    <t>4Q19</t>
  </si>
  <si>
    <t>FY19</t>
  </si>
  <si>
    <t>1Q20</t>
  </si>
  <si>
    <t>2Q20</t>
  </si>
  <si>
    <t>3Q20</t>
  </si>
  <si>
    <t>4Q20</t>
  </si>
  <si>
    <t>FY20</t>
  </si>
  <si>
    <t>1Q21</t>
  </si>
  <si>
    <t>2Q21</t>
  </si>
  <si>
    <t>3Q21</t>
  </si>
  <si>
    <t>4Q21</t>
  </si>
  <si>
    <t>FY21</t>
  </si>
  <si>
    <t>1Q22</t>
  </si>
  <si>
    <t>2Q22</t>
  </si>
  <si>
    <t>3Q22</t>
  </si>
  <si>
    <t>4Q22</t>
  </si>
  <si>
    <t>FY22</t>
  </si>
  <si>
    <t>1Q23</t>
  </si>
  <si>
    <t>Sales</t>
  </si>
  <si>
    <t>Cost of Sales</t>
  </si>
  <si>
    <t>INCOME STATEMENT</t>
  </si>
  <si>
    <t>SG&amp;A Expenses</t>
  </si>
  <si>
    <t>Other Expenses (Income)</t>
  </si>
  <si>
    <t>Operating Income</t>
  </si>
  <si>
    <t xml:space="preserve">Interest Expense </t>
  </si>
  <si>
    <t>Income Tax Expense</t>
  </si>
  <si>
    <t>Net Income from continuing operations</t>
  </si>
  <si>
    <t>Diluted Shares Outstanding</t>
  </si>
  <si>
    <t>Operating margin</t>
  </si>
  <si>
    <t>Tax Rate</t>
  </si>
  <si>
    <t>Other Expenses</t>
  </si>
  <si>
    <t>Net Income from discontinued operations</t>
  </si>
  <si>
    <t>Total Net Income</t>
  </si>
  <si>
    <t>End of Period</t>
  </si>
  <si>
    <t>Franchised</t>
  </si>
  <si>
    <t>System-Wide Stores</t>
  </si>
  <si>
    <t xml:space="preserve">   Net Pension Expenses (Income)</t>
  </si>
  <si>
    <t xml:space="preserve">   Net Legacy and Seperation Related Expenses</t>
  </si>
  <si>
    <t xml:space="preserve">   Suspended Operations</t>
  </si>
  <si>
    <t xml:space="preserve">   Information Technology Transition Costs</t>
  </si>
  <si>
    <t xml:space="preserve">   Restructuring Related Adjustments</t>
  </si>
  <si>
    <t xml:space="preserve">   LIFO Charge</t>
  </si>
  <si>
    <t xml:space="preserve">   Business Interruption Losses (Recoveries)</t>
  </si>
  <si>
    <t xml:space="preserve">   Debt Extinguishment and Modification Costs</t>
  </si>
  <si>
    <t xml:space="preserve">   Tax Impact of Adjustments</t>
  </si>
  <si>
    <t xml:space="preserve">   Other</t>
  </si>
  <si>
    <t xml:space="preserve">   Total Adjustments</t>
  </si>
  <si>
    <t>Adjusted Net Income</t>
  </si>
  <si>
    <t>Retail Stores</t>
  </si>
  <si>
    <t>Net Pension Expense (Income)</t>
  </si>
  <si>
    <t>MARGIN ANALYSIS</t>
  </si>
  <si>
    <t>% CHANGE YR/YR</t>
  </si>
  <si>
    <t>EPS</t>
  </si>
  <si>
    <t>Global Products</t>
  </si>
  <si>
    <t>Y/Y % growth</t>
  </si>
  <si>
    <t>Cash Flow Statement</t>
  </si>
  <si>
    <t xml:space="preserve">Net income </t>
  </si>
  <si>
    <t xml:space="preserve">Depreciation and amortization </t>
  </si>
  <si>
    <t xml:space="preserve">Stock-based compensation expense </t>
  </si>
  <si>
    <t xml:space="preserve">Other </t>
  </si>
  <si>
    <t xml:space="preserve">Acquisitions, net of cash acquired </t>
  </si>
  <si>
    <t xml:space="preserve">(Decrease) increase in cash </t>
  </si>
  <si>
    <t>Cash at BOP</t>
  </si>
  <si>
    <t>Cash at EOP</t>
  </si>
  <si>
    <t>FREE CASH FLOW</t>
  </si>
  <si>
    <t>Cash flow from operations</t>
  </si>
  <si>
    <t>-Capital Expenditures</t>
  </si>
  <si>
    <t>Free cash flow</t>
  </si>
  <si>
    <t>FCF/share</t>
  </si>
  <si>
    <t>Forecast Drivers</t>
  </si>
  <si>
    <t>CapEx as a % of Revs</t>
  </si>
  <si>
    <t>Depreciation as a % of net PPE</t>
  </si>
  <si>
    <t>Depreciation as a % of revenue</t>
  </si>
  <si>
    <t>Income from Discontinued Operations</t>
  </si>
  <si>
    <t>Deferred income taxes</t>
  </si>
  <si>
    <t xml:space="preserve">  Loss on extinguishment of debt</t>
  </si>
  <si>
    <t xml:space="preserve">  Other, net</t>
  </si>
  <si>
    <t xml:space="preserve">  Loss (gain) on pension remeasurements</t>
  </si>
  <si>
    <t xml:space="preserve">  Equity Income from affiliates</t>
  </si>
  <si>
    <t>Change in net working capital</t>
  </si>
  <si>
    <t>Additions to PP&amp;E</t>
  </si>
  <si>
    <t>Notes Receivable, net of repayments</t>
  </si>
  <si>
    <t>Proceeds from the disposal of businesses</t>
  </si>
  <si>
    <t>Net cash provided by operating activities - continuing operations</t>
  </si>
  <si>
    <t>Net cash provided by operating activities - discontinued operations</t>
  </si>
  <si>
    <t>Net cash used for investing activities - continuing operations</t>
  </si>
  <si>
    <t>Net cash used in investing activities - discontinued operations</t>
  </si>
  <si>
    <t>Proceeds from borrowings, net of issuance cost</t>
  </si>
  <si>
    <t>Repayments on borrowings</t>
  </si>
  <si>
    <t>Purchases of common stock</t>
  </si>
  <si>
    <t>Cash dividends paid</t>
  </si>
  <si>
    <t>Net cash used for financing activities - continuing operations</t>
  </si>
  <si>
    <t>Net cash used for financing activities - discontinued operations operations</t>
  </si>
  <si>
    <t>Effect of currency exchange rate changes on cash</t>
  </si>
  <si>
    <t xml:space="preserve">    y/y growth</t>
  </si>
  <si>
    <t>Operating Margin %</t>
  </si>
  <si>
    <t>Retail Services</t>
  </si>
  <si>
    <t>Company Operated SSS%</t>
  </si>
  <si>
    <t>Franchised SSS%</t>
  </si>
  <si>
    <t>System-wide SSS%</t>
  </si>
  <si>
    <t>System-Wide store sales</t>
  </si>
  <si>
    <t>Diluted Adj. EPS</t>
  </si>
  <si>
    <t>This material was prepared by personnel who are associated with Jefferies (Jefferies International Limited, Jefferies Hong Kong Limited, Jefferies Singapore Limited, Jefferies (Japan) Limited, Tokyo Branch, Jefferies India Private Limited, Jefferies (Australia) Pty Ltd); or by personnel who are associated with both Jefferies LLC and Jefferies Research Services LLC (“JRS”). Jefferies LLC is a US registered broker-dealer and is affiliated with JRS, which is a US registered investment adviser. JRS does not create tailored or personalized research and all research provided by JRS is impersonal. If you are paying separately for this research, it is being provided to you by JRS. Otherwise, it is being provided by Jefferies LLC. Jefferies LLC, JRS, and their affiliates are collectively referred to below as “Jefferies”. The information upon which this material is based was obtained from sources believed to be reliable, but has not been independently verified, therefore, we do not guarantee its accuracy. Additional and supporting information is available upon request. This is not an offer or solicitation of an offer to buy or sell any security or investment. Any opinion or estimates constitute our best judgment as of this date, and are subject to change without notice. Members of Jefferies and their respective directors, officers and employees may buy or sell securities mentioned herein as agent or principal for their own account. Upon request members of Jefferies may provide specialized research products or services to certain customers focusing on the prospects for individual covered stocks as compared to other covered stocks over varying time horizons or under differing market conditions. While the views expressed in these situations may not always be directionally consistent with the long-term views expressed in the analyst's published research, the analyst has a reasonable basis and any inconsistencies can be reasonably explained. In Australia, this report may contain general advice. Where this report refers to a particular financial product, you should obtain a copy of the relevant product disclosure statement or offer document before making any decision in relation to the product. This report may contain forward looking statements that may be affected by inaccurate assumptions or by known or unknown risks, uncertainties and other important factors. As a result, the actual results, events, performance or achievements of the financial product may be materially different from those expressed or implied in such statements. Past performance is not indicative of future performance.
This report/model may contain information obtained from third parties, including ratings from credit ratings agencies such as Standard &amp; Poor’s. Reproduction and distribution of third party content in any form is prohibited except with the prior written permission of the applicable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do not provide any express or implied warranties, including, but not limited to, any warranties of merchantability or fitness for a particular purpose or use. Third party content providers are not liable for any direct, indirect, incidental, exemplary, compensatory, punitive, special or consequential damages, costs, expenses, legal fees, or losses (including lost income or profits and opportunity costs) in connection with any use of their content, including ratings. Credit ratings are statements of opinions and are not statements of fact or recommendations to purchase, hold or sell
securities. Such credit ratings do not address the suitability of securities or the suitability of securities for investment purposes, and should not be relied on as investment advice.
This report/model or any portion hereof may not be reprinted, sold or redistributed without the written consent of Jefferies or its affiliates. Neither Jefferies or its affiliates nor any officer nor employee of Jefferies or its affiliates accepts any liability whatsoever for any direct, indirect or consequential damages or losses of any kind arising from any use of this report/model or its contents.
For Important Disclosure information, please visit our website at https://javatar.bluematrix.com/sellside/Disclosures.action or call 1.888.JEFFERIES.</t>
  </si>
  <si>
    <t>2Q23</t>
  </si>
  <si>
    <t>Valvoline Inc. (VVV)</t>
  </si>
  <si>
    <t>Earnings Model</t>
  </si>
  <si>
    <t>FYE: Sept.</t>
  </si>
  <si>
    <t>Retail Services Revenue</t>
  </si>
  <si>
    <t>Sales Analysis:</t>
  </si>
  <si>
    <t>EBITDA Analysis:</t>
  </si>
  <si>
    <t xml:space="preserve">   EBITDA</t>
  </si>
  <si>
    <t xml:space="preserve">   Total Adjustments:</t>
  </si>
  <si>
    <t xml:space="preserve">   Adj. EBITDA</t>
  </si>
  <si>
    <t xml:space="preserve">  Adj EBITDA Margin</t>
  </si>
  <si>
    <t>Net Debt</t>
  </si>
  <si>
    <t># of Stores</t>
  </si>
  <si>
    <t>Net Income</t>
  </si>
  <si>
    <t>Adj. EBITDA</t>
  </si>
  <si>
    <t>Net Debt/TTM Adj EBITDA</t>
  </si>
  <si>
    <t>COGS</t>
  </si>
  <si>
    <t>FCF Yield</t>
  </si>
  <si>
    <t>This sheet contains FactSet XML data for use with this workbook's =FDS codes.  Modifying the worksheet's contents may damage the workbook's =FDS functionality.</t>
  </si>
  <si>
    <t>Gross Margin Analysis:</t>
  </si>
  <si>
    <t>SG&amp;A Analysis:</t>
  </si>
  <si>
    <t xml:space="preserve"> Opened </t>
  </si>
  <si>
    <t xml:space="preserve"> Acquired</t>
  </si>
  <si>
    <t xml:space="preserve"> Net Conversions</t>
  </si>
  <si>
    <t xml:space="preserve"> Closed</t>
  </si>
  <si>
    <t xml:space="preserve"> SSS Contribution</t>
  </si>
  <si>
    <t xml:space="preserve"> Net New Store Contribution</t>
  </si>
  <si>
    <t xml:space="preserve"> Sales Per Net New Store</t>
  </si>
  <si>
    <t xml:space="preserve">  y/y growth</t>
  </si>
  <si>
    <t xml:space="preserve">  Sales per store</t>
  </si>
  <si>
    <t xml:space="preserve"> Estimated Company Owned Store Sales/Revenue</t>
  </si>
  <si>
    <t xml:space="preserve"> Franchised Store Sales</t>
  </si>
  <si>
    <t xml:space="preserve"> Franchised Store Contribution %</t>
  </si>
  <si>
    <t xml:space="preserve"> Estimated Franchised Store Revenue</t>
  </si>
  <si>
    <t xml:space="preserve"> Estimated Franchised Gross Profit</t>
  </si>
  <si>
    <t xml:space="preserve"> Estimated Company Owned Gross Profit</t>
  </si>
  <si>
    <t xml:space="preserve">    Company Owned GM%</t>
  </si>
  <si>
    <t xml:space="preserve"> Total Gross Profit</t>
  </si>
  <si>
    <t xml:space="preserve">   Total GM%</t>
  </si>
  <si>
    <t>Operating Margin Analysis:</t>
  </si>
  <si>
    <t xml:space="preserve"> Core NA</t>
  </si>
  <si>
    <t xml:space="preserve"> International </t>
  </si>
  <si>
    <t xml:space="preserve"> Global Products Total</t>
  </si>
  <si>
    <t xml:space="preserve"> Depreciation and Amortization</t>
  </si>
  <si>
    <t xml:space="preserve"> Other Ajustments </t>
  </si>
  <si>
    <t xml:space="preserve"> EBITDA</t>
  </si>
  <si>
    <t xml:space="preserve"> EBITDA Margin</t>
  </si>
  <si>
    <t>SG&amp;A per store ($ thousands)</t>
  </si>
  <si>
    <t>Assumed Share Price</t>
  </si>
  <si>
    <t xml:space="preserve"> y/y growth</t>
  </si>
  <si>
    <t>3Q23</t>
  </si>
  <si>
    <t>4Q23</t>
  </si>
  <si>
    <t>FY23</t>
  </si>
  <si>
    <t>1Q24</t>
  </si>
  <si>
    <t>Company Operated</t>
  </si>
  <si>
    <t>2Q24</t>
  </si>
  <si>
    <t>3Q24</t>
  </si>
  <si>
    <t>4Q24</t>
  </si>
  <si>
    <t>FY24</t>
  </si>
  <si>
    <t>2Q26E</t>
  </si>
  <si>
    <t>3Q26E</t>
  </si>
  <si>
    <t>4Q26E</t>
  </si>
  <si>
    <t>FY26E</t>
  </si>
  <si>
    <t>1Q25</t>
  </si>
  <si>
    <t>2Q25</t>
  </si>
  <si>
    <t>3Q25</t>
  </si>
  <si>
    <t>4Q25</t>
  </si>
  <si>
    <t>FY25</t>
  </si>
  <si>
    <t>1Q27E</t>
  </si>
  <si>
    <t>2Q27E</t>
  </si>
  <si>
    <t>3Q27E</t>
  </si>
  <si>
    <t>4Q27E</t>
  </si>
  <si>
    <t>FY27E</t>
  </si>
  <si>
    <t>1Q26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</si>
</sst>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7" formatCode="&quot;$&quot;#,##0.00_);\(&quot;$&quot;#,##0.00\)"/>
    <numFmt numFmtId="41" formatCode="_(* #,##0_);_(* \(#,##0\);_(* &quot;-&quot;_);_(@_)"/>
    <numFmt numFmtId="44" formatCode="_(&quot;$&quot;* #,##0.00_);_(&quot;$&quot;* \(#,##0.00\);_(&quot;$&quot;* &quot;-&quot;??_);_(@_)"/>
    <numFmt numFmtId="43" formatCode="_(* #,##0.00_);_(* \(#,##0.00\);_(* &quot;-&quot;??_);_(@_)"/>
    <numFmt numFmtId="164" formatCode="[$-409]mmm\-yy;@"/>
    <numFmt numFmtId="165" formatCode="_(* #,##0_);_(* \(#,##0\);_(* &quot;-&quot;??_);_(@_)"/>
    <numFmt numFmtId="166" formatCode="_(&quot;$&quot;* #,##0_);_(&quot;$&quot;* \(#,##0\);_(&quot;$&quot;* &quot;-&quot;??_);_(@_)"/>
    <numFmt numFmtId="167" formatCode="0.0%"/>
    <numFmt numFmtId="168" formatCode="0.0\x_)"/>
    <numFmt numFmtId="169" formatCode="_(* #,##0.0_);_(* \(#,##0.0\);_(* &quot;-&quot;?_);_(@_)"/>
    <numFmt numFmtId="170" formatCode="0.0\x"/>
    <numFmt numFmtId="171" formatCode="_(* #,##0.00_);_(* \(#,##0.00\);_(* &quot;-&quot;?_);_(@_)"/>
    <numFmt numFmtId="172" formatCode="0.00\x"/>
    <numFmt numFmtId="173" formatCode="0.0"/>
    <numFmt numFmtId="174" formatCode="0&quot; days&quot;"/>
    <numFmt numFmtId="175" formatCode="_(* #,##0.0_);_(* \(#,##0.0\);_(* &quot;-&quot;??_);_(@_)"/>
    <numFmt numFmtId="176" formatCode="_(&quot;$&quot;* #,##0.0_);_(&quot;$&quot;* \(#,##0.0\);_(&quot;$&quot;* &quot;-&quot;??_);_(@_)"/>
    <numFmt numFmtId="177" formatCode="_(* #,##0.000_);_(* \(#,##0.000\);_(* &quot;-&quot;??_);_(@_)"/>
    <numFmt numFmtId="178" formatCode="_(* #,##0.0_);_(* \(#,##0.0\);_(* &quot;-&quot;_);_(@_)"/>
    <numFmt numFmtId="179" formatCode="0.000%"/>
  </numFmts>
  <fonts count="20" x14ac:knownFonts="1">
    <font>
      <sz val="11"/>
      <color theme="1"/>
      <name val="Calibri"/>
      <family val="2"/>
      <scheme val="minor"/>
    </font>
    <font>
      <sz val="11"/>
      <color theme="1"/>
      <name val="Calibri"/>
      <family val="2"/>
      <scheme val="minor"/>
    </font>
    <font>
      <sz val="10"/>
      <name val="Arial"/>
      <family val="2"/>
    </font>
    <font>
      <b/>
      <sz val="10"/>
      <name val="Calibri"/>
      <family val="2"/>
      <scheme val="minor"/>
    </font>
    <font>
      <sz val="10"/>
      <name val="Calibri"/>
      <family val="2"/>
      <scheme val="minor"/>
    </font>
    <font>
      <sz val="10"/>
      <color theme="1"/>
      <name val="Calibri"/>
      <family val="2"/>
      <scheme val="minor"/>
    </font>
    <font>
      <sz val="10"/>
      <color rgb="FF0000FF"/>
      <name val="Calibri"/>
      <family val="2"/>
      <scheme val="minor"/>
    </font>
    <font>
      <b/>
      <sz val="10"/>
      <color indexed="8"/>
      <name val="Calibri"/>
      <family val="2"/>
      <scheme val="minor"/>
    </font>
    <font>
      <sz val="10"/>
      <color indexed="8"/>
      <name val="Calibri"/>
      <family val="2"/>
      <scheme val="minor"/>
    </font>
    <font>
      <u/>
      <sz val="10"/>
      <color indexed="8"/>
      <name val="Calibri"/>
      <family val="2"/>
      <scheme val="minor"/>
    </font>
    <font>
      <b/>
      <sz val="9"/>
      <color indexed="81"/>
      <name val="Tahoma"/>
      <family val="2"/>
    </font>
    <font>
      <sz val="9"/>
      <color indexed="81"/>
      <name val="Tahoma"/>
      <family val="2"/>
    </font>
    <font>
      <b/>
      <sz val="10"/>
      <color theme="1"/>
      <name val="Calibri"/>
      <family val="2"/>
      <scheme val="minor"/>
    </font>
    <font>
      <u/>
      <sz val="10"/>
      <color theme="1"/>
      <name val="Calibri"/>
      <family val="2"/>
      <scheme val="minor"/>
    </font>
    <font>
      <sz val="10"/>
      <color rgb="FF0000CC"/>
      <name val="Calibri"/>
      <family val="2"/>
      <scheme val="minor"/>
    </font>
    <font>
      <sz val="10"/>
      <name val="Calibri"/>
      <family val="2"/>
    </font>
    <font>
      <sz val="8"/>
      <name val="Helvetica"/>
    </font>
    <font>
      <sz val="11"/>
      <color theme="1"/>
      <name val="Cambria"/>
      <family val="2"/>
    </font>
    <font>
      <sz val="8"/>
      <name val="Helvetica"/>
      <family val="2"/>
    </font>
    <font>
      <u/>
      <sz val="8.5"/>
      <color indexed="12"/>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medium">
        <color indexed="64"/>
      </left>
      <right/>
      <top/>
      <bottom/>
      <diagonal/>
    </border>
  </borders>
  <cellStyleXfs count="1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6" fillId="0" borderId="0"/>
    <xf numFmtId="0" fontId="2" fillId="0" borderId="0"/>
    <xf numFmtId="0" fontId="17" fillId="0" borderId="0"/>
    <xf numFmtId="0" fontId="18" fillId="0" borderId="0"/>
    <xf numFmtId="0" fontId="19" fillId="0" borderId="0" applyNumberFormat="0" applyFill="0" applyBorder="0" applyAlignment="0" applyProtection="0">
      <alignment vertical="top"/>
      <protection locked="0"/>
    </xf>
  </cellStyleXfs>
  <cellXfs count="228">
    <xf numFmtId="0" fontId="0" fillId="0" borderId="0" xfId="0"/>
    <xf numFmtId="164" fontId="3" fillId="2" borderId="1" xfId="4" applyNumberFormat="1" applyFont="1" applyFill="1" applyBorder="1" applyProtection="1">
      <protection locked="0"/>
    </xf>
    <xf numFmtId="165" fontId="4" fillId="2" borderId="0" xfId="5" applyNumberFormat="1" applyFont="1" applyFill="1" applyBorder="1" applyProtection="1">
      <protection locked="0"/>
    </xf>
    <xf numFmtId="164" fontId="4" fillId="2" borderId="0" xfId="4" applyNumberFormat="1" applyFont="1" applyFill="1"/>
    <xf numFmtId="164" fontId="4" fillId="2" borderId="0" xfId="4" applyNumberFormat="1" applyFont="1" applyFill="1" applyProtection="1">
      <protection locked="0"/>
    </xf>
    <xf numFmtId="164" fontId="3" fillId="2" borderId="0" xfId="4" applyNumberFormat="1" applyFont="1" applyFill="1" applyProtection="1">
      <protection locked="0"/>
    </xf>
    <xf numFmtId="164" fontId="3" fillId="2" borderId="0" xfId="4" applyNumberFormat="1" applyFont="1" applyFill="1" applyAlignment="1" applyProtection="1">
      <alignment horizontal="left"/>
      <protection locked="0"/>
    </xf>
    <xf numFmtId="166" fontId="4" fillId="2" borderId="0" xfId="2" applyNumberFormat="1" applyFont="1" applyFill="1" applyProtection="1"/>
    <xf numFmtId="14" fontId="3" fillId="2" borderId="0" xfId="4" applyNumberFormat="1" applyFont="1" applyFill="1" applyAlignment="1">
      <alignment horizontal="left"/>
    </xf>
    <xf numFmtId="43" fontId="4" fillId="2" borderId="0" xfId="1" applyFont="1" applyFill="1" applyProtection="1"/>
    <xf numFmtId="0" fontId="3" fillId="2" borderId="0" xfId="4" applyFont="1" applyFill="1" applyAlignment="1">
      <alignment horizontal="left"/>
    </xf>
    <xf numFmtId="17" fontId="3" fillId="2" borderId="2" xfId="4" applyNumberFormat="1" applyFont="1" applyFill="1" applyBorder="1" applyAlignment="1">
      <alignment horizontal="center"/>
    </xf>
    <xf numFmtId="0" fontId="4" fillId="2" borderId="0" xfId="4" applyFont="1" applyFill="1" applyAlignment="1">
      <alignment horizontal="left"/>
    </xf>
    <xf numFmtId="164" fontId="3" fillId="2" borderId="3" xfId="4" applyNumberFormat="1" applyFont="1" applyFill="1" applyBorder="1" applyAlignment="1" applyProtection="1">
      <alignment horizontal="center"/>
      <protection locked="0"/>
    </xf>
    <xf numFmtId="164" fontId="3" fillId="2" borderId="4" xfId="4" applyNumberFormat="1" applyFont="1" applyFill="1" applyBorder="1" applyAlignment="1" applyProtection="1">
      <alignment horizontal="center"/>
      <protection locked="0"/>
    </xf>
    <xf numFmtId="164" fontId="4" fillId="2" borderId="5" xfId="4" applyNumberFormat="1" applyFont="1" applyFill="1" applyBorder="1"/>
    <xf numFmtId="166" fontId="4" fillId="2" borderId="0" xfId="7" applyNumberFormat="1" applyFont="1" applyFill="1" applyBorder="1" applyProtection="1">
      <protection locked="0"/>
    </xf>
    <xf numFmtId="166" fontId="4" fillId="2" borderId="0" xfId="7" applyNumberFormat="1" applyFont="1" applyFill="1" applyBorder="1" applyProtection="1"/>
    <xf numFmtId="164" fontId="5" fillId="2" borderId="0" xfId="4" applyNumberFormat="1" applyFont="1" applyFill="1" applyProtection="1">
      <protection locked="0"/>
    </xf>
    <xf numFmtId="165" fontId="5" fillId="2" borderId="0" xfId="5" applyNumberFormat="1" applyFont="1" applyFill="1" applyBorder="1" applyProtection="1">
      <protection locked="0"/>
    </xf>
    <xf numFmtId="165" fontId="4" fillId="2" borderId="0" xfId="9" applyNumberFormat="1" applyFont="1" applyFill="1" applyBorder="1" applyProtection="1">
      <protection locked="0"/>
    </xf>
    <xf numFmtId="164" fontId="5" fillId="2" borderId="0" xfId="4" applyNumberFormat="1" applyFont="1" applyFill="1"/>
    <xf numFmtId="164" fontId="4" fillId="2" borderId="3" xfId="4" applyNumberFormat="1" applyFont="1" applyFill="1" applyBorder="1" applyProtection="1">
      <protection locked="0"/>
    </xf>
    <xf numFmtId="165" fontId="4" fillId="2" borderId="3" xfId="5" applyNumberFormat="1" applyFont="1" applyFill="1" applyBorder="1" applyProtection="1">
      <protection locked="0"/>
    </xf>
    <xf numFmtId="164" fontId="4" fillId="2" borderId="0" xfId="4" applyNumberFormat="1" applyFont="1" applyFill="1" applyAlignment="1" applyProtection="1">
      <alignment horizontal="left" indent="2"/>
      <protection locked="0"/>
    </xf>
    <xf numFmtId="164" fontId="4" fillId="2" borderId="6" xfId="4" applyNumberFormat="1" applyFont="1" applyFill="1" applyBorder="1" applyAlignment="1" applyProtection="1">
      <alignment horizontal="left" indent="2"/>
      <protection locked="0"/>
    </xf>
    <xf numFmtId="166" fontId="4" fillId="2" borderId="6" xfId="7" applyNumberFormat="1" applyFont="1" applyFill="1" applyBorder="1" applyProtection="1">
      <protection locked="0"/>
    </xf>
    <xf numFmtId="164" fontId="4" fillId="2" borderId="0" xfId="4" applyNumberFormat="1" applyFont="1" applyFill="1" applyAlignment="1" applyProtection="1">
      <alignment horizontal="left" indent="1"/>
      <protection locked="0"/>
    </xf>
    <xf numFmtId="164" fontId="5" fillId="2" borderId="0" xfId="4" applyNumberFormat="1" applyFont="1" applyFill="1" applyAlignment="1" applyProtection="1">
      <alignment horizontal="left" indent="1"/>
      <protection locked="0"/>
    </xf>
    <xf numFmtId="164" fontId="4" fillId="2" borderId="3" xfId="4" applyNumberFormat="1" applyFont="1" applyFill="1" applyBorder="1" applyAlignment="1" applyProtection="1">
      <alignment horizontal="left" indent="1"/>
      <protection locked="0"/>
    </xf>
    <xf numFmtId="164" fontId="4" fillId="2" borderId="6" xfId="4" applyNumberFormat="1" applyFont="1" applyFill="1" applyBorder="1" applyProtection="1">
      <protection locked="0"/>
    </xf>
    <xf numFmtId="165" fontId="4" fillId="2" borderId="9" xfId="5" applyNumberFormat="1" applyFont="1" applyFill="1" applyBorder="1" applyProtection="1">
      <protection locked="0"/>
    </xf>
    <xf numFmtId="7" fontId="7" fillId="2" borderId="0" xfId="0" applyNumberFormat="1" applyFont="1" applyFill="1"/>
    <xf numFmtId="165" fontId="4" fillId="2" borderId="0" xfId="1" applyNumberFormat="1" applyFont="1" applyFill="1" applyBorder="1" applyProtection="1"/>
    <xf numFmtId="7" fontId="8" fillId="2" borderId="0" xfId="0" applyNumberFormat="1" applyFont="1" applyFill="1"/>
    <xf numFmtId="5" fontId="8" fillId="2" borderId="0" xfId="0" applyNumberFormat="1" applyFont="1" applyFill="1"/>
    <xf numFmtId="3" fontId="8" fillId="2" borderId="0" xfId="0" applyNumberFormat="1" applyFont="1" applyFill="1"/>
    <xf numFmtId="167" fontId="4" fillId="2" borderId="0" xfId="3" applyNumberFormat="1" applyFont="1" applyFill="1" applyBorder="1" applyProtection="1">
      <protection locked="0"/>
    </xf>
    <xf numFmtId="43" fontId="4" fillId="2" borderId="0" xfId="5" applyFont="1" applyFill="1" applyBorder="1" applyProtection="1">
      <protection locked="0"/>
    </xf>
    <xf numFmtId="7" fontId="9" fillId="2" borderId="0" xfId="0" applyNumberFormat="1" applyFont="1" applyFill="1"/>
    <xf numFmtId="168" fontId="4" fillId="2" borderId="0" xfId="5" applyNumberFormat="1" applyFont="1" applyFill="1" applyBorder="1" applyProtection="1">
      <protection locked="0"/>
    </xf>
    <xf numFmtId="168" fontId="4" fillId="2" borderId="0" xfId="9" applyNumberFormat="1" applyFont="1" applyFill="1" applyBorder="1" applyProtection="1">
      <protection locked="0"/>
    </xf>
    <xf numFmtId="44" fontId="4" fillId="2" borderId="0" xfId="2" applyFont="1" applyFill="1" applyBorder="1" applyProtection="1">
      <protection locked="0"/>
    </xf>
    <xf numFmtId="43" fontId="4" fillId="2" borderId="0" xfId="2" applyNumberFormat="1" applyFont="1" applyFill="1" applyBorder="1" applyProtection="1">
      <protection locked="0"/>
    </xf>
    <xf numFmtId="169" fontId="4" fillId="2" borderId="0" xfId="5" applyNumberFormat="1" applyFont="1" applyFill="1" applyBorder="1" applyProtection="1">
      <protection locked="0"/>
    </xf>
    <xf numFmtId="167" fontId="8" fillId="2" borderId="0" xfId="6" applyNumberFormat="1" applyFont="1" applyFill="1" applyBorder="1"/>
    <xf numFmtId="170" fontId="4" fillId="2" borderId="0" xfId="5" applyNumberFormat="1" applyFont="1" applyFill="1" applyBorder="1" applyProtection="1">
      <protection locked="0"/>
    </xf>
    <xf numFmtId="170" fontId="4" fillId="2" borderId="0" xfId="9" applyNumberFormat="1" applyFont="1" applyFill="1" applyBorder="1" applyProtection="1">
      <protection locked="0"/>
    </xf>
    <xf numFmtId="171" fontId="4" fillId="2" borderId="0" xfId="5" applyNumberFormat="1" applyFont="1" applyFill="1" applyBorder="1" applyProtection="1">
      <protection locked="0"/>
    </xf>
    <xf numFmtId="169" fontId="4" fillId="2" borderId="0" xfId="9" applyNumberFormat="1" applyFont="1" applyFill="1" applyBorder="1" applyProtection="1">
      <protection locked="0"/>
    </xf>
    <xf numFmtId="167" fontId="4" fillId="2" borderId="0" xfId="5" applyNumberFormat="1" applyFont="1" applyFill="1" applyBorder="1" applyProtection="1">
      <protection locked="0"/>
    </xf>
    <xf numFmtId="167" fontId="4" fillId="2" borderId="0" xfId="9" applyNumberFormat="1" applyFont="1" applyFill="1" applyBorder="1" applyProtection="1">
      <protection locked="0"/>
    </xf>
    <xf numFmtId="172" fontId="4" fillId="2" borderId="0" xfId="5" applyNumberFormat="1" applyFont="1" applyFill="1" applyBorder="1" applyProtection="1">
      <protection locked="0"/>
    </xf>
    <xf numFmtId="173" fontId="4" fillId="2" borderId="0" xfId="10" applyNumberFormat="1" applyFont="1" applyFill="1" applyAlignment="1">
      <alignment horizontal="left"/>
    </xf>
    <xf numFmtId="174" fontId="4" fillId="2" borderId="0" xfId="5" applyNumberFormat="1" applyFont="1" applyFill="1" applyBorder="1" applyProtection="1">
      <protection locked="0"/>
    </xf>
    <xf numFmtId="174" fontId="4" fillId="2" borderId="0" xfId="9" applyNumberFormat="1" applyFont="1" applyFill="1" applyBorder="1" applyProtection="1">
      <protection locked="0"/>
    </xf>
    <xf numFmtId="166" fontId="4" fillId="2" borderId="0" xfId="4" applyNumberFormat="1" applyFont="1" applyFill="1" applyProtection="1">
      <protection locked="0"/>
    </xf>
    <xf numFmtId="165" fontId="4" fillId="2" borderId="0" xfId="5" applyNumberFormat="1" applyFont="1" applyFill="1" applyProtection="1">
      <protection locked="0"/>
    </xf>
    <xf numFmtId="165" fontId="4" fillId="2" borderId="0" xfId="9" applyNumberFormat="1" applyFont="1" applyFill="1" applyProtection="1">
      <protection locked="0"/>
    </xf>
    <xf numFmtId="43" fontId="4" fillId="2" borderId="0" xfId="1" applyFont="1" applyFill="1"/>
    <xf numFmtId="176" fontId="4" fillId="2" borderId="0" xfId="7" applyNumberFormat="1" applyFont="1" applyFill="1" applyBorder="1" applyProtection="1">
      <protection locked="0"/>
    </xf>
    <xf numFmtId="176" fontId="5" fillId="2" borderId="0" xfId="5" applyNumberFormat="1" applyFont="1" applyFill="1" applyBorder="1" applyProtection="1">
      <protection locked="0"/>
    </xf>
    <xf numFmtId="176" fontId="4" fillId="2" borderId="0" xfId="5" applyNumberFormat="1" applyFont="1" applyFill="1" applyBorder="1" applyProtection="1">
      <protection locked="0"/>
    </xf>
    <xf numFmtId="176" fontId="4" fillId="2" borderId="3" xfId="5" applyNumberFormat="1" applyFont="1" applyFill="1" applyBorder="1" applyProtection="1">
      <protection locked="0"/>
    </xf>
    <xf numFmtId="176" fontId="4" fillId="2" borderId="0" xfId="1" applyNumberFormat="1" applyFont="1" applyFill="1" applyProtection="1"/>
    <xf numFmtId="176" fontId="4" fillId="2" borderId="6" xfId="7" applyNumberFormat="1" applyFont="1" applyFill="1" applyBorder="1" applyProtection="1">
      <protection locked="0"/>
    </xf>
    <xf numFmtId="176" fontId="4" fillId="2" borderId="9" xfId="5" applyNumberFormat="1" applyFont="1" applyFill="1" applyBorder="1" applyProtection="1">
      <protection locked="0"/>
    </xf>
    <xf numFmtId="0" fontId="5" fillId="2" borderId="0" xfId="0" applyFont="1" applyFill="1"/>
    <xf numFmtId="0" fontId="5" fillId="2" borderId="5" xfId="0" applyFont="1" applyFill="1" applyBorder="1"/>
    <xf numFmtId="0" fontId="12" fillId="2" borderId="0" xfId="0" applyFont="1" applyFill="1"/>
    <xf numFmtId="0" fontId="13" fillId="2" borderId="0" xfId="0" applyFont="1" applyFill="1"/>
    <xf numFmtId="165" fontId="5" fillId="2" borderId="0" xfId="1" applyNumberFormat="1" applyFont="1" applyFill="1"/>
    <xf numFmtId="165" fontId="5" fillId="2" borderId="5" xfId="0" applyNumberFormat="1" applyFont="1" applyFill="1" applyBorder="1"/>
    <xf numFmtId="165" fontId="14" fillId="2" borderId="0" xfId="1" applyNumberFormat="1" applyFont="1" applyFill="1"/>
    <xf numFmtId="0" fontId="12" fillId="2" borderId="5" xfId="0" applyFont="1" applyFill="1" applyBorder="1"/>
    <xf numFmtId="165" fontId="12" fillId="2" borderId="0" xfId="1" applyNumberFormat="1" applyFont="1" applyFill="1"/>
    <xf numFmtId="165" fontId="12" fillId="2" borderId="5" xfId="0" applyNumberFormat="1" applyFont="1" applyFill="1" applyBorder="1"/>
    <xf numFmtId="0" fontId="3" fillId="2" borderId="0" xfId="0" applyFont="1" applyFill="1" applyAlignment="1">
      <alignment horizontal="left"/>
    </xf>
    <xf numFmtId="175" fontId="12" fillId="2" borderId="0" xfId="1" applyNumberFormat="1" applyFont="1" applyFill="1"/>
    <xf numFmtId="175" fontId="12" fillId="2" borderId="5" xfId="0" applyNumberFormat="1" applyFont="1" applyFill="1" applyBorder="1"/>
    <xf numFmtId="0" fontId="5" fillId="2" borderId="3" xfId="0" applyFont="1" applyFill="1" applyBorder="1"/>
    <xf numFmtId="175" fontId="5" fillId="2" borderId="3" xfId="1" applyNumberFormat="1" applyFont="1" applyFill="1" applyBorder="1"/>
    <xf numFmtId="175" fontId="5" fillId="2" borderId="4" xfId="0" applyNumberFormat="1" applyFont="1" applyFill="1" applyBorder="1"/>
    <xf numFmtId="175" fontId="5" fillId="2" borderId="0" xfId="1" applyNumberFormat="1" applyFont="1" applyFill="1"/>
    <xf numFmtId="175" fontId="5" fillId="2" borderId="5" xfId="0" applyNumberFormat="1" applyFont="1" applyFill="1" applyBorder="1"/>
    <xf numFmtId="44" fontId="12" fillId="2" borderId="0" xfId="2" applyFont="1" applyFill="1"/>
    <xf numFmtId="44" fontId="12" fillId="2" borderId="4" xfId="2" applyFont="1" applyFill="1" applyBorder="1"/>
    <xf numFmtId="0" fontId="4" fillId="2" borderId="0" xfId="4" applyFont="1" applyFill="1"/>
    <xf numFmtId="169" fontId="4" fillId="2" borderId="0" xfId="4" applyNumberFormat="1" applyFont="1" applyFill="1"/>
    <xf numFmtId="169" fontId="4" fillId="2" borderId="2" xfId="4" applyNumberFormat="1" applyFont="1" applyFill="1" applyBorder="1"/>
    <xf numFmtId="0" fontId="4" fillId="2" borderId="0" xfId="4" applyFont="1" applyFill="1" applyAlignment="1">
      <alignment horizontal="left" indent="1"/>
    </xf>
    <xf numFmtId="169" fontId="4" fillId="2" borderId="5" xfId="4" applyNumberFormat="1" applyFont="1" applyFill="1" applyBorder="1"/>
    <xf numFmtId="169" fontId="4" fillId="2" borderId="4" xfId="4" applyNumberFormat="1" applyFont="1" applyFill="1" applyBorder="1"/>
    <xf numFmtId="165" fontId="5" fillId="2" borderId="0" xfId="0" applyNumberFormat="1" applyFont="1" applyFill="1"/>
    <xf numFmtId="173" fontId="12" fillId="2" borderId="0" xfId="0" applyNumberFormat="1" applyFont="1" applyFill="1"/>
    <xf numFmtId="173" fontId="12" fillId="2" borderId="5" xfId="0" applyNumberFormat="1" applyFont="1" applyFill="1" applyBorder="1"/>
    <xf numFmtId="173" fontId="5" fillId="2" borderId="0" xfId="0" applyNumberFormat="1" applyFont="1" applyFill="1"/>
    <xf numFmtId="173" fontId="5" fillId="2" borderId="5" xfId="0" applyNumberFormat="1" applyFont="1" applyFill="1" applyBorder="1"/>
    <xf numFmtId="167" fontId="5" fillId="2" borderId="0" xfId="3" applyNumberFormat="1" applyFont="1" applyFill="1"/>
    <xf numFmtId="167" fontId="5" fillId="2" borderId="5" xfId="3" applyNumberFormat="1" applyFont="1" applyFill="1" applyBorder="1"/>
    <xf numFmtId="165" fontId="4" fillId="2" borderId="0" xfId="1" applyNumberFormat="1" applyFont="1" applyFill="1" applyProtection="1"/>
    <xf numFmtId="167" fontId="4" fillId="2" borderId="0" xfId="3" applyNumberFormat="1" applyFont="1" applyFill="1" applyProtection="1"/>
    <xf numFmtId="177" fontId="4" fillId="2" borderId="0" xfId="1" applyNumberFormat="1" applyFont="1" applyFill="1" applyProtection="1"/>
    <xf numFmtId="17" fontId="3" fillId="2" borderId="2" xfId="4" applyNumberFormat="1" applyFont="1" applyFill="1" applyBorder="1" applyAlignment="1" applyProtection="1">
      <alignment horizontal="center"/>
      <protection locked="0"/>
    </xf>
    <xf numFmtId="9" fontId="4" fillId="2" borderId="0" xfId="3" applyFont="1" applyFill="1" applyProtection="1"/>
    <xf numFmtId="164" fontId="3" fillId="2" borderId="5" xfId="4" applyNumberFormat="1" applyFont="1" applyFill="1" applyBorder="1" applyAlignment="1" applyProtection="1">
      <alignment horizontal="center"/>
      <protection locked="0"/>
    </xf>
    <xf numFmtId="41" fontId="4" fillId="2" borderId="0" xfId="4" applyNumberFormat="1" applyFont="1" applyFill="1" applyProtection="1">
      <protection locked="0"/>
    </xf>
    <xf numFmtId="41" fontId="4" fillId="2" borderId="5" xfId="4" applyNumberFormat="1" applyFont="1" applyFill="1" applyBorder="1" applyProtection="1">
      <protection locked="0"/>
    </xf>
    <xf numFmtId="41" fontId="4" fillId="2" borderId="0" xfId="4" applyNumberFormat="1" applyFont="1" applyFill="1" applyAlignment="1" applyProtection="1">
      <alignment horizontal="left"/>
      <protection locked="0"/>
    </xf>
    <xf numFmtId="41" fontId="4" fillId="2" borderId="0" xfId="4" applyNumberFormat="1" applyFont="1" applyFill="1" applyAlignment="1" applyProtection="1">
      <alignment horizontal="right"/>
      <protection locked="0"/>
    </xf>
    <xf numFmtId="41" fontId="4" fillId="2" borderId="5" xfId="4" applyNumberFormat="1" applyFont="1" applyFill="1" applyBorder="1" applyAlignment="1" applyProtection="1">
      <alignment horizontal="right"/>
      <protection locked="0"/>
    </xf>
    <xf numFmtId="41" fontId="4" fillId="2" borderId="0" xfId="4" applyNumberFormat="1" applyFont="1" applyFill="1" applyAlignment="1">
      <alignment horizontal="right"/>
    </xf>
    <xf numFmtId="41" fontId="4" fillId="2" borderId="0" xfId="4" applyNumberFormat="1" applyFont="1" applyFill="1"/>
    <xf numFmtId="41" fontId="4" fillId="2" borderId="0" xfId="4" applyNumberFormat="1" applyFont="1" applyFill="1" applyAlignment="1" applyProtection="1">
      <alignment wrapText="1"/>
      <protection locked="0"/>
    </xf>
    <xf numFmtId="41" fontId="4" fillId="2" borderId="5" xfId="4" applyNumberFormat="1" applyFont="1" applyFill="1" applyBorder="1" applyAlignment="1" applyProtection="1">
      <alignment wrapText="1"/>
      <protection locked="0"/>
    </xf>
    <xf numFmtId="41" fontId="3" fillId="2" borderId="11" xfId="4" applyNumberFormat="1" applyFont="1" applyFill="1" applyBorder="1" applyAlignment="1" applyProtection="1">
      <alignment horizontal="left"/>
      <protection locked="0"/>
    </xf>
    <xf numFmtId="41" fontId="3" fillId="2" borderId="11" xfId="4" applyNumberFormat="1" applyFont="1" applyFill="1" applyBorder="1" applyAlignment="1" applyProtection="1">
      <alignment horizontal="right"/>
      <protection locked="0"/>
    </xf>
    <xf numFmtId="164" fontId="3" fillId="2" borderId="0" xfId="4" applyNumberFormat="1" applyFont="1" applyFill="1"/>
    <xf numFmtId="164" fontId="4" fillId="2" borderId="5" xfId="4" applyNumberFormat="1" applyFont="1" applyFill="1" applyBorder="1" applyProtection="1">
      <protection locked="0"/>
    </xf>
    <xf numFmtId="41" fontId="6" fillId="2" borderId="0" xfId="4" applyNumberFormat="1" applyFont="1" applyFill="1" applyAlignment="1" applyProtection="1">
      <alignment horizontal="right"/>
      <protection locked="0"/>
    </xf>
    <xf numFmtId="164" fontId="4" fillId="2" borderId="0" xfId="4" applyNumberFormat="1" applyFont="1" applyFill="1" applyAlignment="1" applyProtection="1">
      <alignment horizontal="left"/>
      <protection locked="0"/>
    </xf>
    <xf numFmtId="164" fontId="3" fillId="2" borderId="11" xfId="4" applyNumberFormat="1" applyFont="1" applyFill="1" applyBorder="1" applyAlignment="1" applyProtection="1">
      <alignment horizontal="left"/>
      <protection locked="0"/>
    </xf>
    <xf numFmtId="41" fontId="3" fillId="2" borderId="11" xfId="4" applyNumberFormat="1" applyFont="1" applyFill="1" applyBorder="1" applyAlignment="1">
      <alignment horizontal="right"/>
    </xf>
    <xf numFmtId="164" fontId="3" fillId="2" borderId="6" xfId="4" applyNumberFormat="1" applyFont="1" applyFill="1" applyBorder="1" applyAlignment="1" applyProtection="1">
      <alignment horizontal="left"/>
      <protection locked="0"/>
    </xf>
    <xf numFmtId="41" fontId="3" fillId="2" borderId="6" xfId="4" applyNumberFormat="1" applyFont="1" applyFill="1" applyBorder="1" applyAlignment="1" applyProtection="1">
      <alignment horizontal="right"/>
      <protection locked="0"/>
    </xf>
    <xf numFmtId="178" fontId="3" fillId="2" borderId="6" xfId="4" applyNumberFormat="1" applyFont="1" applyFill="1" applyBorder="1" applyAlignment="1" applyProtection="1">
      <alignment horizontal="right"/>
      <protection locked="0"/>
    </xf>
    <xf numFmtId="2" fontId="4" fillId="2" borderId="0" xfId="4" applyNumberFormat="1" applyFont="1" applyFill="1"/>
    <xf numFmtId="0" fontId="3" fillId="2" borderId="13" xfId="0" applyFont="1" applyFill="1" applyBorder="1" applyAlignment="1">
      <alignment horizontal="left"/>
    </xf>
    <xf numFmtId="44" fontId="4" fillId="2" borderId="0" xfId="2" applyFont="1" applyFill="1" applyProtection="1"/>
    <xf numFmtId="0" fontId="8" fillId="2" borderId="0" xfId="0" applyFont="1" applyFill="1"/>
    <xf numFmtId="166" fontId="4" fillId="2" borderId="0" xfId="2" applyNumberFormat="1" applyFont="1" applyFill="1" applyBorder="1" applyAlignment="1" applyProtection="1">
      <alignment horizontal="right"/>
      <protection locked="0"/>
    </xf>
    <xf numFmtId="44" fontId="4" fillId="2" borderId="0" xfId="2" applyFont="1" applyFill="1" applyBorder="1" applyAlignment="1" applyProtection="1">
      <alignment horizontal="right"/>
      <protection locked="0"/>
    </xf>
    <xf numFmtId="178" fontId="4" fillId="2" borderId="0" xfId="4" applyNumberFormat="1" applyFont="1" applyFill="1" applyAlignment="1" applyProtection="1">
      <alignment horizontal="right"/>
      <protection locked="0"/>
    </xf>
    <xf numFmtId="178" fontId="4" fillId="2" borderId="0" xfId="4" applyNumberFormat="1" applyFont="1" applyFill="1" applyProtection="1">
      <protection locked="0"/>
    </xf>
    <xf numFmtId="178" fontId="4" fillId="2" borderId="0" xfId="4" applyNumberFormat="1" applyFont="1" applyFill="1" applyAlignment="1" applyProtection="1">
      <alignment wrapText="1"/>
      <protection locked="0"/>
    </xf>
    <xf numFmtId="178" fontId="3" fillId="2" borderId="11" xfId="4" applyNumberFormat="1" applyFont="1" applyFill="1" applyBorder="1" applyAlignment="1" applyProtection="1">
      <alignment horizontal="right"/>
      <protection locked="0"/>
    </xf>
    <xf numFmtId="178" fontId="4" fillId="2" borderId="0" xfId="4" applyNumberFormat="1" applyFont="1" applyFill="1"/>
    <xf numFmtId="178" fontId="3" fillId="2" borderId="11" xfId="4" applyNumberFormat="1" applyFont="1" applyFill="1" applyBorder="1" applyAlignment="1">
      <alignment horizontal="right"/>
    </xf>
    <xf numFmtId="178" fontId="4" fillId="2" borderId="5" xfId="4" applyNumberFormat="1" applyFont="1" applyFill="1" applyBorder="1" applyAlignment="1" applyProtection="1">
      <alignment horizontal="right"/>
      <protection locked="0"/>
    </xf>
    <xf numFmtId="178" fontId="4" fillId="2" borderId="5" xfId="4" applyNumberFormat="1" applyFont="1" applyFill="1" applyBorder="1" applyProtection="1">
      <protection locked="0"/>
    </xf>
    <xf numFmtId="178" fontId="3" fillId="2" borderId="10" xfId="4" applyNumberFormat="1" applyFont="1" applyFill="1" applyBorder="1" applyAlignment="1" applyProtection="1">
      <alignment horizontal="right"/>
      <protection locked="0"/>
    </xf>
    <xf numFmtId="178" fontId="4" fillId="2" borderId="5" xfId="4" applyNumberFormat="1" applyFont="1" applyFill="1" applyBorder="1" applyAlignment="1" applyProtection="1">
      <alignment wrapText="1"/>
      <protection locked="0"/>
    </xf>
    <xf numFmtId="178" fontId="4" fillId="2" borderId="0" xfId="1" applyNumberFormat="1" applyFont="1" applyFill="1"/>
    <xf numFmtId="178" fontId="4" fillId="2" borderId="0" xfId="1" applyNumberFormat="1" applyFont="1" applyFill="1" applyAlignment="1" applyProtection="1">
      <alignment horizontal="right"/>
      <protection locked="0"/>
    </xf>
    <xf numFmtId="175" fontId="5" fillId="2" borderId="5" xfId="1" applyNumberFormat="1" applyFont="1" applyFill="1" applyBorder="1"/>
    <xf numFmtId="165" fontId="5" fillId="2" borderId="5" xfId="1" applyNumberFormat="1" applyFont="1" applyFill="1" applyBorder="1"/>
    <xf numFmtId="175" fontId="5" fillId="2" borderId="0" xfId="1" applyNumberFormat="1" applyFont="1" applyFill="1" applyAlignment="1">
      <alignment horizontal="right"/>
    </xf>
    <xf numFmtId="43" fontId="5" fillId="2" borderId="0" xfId="1" applyFont="1" applyFill="1"/>
    <xf numFmtId="175" fontId="5" fillId="2" borderId="5" xfId="1" applyNumberFormat="1" applyFont="1" applyFill="1" applyBorder="1" applyAlignment="1">
      <alignment horizontal="right"/>
    </xf>
    <xf numFmtId="43" fontId="5" fillId="2" borderId="5" xfId="1" applyFont="1" applyFill="1" applyBorder="1"/>
    <xf numFmtId="175" fontId="4" fillId="2" borderId="0" xfId="1" applyNumberFormat="1" applyFont="1" applyFill="1"/>
    <xf numFmtId="165" fontId="4" fillId="2" borderId="0" xfId="1" applyNumberFormat="1" applyFont="1" applyFill="1"/>
    <xf numFmtId="165" fontId="3" fillId="2" borderId="0" xfId="1" applyNumberFormat="1" applyFont="1" applyFill="1"/>
    <xf numFmtId="0" fontId="5" fillId="0" borderId="0" xfId="0" applyFont="1"/>
    <xf numFmtId="175" fontId="4" fillId="2" borderId="5" xfId="1" applyNumberFormat="1" applyFont="1" applyFill="1" applyBorder="1" applyProtection="1">
      <protection locked="0"/>
    </xf>
    <xf numFmtId="175" fontId="4" fillId="2" borderId="0" xfId="1" applyNumberFormat="1" applyFont="1" applyFill="1" applyBorder="1" applyProtection="1">
      <protection locked="0"/>
    </xf>
    <xf numFmtId="175" fontId="5" fillId="2" borderId="0" xfId="1" applyNumberFormat="1" applyFont="1" applyFill="1" applyBorder="1" applyProtection="1">
      <protection locked="0"/>
    </xf>
    <xf numFmtId="175" fontId="6" fillId="2" borderId="0" xfId="1" applyNumberFormat="1" applyFont="1" applyFill="1" applyBorder="1" applyProtection="1">
      <protection locked="0"/>
    </xf>
    <xf numFmtId="175" fontId="4" fillId="2" borderId="4" xfId="1" applyNumberFormat="1" applyFont="1" applyFill="1" applyBorder="1" applyProtection="1">
      <protection locked="0"/>
    </xf>
    <xf numFmtId="175" fontId="4" fillId="2" borderId="3" xfId="1" applyNumberFormat="1" applyFont="1" applyFill="1" applyBorder="1" applyProtection="1">
      <protection locked="0"/>
    </xf>
    <xf numFmtId="175" fontId="6" fillId="2" borderId="3" xfId="1" applyNumberFormat="1" applyFont="1" applyFill="1" applyBorder="1" applyProtection="1">
      <protection locked="0"/>
    </xf>
    <xf numFmtId="175" fontId="4" fillId="2" borderId="5" xfId="1" applyNumberFormat="1" applyFont="1" applyFill="1" applyBorder="1" applyProtection="1"/>
    <xf numFmtId="175" fontId="4" fillId="2" borderId="0" xfId="1" applyNumberFormat="1" applyFont="1" applyFill="1" applyProtection="1"/>
    <xf numFmtId="175" fontId="4" fillId="0" borderId="0" xfId="1" applyNumberFormat="1" applyFont="1" applyFill="1" applyBorder="1" applyProtection="1">
      <protection locked="0"/>
    </xf>
    <xf numFmtId="175" fontId="4" fillId="2" borderId="7" xfId="1" applyNumberFormat="1" applyFont="1" applyFill="1" applyBorder="1" applyProtection="1">
      <protection locked="0"/>
    </xf>
    <xf numFmtId="175" fontId="4" fillId="2" borderId="6" xfId="1" applyNumberFormat="1" applyFont="1" applyFill="1" applyBorder="1" applyProtection="1">
      <protection locked="0"/>
    </xf>
    <xf numFmtId="175" fontId="6" fillId="2" borderId="12" xfId="1" applyNumberFormat="1" applyFont="1" applyFill="1" applyBorder="1" applyProtection="1">
      <protection locked="0"/>
    </xf>
    <xf numFmtId="175" fontId="6" fillId="2" borderId="8" xfId="1" applyNumberFormat="1" applyFont="1" applyFill="1" applyBorder="1" applyProtection="1">
      <protection locked="0"/>
    </xf>
    <xf numFmtId="175" fontId="4" fillId="2" borderId="7" xfId="1" applyNumberFormat="1" applyFont="1" applyFill="1" applyBorder="1" applyProtection="1"/>
    <xf numFmtId="175" fontId="4" fillId="2" borderId="10" xfId="1" applyNumberFormat="1" applyFont="1" applyFill="1" applyBorder="1" applyProtection="1"/>
    <xf numFmtId="0" fontId="12" fillId="2" borderId="3" xfId="0" applyFont="1" applyFill="1" applyBorder="1"/>
    <xf numFmtId="165" fontId="12" fillId="2" borderId="3" xfId="0" applyNumberFormat="1" applyFont="1" applyFill="1" applyBorder="1"/>
    <xf numFmtId="165" fontId="12" fillId="2" borderId="4" xfId="1" applyNumberFormat="1" applyFont="1" applyFill="1" applyBorder="1"/>
    <xf numFmtId="169" fontId="5" fillId="2" borderId="0" xfId="0" applyNumberFormat="1" applyFont="1" applyFill="1"/>
    <xf numFmtId="43" fontId="5" fillId="2" borderId="0" xfId="0" applyNumberFormat="1" applyFont="1" applyFill="1"/>
    <xf numFmtId="9" fontId="5" fillId="2" borderId="0" xfId="3" applyFont="1" applyFill="1"/>
    <xf numFmtId="9" fontId="6" fillId="2" borderId="0" xfId="3" applyFont="1" applyFill="1"/>
    <xf numFmtId="175" fontId="6" fillId="2" borderId="0" xfId="1" applyNumberFormat="1" applyFont="1" applyFill="1"/>
    <xf numFmtId="165" fontId="6" fillId="2" borderId="0" xfId="1" applyNumberFormat="1" applyFont="1" applyFill="1"/>
    <xf numFmtId="169" fontId="6" fillId="2" borderId="0" xfId="4" applyNumberFormat="1" applyFont="1" applyFill="1"/>
    <xf numFmtId="175" fontId="6" fillId="2" borderId="3" xfId="1" applyNumberFormat="1" applyFont="1" applyFill="1" applyBorder="1"/>
    <xf numFmtId="175" fontId="5" fillId="2" borderId="0" xfId="0" applyNumberFormat="1" applyFont="1" applyFill="1"/>
    <xf numFmtId="167" fontId="6" fillId="2" borderId="0" xfId="3" applyNumberFormat="1" applyFont="1" applyFill="1" applyProtection="1"/>
    <xf numFmtId="43" fontId="5" fillId="2" borderId="5" xfId="0" applyNumberFormat="1" applyFont="1" applyFill="1" applyBorder="1"/>
    <xf numFmtId="175" fontId="6" fillId="2" borderId="0" xfId="0" applyNumberFormat="1" applyFont="1" applyFill="1"/>
    <xf numFmtId="169" fontId="4" fillId="2" borderId="0" xfId="4" applyNumberFormat="1" applyFont="1" applyFill="1" applyAlignment="1">
      <alignment horizontal="right"/>
    </xf>
    <xf numFmtId="169" fontId="4" fillId="2" borderId="5" xfId="4" applyNumberFormat="1" applyFont="1" applyFill="1" applyBorder="1" applyAlignment="1">
      <alignment horizontal="right"/>
    </xf>
    <xf numFmtId="167" fontId="12" fillId="2" borderId="0" xfId="3" applyNumberFormat="1" applyFont="1" applyFill="1"/>
    <xf numFmtId="175" fontId="12" fillId="2" borderId="0" xfId="0" applyNumberFormat="1" applyFont="1" applyFill="1"/>
    <xf numFmtId="175" fontId="5" fillId="2" borderId="2" xfId="0" applyNumberFormat="1" applyFont="1" applyFill="1" applyBorder="1"/>
    <xf numFmtId="167" fontId="12" fillId="2" borderId="4" xfId="3" applyNumberFormat="1" applyFont="1" applyFill="1" applyBorder="1"/>
    <xf numFmtId="2" fontId="5" fillId="2" borderId="0" xfId="0" applyNumberFormat="1" applyFont="1" applyFill="1"/>
    <xf numFmtId="178" fontId="6" fillId="2" borderId="0" xfId="4" applyNumberFormat="1" applyFont="1" applyFill="1" applyAlignment="1" applyProtection="1">
      <alignment horizontal="right"/>
      <protection locked="0"/>
    </xf>
    <xf numFmtId="175" fontId="4" fillId="2" borderId="0" xfId="5" applyNumberFormat="1" applyFont="1" applyFill="1" applyBorder="1" applyProtection="1">
      <protection locked="0"/>
    </xf>
    <xf numFmtId="0" fontId="4" fillId="2" borderId="0" xfId="9" applyNumberFormat="1" applyFont="1" applyFill="1" applyBorder="1" applyProtection="1">
      <protection locked="0"/>
    </xf>
    <xf numFmtId="172" fontId="6" fillId="2" borderId="0" xfId="5" applyNumberFormat="1" applyFont="1" applyFill="1" applyBorder="1" applyProtection="1">
      <protection locked="0"/>
    </xf>
    <xf numFmtId="167" fontId="6" fillId="2" borderId="0" xfId="3" applyNumberFormat="1" applyFont="1" applyFill="1"/>
    <xf numFmtId="175" fontId="12" fillId="2" borderId="5" xfId="1" applyNumberFormat="1" applyFont="1" applyFill="1" applyBorder="1"/>
    <xf numFmtId="9" fontId="5" fillId="2" borderId="5" xfId="3" applyFont="1" applyFill="1" applyBorder="1"/>
    <xf numFmtId="43" fontId="6" fillId="2" borderId="0" xfId="1" applyFont="1" applyFill="1"/>
    <xf numFmtId="175" fontId="3" fillId="2" borderId="0" xfId="1" applyNumberFormat="1" applyFont="1" applyFill="1"/>
    <xf numFmtId="175" fontId="4" fillId="2" borderId="3" xfId="1" applyNumberFormat="1" applyFont="1" applyFill="1" applyBorder="1"/>
    <xf numFmtId="175" fontId="4" fillId="2" borderId="0" xfId="0" applyNumberFormat="1" applyFont="1" applyFill="1"/>
    <xf numFmtId="44" fontId="3" fillId="2" borderId="0" xfId="2" applyFont="1" applyFill="1"/>
    <xf numFmtId="175" fontId="3" fillId="2" borderId="0" xfId="0" applyNumberFormat="1" applyFont="1" applyFill="1"/>
    <xf numFmtId="0" fontId="4" fillId="2" borderId="0" xfId="0" applyFont="1" applyFill="1"/>
    <xf numFmtId="165" fontId="3" fillId="2" borderId="3" xfId="0" applyNumberFormat="1" applyFont="1" applyFill="1" applyBorder="1"/>
    <xf numFmtId="175" fontId="4" fillId="2" borderId="12" xfId="1" applyNumberFormat="1" applyFont="1" applyFill="1" applyBorder="1" applyProtection="1">
      <protection locked="0"/>
    </xf>
    <xf numFmtId="169" fontId="4" fillId="2" borderId="0" xfId="0" applyNumberFormat="1" applyFont="1" applyFill="1"/>
    <xf numFmtId="43" fontId="4" fillId="2" borderId="0" xfId="0" applyNumberFormat="1" applyFont="1" applyFill="1"/>
    <xf numFmtId="175" fontId="4" fillId="2" borderId="8" xfId="1" applyNumberFormat="1" applyFont="1" applyFill="1" applyBorder="1" applyProtection="1">
      <protection locked="0"/>
    </xf>
    <xf numFmtId="175" fontId="5" fillId="0" borderId="0" xfId="1" applyNumberFormat="1" applyFont="1" applyFill="1"/>
    <xf numFmtId="175" fontId="5" fillId="0" borderId="0" xfId="0" applyNumberFormat="1" applyFont="1"/>
    <xf numFmtId="173" fontId="5" fillId="0" borderId="0" xfId="0" applyNumberFormat="1" applyFont="1"/>
    <xf numFmtId="178" fontId="4" fillId="0" borderId="0" xfId="4" applyNumberFormat="1" applyFont="1" applyAlignment="1" applyProtection="1">
      <alignment horizontal="right"/>
      <protection locked="0"/>
    </xf>
    <xf numFmtId="178" fontId="4" fillId="0" borderId="0" xfId="4" applyNumberFormat="1" applyFont="1" applyAlignment="1" applyProtection="1">
      <alignment wrapText="1"/>
      <protection locked="0"/>
    </xf>
    <xf numFmtId="41" fontId="4" fillId="0" borderId="0" xfId="4" applyNumberFormat="1" applyFont="1" applyAlignment="1" applyProtection="1">
      <alignment horizontal="right"/>
      <protection locked="0"/>
    </xf>
    <xf numFmtId="9" fontId="4" fillId="2" borderId="0" xfId="3" applyFont="1" applyFill="1"/>
    <xf numFmtId="173" fontId="4" fillId="2" borderId="0" xfId="0" applyNumberFormat="1" applyFont="1" applyFill="1"/>
    <xf numFmtId="173" fontId="3" fillId="2" borderId="0" xfId="0" applyNumberFormat="1" applyFont="1" applyFill="1"/>
    <xf numFmtId="167" fontId="4" fillId="2" borderId="0" xfId="3" applyNumberFormat="1" applyFont="1" applyFill="1"/>
    <xf numFmtId="2" fontId="4" fillId="2" borderId="0" xfId="0" applyNumberFormat="1" applyFont="1" applyFill="1"/>
    <xf numFmtId="167" fontId="3" fillId="2" borderId="0" xfId="3" applyNumberFormat="1" applyFont="1" applyFill="1"/>
    <xf numFmtId="10" fontId="12" fillId="2" borderId="0" xfId="3" applyNumberFormat="1" applyFont="1" applyFill="1"/>
    <xf numFmtId="179" fontId="5" fillId="2" borderId="0" xfId="3" applyNumberFormat="1" applyFont="1" applyFill="1"/>
    <xf numFmtId="43" fontId="12" fillId="2" borderId="0" xfId="0" applyNumberFormat="1" applyFont="1" applyFill="1"/>
    <xf numFmtId="0" fontId="15" fillId="0" borderId="0" xfId="12" applyFont="1" applyAlignment="1">
      <alignment horizontal="center" vertical="top" wrapText="1"/>
    </xf>
    <xf numFmtId="165" fontId="4" fillId="2" borderId="0" xfId="0" applyNumberFormat="1" applyFont="1" applyFill="1"/>
  </cellXfs>
  <cellStyles count="18">
    <cellStyle name="Comma" xfId="1" builtinId="3"/>
    <cellStyle name="Comma 2" xfId="5" xr:uid="{4886F9CD-8338-4B4E-9B0A-9B6DB4B4E2DD}"/>
    <cellStyle name="Comma 2 2" xfId="9" xr:uid="{C19E2890-2199-4977-8EE4-BBDD6D2977D1}"/>
    <cellStyle name="Currency" xfId="2" builtinId="4"/>
    <cellStyle name="Currency 2" xfId="7" xr:uid="{D48E6A00-5A99-4C78-A130-0BCB10E0B6A3}"/>
    <cellStyle name="Currency 2 2" xfId="8" xr:uid="{5CF3C595-C5C2-455B-A53B-20994ABF290D}"/>
    <cellStyle name="Hyperlink 3" xfId="17" xr:uid="{CC3273B5-1E4C-476E-8B04-ADCDBAE0C62E}"/>
    <cellStyle name="Normal" xfId="0" builtinId="0"/>
    <cellStyle name="Normal 2" xfId="4" xr:uid="{FE1549C4-B5AC-4599-B54B-3AE17D63A477}"/>
    <cellStyle name="Normal 2 2" xfId="12" xr:uid="{A29985D3-153A-43A9-B96A-75F0E8996C42}"/>
    <cellStyle name="Normal 3 2" xfId="13" xr:uid="{BA47A887-08E0-4C6B-AAF6-9D9D9F803E3E}"/>
    <cellStyle name="Normal 3 2 2" xfId="16" xr:uid="{5AA9B1EF-612B-4926-AC4D-A37B413375D6}"/>
    <cellStyle name="Normal 4" xfId="14" xr:uid="{BE272279-9C9D-4807-84E2-E51FBDEFF6D5}"/>
    <cellStyle name="Normal 5" xfId="10" xr:uid="{1E3888DC-F197-41B9-A423-8DC5E1277AE0}"/>
    <cellStyle name="Normal 7" xfId="15" xr:uid="{155139DB-9AC8-4004-9EDA-CE2BE2538560}"/>
    <cellStyle name="Percent" xfId="3" builtinId="5"/>
    <cellStyle name="Percent 2" xfId="6" xr:uid="{658DA7E6-E236-46A7-9AF9-A42E866CF48E}"/>
    <cellStyle name="Percent 2 2" xfId="11" xr:uid="{3CE84235-9424-4159-ADC5-E6F61858EFAB}"/>
  </cellStyles>
  <dxfs count="0"/>
  <tableStyles count="0" defaultTableStyle="TableStyleMedium2" defaultPivotStyle="PivotStyleLight16"/>
  <colors>
    <mruColors>
      <color rgb="FF0000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4EC05-1917-4F76-B16D-3880392C2BBA}">
  <dimension ref="A1:B1"/>
  <sheetViews>
    <sheetView workbookViewId="0"/>
  </sheetViews>
  <sheetFormatPr defaultRowHeight="15" x14ac:dyDescent="0.25"/>
  <sheetData>
    <row r="1" spans="1:2" x14ac:dyDescent="0.25">
      <c r="B1" t="s">
        <v>206</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A4898-B67E-4D83-845E-67FE66A30A76}">
  <dimension ref="B1:B12"/>
  <sheetViews>
    <sheetView zoomScale="90" zoomScaleNormal="90" workbookViewId="0">
      <selection activeCell="D2" sqref="D2"/>
    </sheetView>
  </sheetViews>
  <sheetFormatPr defaultColWidth="9.42578125" defaultRowHeight="12.75" x14ac:dyDescent="0.2"/>
  <cols>
    <col min="1" max="1" width="9.42578125" style="153"/>
    <col min="2" max="2" width="116.5703125" style="153" customWidth="1"/>
    <col min="3" max="16384" width="9.42578125" style="153"/>
  </cols>
  <sheetData>
    <row r="1" spans="2:2" ht="66" customHeight="1" x14ac:dyDescent="0.2">
      <c r="B1" s="226" t="s">
        <v>187</v>
      </c>
    </row>
    <row r="2" spans="2:2" ht="408.75" customHeight="1" x14ac:dyDescent="0.2">
      <c r="B2" s="226"/>
    </row>
    <row r="3" spans="2:2" x14ac:dyDescent="0.2">
      <c r="B3" s="226"/>
    </row>
    <row r="4" spans="2:2" x14ac:dyDescent="0.2">
      <c r="B4" s="226"/>
    </row>
    <row r="5" spans="2:2" x14ac:dyDescent="0.2">
      <c r="B5" s="226"/>
    </row>
    <row r="6" spans="2:2" x14ac:dyDescent="0.2">
      <c r="B6" s="226"/>
    </row>
    <row r="7" spans="2:2" x14ac:dyDescent="0.2">
      <c r="B7" s="226"/>
    </row>
    <row r="8" spans="2:2" x14ac:dyDescent="0.2">
      <c r="B8" s="226"/>
    </row>
    <row r="9" spans="2:2" x14ac:dyDescent="0.2">
      <c r="B9" s="226"/>
    </row>
    <row r="10" spans="2:2" x14ac:dyDescent="0.2">
      <c r="B10" s="226"/>
    </row>
    <row r="11" spans="2:2" x14ac:dyDescent="0.2">
      <c r="B11" s="226"/>
    </row>
    <row r="12" spans="2:2" x14ac:dyDescent="0.2">
      <c r="B12" s="226"/>
    </row>
  </sheetData>
  <mergeCells count="1">
    <mergeCell ref="B1:B12"/>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0D55-96AF-4F07-953B-DDADCA0870E8}">
  <sheetPr>
    <pageSetUpPr fitToPage="1"/>
  </sheetPr>
  <dimension ref="A3:BK159"/>
  <sheetViews>
    <sheetView tabSelected="1" zoomScale="83" zoomScaleNormal="83" workbookViewId="0">
      <pane xSplit="1" ySplit="7" topLeftCell="AE95" activePane="bottomRight" state="frozen"/>
      <selection pane="topRight" activeCell="B1" sqref="B1"/>
      <selection pane="bottomLeft" activeCell="A8" sqref="A8"/>
      <selection pane="bottomRight" activeCell="AZ115" sqref="AZ115"/>
    </sheetView>
  </sheetViews>
  <sheetFormatPr defaultColWidth="8.85546875" defaultRowHeight="12.75" outlineLevelRow="2" outlineLevelCol="1" x14ac:dyDescent="0.2"/>
  <cols>
    <col min="1" max="1" width="41.5703125" style="67" customWidth="1"/>
    <col min="2" max="5" width="9" style="67" hidden="1" customWidth="1" outlineLevel="1"/>
    <col min="6" max="6" width="9.5703125" style="67" hidden="1" customWidth="1" collapsed="1"/>
    <col min="7" max="10" width="9.5703125" style="67" hidden="1" customWidth="1" outlineLevel="1"/>
    <col min="11" max="11" width="9.5703125" style="67" customWidth="1" collapsed="1"/>
    <col min="12" max="15" width="9.5703125" style="67" hidden="1" customWidth="1" outlineLevel="1"/>
    <col min="16" max="16" width="9.5703125" style="67" customWidth="1" collapsed="1"/>
    <col min="17" max="20" width="9.5703125" style="67" hidden="1" customWidth="1" outlineLevel="1"/>
    <col min="21" max="21" width="9.5703125" style="67" customWidth="1" collapsed="1"/>
    <col min="22" max="25" width="9.5703125" style="67" hidden="1" customWidth="1" outlineLevel="1"/>
    <col min="26" max="26" width="9.5703125" style="67" customWidth="1" collapsed="1"/>
    <col min="27" max="30" width="9.5703125" style="67" hidden="1" customWidth="1" outlineLevel="1"/>
    <col min="31" max="31" width="9.5703125" style="67" customWidth="1" collapsed="1"/>
    <col min="32" max="35" width="9.5703125" style="67" hidden="1" customWidth="1" outlineLevel="1"/>
    <col min="36" max="36" width="9.5703125" style="67" customWidth="1" collapsed="1"/>
    <col min="37" max="40" width="9.5703125" style="67" customWidth="1" outlineLevel="1"/>
    <col min="41" max="41" width="9.5703125" style="67" customWidth="1"/>
    <col min="42" max="42" width="9.5703125" style="67" customWidth="1" outlineLevel="1"/>
    <col min="43" max="43" width="9.85546875" style="67" customWidth="1" outlineLevel="1"/>
    <col min="44" max="45" width="9.5703125" style="67" customWidth="1" outlineLevel="1"/>
    <col min="46" max="46" width="9.5703125" style="67" customWidth="1"/>
    <col min="47" max="47" width="9.5703125" style="205" customWidth="1" outlineLevel="1"/>
    <col min="48" max="50" width="9.5703125" style="67" customWidth="1" outlineLevel="1"/>
    <col min="51" max="51" width="9.5703125" style="67" customWidth="1"/>
    <col min="52" max="52" width="9.5703125" style="205" customWidth="1" outlineLevel="1"/>
    <col min="53" max="55" width="9.5703125" style="67" customWidth="1" outlineLevel="1"/>
    <col min="56" max="56" width="9.5703125" style="67" customWidth="1"/>
    <col min="57" max="60" width="9.5703125" style="67" customWidth="1" outlineLevel="1"/>
    <col min="61" max="61" width="9.5703125" style="67" customWidth="1"/>
    <col min="62" max="62" width="8.85546875" style="67"/>
    <col min="63" max="63" width="8.85546875" style="67" customWidth="1"/>
    <col min="64" max="16384" width="8.85546875" style="67"/>
  </cols>
  <sheetData>
    <row r="3" spans="1:61" x14ac:dyDescent="0.2">
      <c r="A3" s="8" t="s">
        <v>189</v>
      </c>
    </row>
    <row r="4" spans="1:61" x14ac:dyDescent="0.2">
      <c r="A4" s="69" t="s">
        <v>191</v>
      </c>
      <c r="AH4" s="174"/>
      <c r="AJ4" s="174"/>
      <c r="AN4" s="181"/>
      <c r="AP4" s="98"/>
      <c r="AQ4" s="98"/>
    </row>
    <row r="5" spans="1:61" x14ac:dyDescent="0.2">
      <c r="A5" s="10" t="s">
        <v>190</v>
      </c>
    </row>
    <row r="6" spans="1:61" x14ac:dyDescent="0.2">
      <c r="A6" s="12" t="s">
        <v>53</v>
      </c>
      <c r="B6" s="3"/>
      <c r="C6" s="3"/>
      <c r="D6" s="3"/>
      <c r="E6" s="3"/>
      <c r="F6" s="11"/>
      <c r="G6" s="3"/>
      <c r="H6" s="3"/>
      <c r="I6" s="3"/>
      <c r="J6" s="3"/>
      <c r="K6" s="11"/>
      <c r="L6" s="3"/>
      <c r="M6" s="3"/>
      <c r="N6" s="3"/>
      <c r="O6" s="3"/>
      <c r="P6" s="11"/>
      <c r="Q6" s="3"/>
      <c r="R6" s="3"/>
      <c r="S6" s="3"/>
      <c r="T6" s="3"/>
      <c r="U6" s="11"/>
      <c r="V6" s="3"/>
      <c r="W6" s="3"/>
      <c r="X6" s="3"/>
      <c r="Y6" s="3"/>
      <c r="Z6" s="11"/>
      <c r="AA6" s="3"/>
      <c r="AB6" s="3"/>
      <c r="AC6" s="3"/>
      <c r="AD6" s="3"/>
      <c r="AE6" s="11"/>
      <c r="AF6" s="3"/>
      <c r="AG6" s="3"/>
      <c r="AH6" s="3"/>
      <c r="AI6" s="3"/>
      <c r="AJ6" s="11"/>
      <c r="AK6" s="3"/>
      <c r="AL6" s="3"/>
      <c r="AM6" s="3"/>
      <c r="AN6" s="3"/>
      <c r="AO6" s="11"/>
      <c r="AP6" s="3"/>
      <c r="AQ6" s="3"/>
      <c r="AR6" s="3"/>
      <c r="AS6" s="3"/>
      <c r="AT6" s="11"/>
      <c r="AU6" s="3"/>
      <c r="AV6" s="3"/>
      <c r="AW6" s="3"/>
      <c r="AX6" s="3"/>
      <c r="AY6" s="11"/>
      <c r="AZ6" s="3"/>
      <c r="BA6" s="3"/>
      <c r="BB6" s="3"/>
      <c r="BC6" s="3"/>
      <c r="BD6" s="11"/>
      <c r="BE6" s="3"/>
      <c r="BF6" s="3"/>
      <c r="BG6" s="3"/>
      <c r="BH6" s="3"/>
      <c r="BI6" s="11"/>
    </row>
    <row r="7" spans="1:61" x14ac:dyDescent="0.2">
      <c r="B7" s="13" t="s">
        <v>67</v>
      </c>
      <c r="C7" s="13" t="s">
        <v>68</v>
      </c>
      <c r="D7" s="13" t="s">
        <v>69</v>
      </c>
      <c r="E7" s="13" t="s">
        <v>70</v>
      </c>
      <c r="F7" s="14" t="s">
        <v>71</v>
      </c>
      <c r="G7" s="13" t="s">
        <v>72</v>
      </c>
      <c r="H7" s="13" t="s">
        <v>73</v>
      </c>
      <c r="I7" s="13" t="s">
        <v>74</v>
      </c>
      <c r="J7" s="13" t="s">
        <v>75</v>
      </c>
      <c r="K7" s="14" t="s">
        <v>76</v>
      </c>
      <c r="L7" s="13" t="s">
        <v>77</v>
      </c>
      <c r="M7" s="13" t="s">
        <v>78</v>
      </c>
      <c r="N7" s="13" t="s">
        <v>79</v>
      </c>
      <c r="O7" s="13" t="s">
        <v>80</v>
      </c>
      <c r="P7" s="14" t="s">
        <v>81</v>
      </c>
      <c r="Q7" s="13" t="s">
        <v>82</v>
      </c>
      <c r="R7" s="13" t="s">
        <v>83</v>
      </c>
      <c r="S7" s="13" t="s">
        <v>84</v>
      </c>
      <c r="T7" s="13" t="s">
        <v>85</v>
      </c>
      <c r="U7" s="14" t="s">
        <v>86</v>
      </c>
      <c r="V7" s="13" t="s">
        <v>87</v>
      </c>
      <c r="W7" s="13" t="s">
        <v>88</v>
      </c>
      <c r="X7" s="13" t="s">
        <v>89</v>
      </c>
      <c r="Y7" s="13" t="s">
        <v>90</v>
      </c>
      <c r="Z7" s="14" t="s">
        <v>91</v>
      </c>
      <c r="AA7" s="13" t="s">
        <v>92</v>
      </c>
      <c r="AB7" s="13" t="s">
        <v>93</v>
      </c>
      <c r="AC7" s="13" t="s">
        <v>94</v>
      </c>
      <c r="AD7" s="13" t="s">
        <v>95</v>
      </c>
      <c r="AE7" s="14" t="s">
        <v>96</v>
      </c>
      <c r="AF7" s="13" t="s">
        <v>97</v>
      </c>
      <c r="AG7" s="13" t="s">
        <v>98</v>
      </c>
      <c r="AH7" s="13" t="s">
        <v>99</v>
      </c>
      <c r="AI7" s="13" t="s">
        <v>100</v>
      </c>
      <c r="AJ7" s="14" t="s">
        <v>101</v>
      </c>
      <c r="AK7" s="13" t="s">
        <v>102</v>
      </c>
      <c r="AL7" s="13" t="s">
        <v>188</v>
      </c>
      <c r="AM7" s="13" t="s">
        <v>238</v>
      </c>
      <c r="AN7" s="13" t="s">
        <v>239</v>
      </c>
      <c r="AO7" s="14" t="s">
        <v>240</v>
      </c>
      <c r="AP7" s="13" t="s">
        <v>241</v>
      </c>
      <c r="AQ7" s="13" t="s">
        <v>243</v>
      </c>
      <c r="AR7" s="13" t="s">
        <v>244</v>
      </c>
      <c r="AS7" s="13" t="s">
        <v>245</v>
      </c>
      <c r="AT7" s="14" t="s">
        <v>246</v>
      </c>
      <c r="AU7" s="13" t="s">
        <v>251</v>
      </c>
      <c r="AV7" s="13" t="s">
        <v>252</v>
      </c>
      <c r="AW7" s="13" t="s">
        <v>253</v>
      </c>
      <c r="AX7" s="13" t="s">
        <v>254</v>
      </c>
      <c r="AY7" s="14" t="s">
        <v>255</v>
      </c>
      <c r="AZ7" s="13" t="s">
        <v>261</v>
      </c>
      <c r="BA7" s="13" t="s">
        <v>247</v>
      </c>
      <c r="BB7" s="13" t="s">
        <v>248</v>
      </c>
      <c r="BC7" s="13" t="s">
        <v>249</v>
      </c>
      <c r="BD7" s="14" t="s">
        <v>250</v>
      </c>
      <c r="BE7" s="13" t="s">
        <v>256</v>
      </c>
      <c r="BF7" s="13" t="s">
        <v>257</v>
      </c>
      <c r="BG7" s="13" t="s">
        <v>258</v>
      </c>
      <c r="BH7" s="13" t="s">
        <v>259</v>
      </c>
      <c r="BI7" s="14" t="s">
        <v>260</v>
      </c>
    </row>
    <row r="8" spans="1:61" x14ac:dyDescent="0.2">
      <c r="F8" s="68"/>
      <c r="K8" s="68"/>
      <c r="P8" s="68"/>
      <c r="U8" s="68"/>
      <c r="Z8" s="68"/>
      <c r="AE8" s="68"/>
      <c r="AJ8" s="68"/>
      <c r="AO8" s="68"/>
      <c r="AT8" s="68"/>
      <c r="AY8" s="68"/>
      <c r="BD8" s="68"/>
      <c r="BI8" s="68"/>
    </row>
    <row r="9" spans="1:61" outlineLevel="1" x14ac:dyDescent="0.2">
      <c r="A9" s="69" t="s">
        <v>138</v>
      </c>
      <c r="F9" s="68"/>
      <c r="K9" s="68"/>
      <c r="P9" s="68"/>
      <c r="U9" s="68"/>
      <c r="Z9" s="68"/>
      <c r="AE9" s="68"/>
      <c r="AJ9" s="68"/>
      <c r="AO9" s="68"/>
      <c r="AT9" s="68"/>
      <c r="AY9" s="68"/>
      <c r="BD9" s="68"/>
      <c r="BI9" s="68"/>
    </row>
    <row r="10" spans="1:61" outlineLevel="2" x14ac:dyDescent="0.2">
      <c r="A10" s="69"/>
      <c r="F10" s="68"/>
      <c r="K10" s="68"/>
      <c r="P10" s="68"/>
      <c r="U10" s="68"/>
      <c r="Z10" s="68"/>
      <c r="AE10" s="68"/>
      <c r="AJ10" s="68"/>
      <c r="AO10" s="68"/>
      <c r="AT10" s="68"/>
      <c r="AY10" s="68"/>
      <c r="BD10" s="68"/>
      <c r="BI10" s="68"/>
    </row>
    <row r="11" spans="1:61" s="69" customFormat="1" outlineLevel="2" x14ac:dyDescent="0.2">
      <c r="A11" s="70" t="s">
        <v>193</v>
      </c>
      <c r="B11" s="94">
        <f>SUM(B12:B13)</f>
        <v>356</v>
      </c>
      <c r="C11" s="94">
        <f t="shared" ref="C11:E11" si="0">SUM(C12:C13)</f>
        <v>367</v>
      </c>
      <c r="D11" s="94">
        <f t="shared" si="0"/>
        <v>380</v>
      </c>
      <c r="E11" s="94">
        <f t="shared" si="0"/>
        <v>369</v>
      </c>
      <c r="F11" s="95">
        <f>SUM(B11:E11)</f>
        <v>1472</v>
      </c>
      <c r="G11" s="94">
        <f>SUM(G12:G13)</f>
        <v>362</v>
      </c>
      <c r="H11" s="94">
        <f t="shared" ref="H11" si="1">SUM(H12:H13)</f>
        <v>386</v>
      </c>
      <c r="I11" s="94">
        <f t="shared" ref="I11" si="2">SUM(I12:I13)</f>
        <v>395</v>
      </c>
      <c r="J11" s="94">
        <f t="shared" ref="J11" si="3">SUM(J12:J13)</f>
        <v>400</v>
      </c>
      <c r="K11" s="95">
        <f>SUM(G11:J11)</f>
        <v>1543</v>
      </c>
      <c r="L11" s="94">
        <f>SUM(L12:L13)</f>
        <v>391</v>
      </c>
      <c r="M11" s="94">
        <f t="shared" ref="M11" si="4">SUM(M12:M13)</f>
        <v>411</v>
      </c>
      <c r="N11" s="94">
        <f t="shared" ref="N11" si="5">SUM(N12:N13)</f>
        <v>410</v>
      </c>
      <c r="O11" s="94">
        <f t="shared" ref="O11" si="6">SUM(O12:O13)</f>
        <v>413</v>
      </c>
      <c r="P11" s="95">
        <f>SUM(L11:O11)</f>
        <v>1625</v>
      </c>
      <c r="Q11" s="94">
        <f>SUM(Q12:Q13)</f>
        <v>368</v>
      </c>
      <c r="R11" s="94">
        <f t="shared" ref="R11" si="7">SUM(R12:R13)</f>
        <v>391</v>
      </c>
      <c r="S11" s="94">
        <f t="shared" ref="S11" si="8">SUM(S12:S13)</f>
        <v>402</v>
      </c>
      <c r="T11" s="94">
        <f t="shared" ref="T11" si="9">SUM(T12:T13)</f>
        <v>407</v>
      </c>
      <c r="U11" s="95">
        <f>SUM(Q11:T11)</f>
        <v>1568</v>
      </c>
      <c r="V11" s="94">
        <f>SUM(V12:V13)</f>
        <v>389</v>
      </c>
      <c r="W11" s="94">
        <f t="shared" ref="W11" si="10">SUM(W12:W13)</f>
        <v>366</v>
      </c>
      <c r="X11" s="94">
        <f t="shared" ref="X11" si="11">SUM(X12:X13)</f>
        <v>317</v>
      </c>
      <c r="Y11" s="94">
        <f t="shared" ref="Y11" si="12">SUM(Y12:Y13)</f>
        <v>398</v>
      </c>
      <c r="Z11" s="95">
        <f>SUM(V11:Y11)</f>
        <v>1470</v>
      </c>
      <c r="AA11" s="94">
        <f>SUM(AA12:AA13)</f>
        <v>399</v>
      </c>
      <c r="AB11" s="94">
        <f t="shared" ref="AB11" si="13">SUM(AB12:AB13)</f>
        <v>416</v>
      </c>
      <c r="AC11" s="94">
        <v>462</v>
      </c>
      <c r="AD11" s="94">
        <v>483</v>
      </c>
      <c r="AE11" s="95">
        <f>SUM(AA11:AD11)</f>
        <v>1760</v>
      </c>
      <c r="AF11" s="94">
        <v>512</v>
      </c>
      <c r="AG11" s="94">
        <v>536</v>
      </c>
      <c r="AH11" s="94">
        <v>573</v>
      </c>
      <c r="AI11" s="94"/>
      <c r="AJ11" s="95">
        <f>SUM(AF11:AI11)</f>
        <v>1621</v>
      </c>
      <c r="AK11" s="94"/>
      <c r="AL11" s="94"/>
      <c r="AM11" s="94"/>
      <c r="AN11" s="94"/>
      <c r="AO11" s="95"/>
      <c r="AP11" s="94"/>
      <c r="AQ11" s="94"/>
      <c r="AR11" s="94"/>
      <c r="AS11" s="94"/>
      <c r="AT11" s="95"/>
      <c r="AU11" s="219"/>
      <c r="AV11" s="94"/>
      <c r="AW11" s="94"/>
      <c r="AX11" s="94"/>
      <c r="AY11" s="95"/>
      <c r="AZ11" s="219"/>
      <c r="BA11" s="94"/>
      <c r="BB11" s="94"/>
      <c r="BC11" s="94"/>
      <c r="BD11" s="95"/>
      <c r="BE11" s="94"/>
      <c r="BF11" s="94"/>
      <c r="BG11" s="94"/>
      <c r="BH11" s="94"/>
      <c r="BI11" s="95"/>
    </row>
    <row r="12" spans="1:61" outlineLevel="2" x14ac:dyDescent="0.2">
      <c r="A12" s="67" t="s">
        <v>228</v>
      </c>
      <c r="B12" s="96">
        <v>241</v>
      </c>
      <c r="C12" s="96">
        <v>248</v>
      </c>
      <c r="D12" s="96">
        <v>251</v>
      </c>
      <c r="E12" s="96">
        <v>239</v>
      </c>
      <c r="F12" s="97">
        <f>SUM(B12:E12)</f>
        <v>979</v>
      </c>
      <c r="G12" s="96">
        <v>237</v>
      </c>
      <c r="H12" s="96">
        <v>253</v>
      </c>
      <c r="I12" s="96">
        <v>258</v>
      </c>
      <c r="J12" s="96">
        <v>256</v>
      </c>
      <c r="K12" s="97">
        <f>SUM(G12:J12)</f>
        <v>1004</v>
      </c>
      <c r="L12" s="96">
        <v>251</v>
      </c>
      <c r="M12" s="96">
        <v>258</v>
      </c>
      <c r="N12" s="96">
        <v>264</v>
      </c>
      <c r="O12" s="96">
        <v>262</v>
      </c>
      <c r="P12" s="97">
        <f>SUM(L12:O12)</f>
        <v>1035</v>
      </c>
      <c r="Q12" s="96">
        <v>232</v>
      </c>
      <c r="R12" s="96">
        <v>243</v>
      </c>
      <c r="S12" s="96">
        <v>260</v>
      </c>
      <c r="T12" s="96">
        <v>259</v>
      </c>
      <c r="U12" s="97">
        <f>SUM(Q12:T12)</f>
        <v>994</v>
      </c>
      <c r="V12" s="96">
        <v>248</v>
      </c>
      <c r="W12" s="96">
        <v>238</v>
      </c>
      <c r="X12" s="96">
        <v>207</v>
      </c>
      <c r="Y12" s="96">
        <v>252</v>
      </c>
      <c r="Z12" s="97">
        <f>SUM(V12:Y12)</f>
        <v>945</v>
      </c>
      <c r="AA12" s="96">
        <v>235</v>
      </c>
      <c r="AB12" s="96">
        <v>242</v>
      </c>
      <c r="AC12" s="96"/>
      <c r="AD12" s="96"/>
      <c r="AE12" s="97">
        <f>SUM(AA12:AD12)</f>
        <v>477</v>
      </c>
      <c r="AF12" s="96"/>
      <c r="AG12" s="96"/>
      <c r="AH12" s="96"/>
      <c r="AI12" s="96"/>
      <c r="AJ12" s="97"/>
      <c r="AK12" s="96"/>
      <c r="AL12" s="96"/>
      <c r="AM12" s="96"/>
      <c r="AN12" s="96"/>
      <c r="AO12" s="97"/>
      <c r="AP12" s="96"/>
      <c r="AQ12" s="96"/>
      <c r="AR12" s="96"/>
      <c r="AS12" s="96"/>
      <c r="AT12" s="97"/>
      <c r="AU12" s="218"/>
      <c r="AV12" s="96"/>
      <c r="AW12" s="96"/>
      <c r="AX12" s="96"/>
      <c r="AY12" s="97"/>
      <c r="AZ12" s="218"/>
      <c r="BA12" s="96"/>
      <c r="BB12" s="96"/>
      <c r="BC12" s="96"/>
      <c r="BD12" s="97"/>
      <c r="BE12" s="96"/>
      <c r="BF12" s="96"/>
      <c r="BG12" s="96"/>
      <c r="BH12" s="96"/>
      <c r="BI12" s="97"/>
    </row>
    <row r="13" spans="1:61" outlineLevel="2" x14ac:dyDescent="0.2">
      <c r="A13" s="67" t="s">
        <v>229</v>
      </c>
      <c r="B13" s="96">
        <v>115</v>
      </c>
      <c r="C13" s="96">
        <v>119</v>
      </c>
      <c r="D13" s="96">
        <v>129</v>
      </c>
      <c r="E13" s="96">
        <v>130</v>
      </c>
      <c r="F13" s="97">
        <f>SUM(B13:E13)</f>
        <v>493</v>
      </c>
      <c r="G13" s="96">
        <v>125</v>
      </c>
      <c r="H13" s="96">
        <v>133</v>
      </c>
      <c r="I13" s="96">
        <v>137</v>
      </c>
      <c r="J13" s="96">
        <v>144</v>
      </c>
      <c r="K13" s="97">
        <f>SUM(G13:J13)</f>
        <v>539</v>
      </c>
      <c r="L13" s="96">
        <v>140</v>
      </c>
      <c r="M13" s="96">
        <v>153</v>
      </c>
      <c r="N13" s="96">
        <v>146</v>
      </c>
      <c r="O13" s="96">
        <v>151</v>
      </c>
      <c r="P13" s="97">
        <f>SUM(L13:O13)</f>
        <v>590</v>
      </c>
      <c r="Q13" s="96">
        <v>136</v>
      </c>
      <c r="R13" s="96">
        <v>148</v>
      </c>
      <c r="S13" s="96">
        <v>142</v>
      </c>
      <c r="T13" s="96">
        <v>148</v>
      </c>
      <c r="U13" s="97">
        <f>SUM(Q13:T13)</f>
        <v>574</v>
      </c>
      <c r="V13" s="96">
        <v>141</v>
      </c>
      <c r="W13" s="96">
        <v>128</v>
      </c>
      <c r="X13" s="96">
        <v>110</v>
      </c>
      <c r="Y13" s="96">
        <v>146</v>
      </c>
      <c r="Z13" s="97">
        <f>SUM(V13:Y13)</f>
        <v>525</v>
      </c>
      <c r="AA13" s="96">
        <v>164</v>
      </c>
      <c r="AB13" s="96">
        <v>174</v>
      </c>
      <c r="AC13" s="96"/>
      <c r="AD13" s="96"/>
      <c r="AE13" s="97">
        <f>SUM(AA13:AD13)</f>
        <v>338</v>
      </c>
      <c r="AF13" s="96"/>
      <c r="AG13" s="96"/>
      <c r="AH13" s="96"/>
      <c r="AI13" s="96"/>
      <c r="AJ13" s="97"/>
      <c r="AK13" s="96"/>
      <c r="AL13" s="96"/>
      <c r="AM13" s="96"/>
      <c r="AN13" s="96"/>
      <c r="AO13" s="97"/>
      <c r="AP13" s="96"/>
      <c r="AQ13" s="96"/>
      <c r="AR13" s="96"/>
      <c r="AS13" s="96"/>
      <c r="AT13" s="97"/>
      <c r="AU13" s="218"/>
      <c r="AV13" s="96"/>
      <c r="AW13" s="96"/>
      <c r="AX13" s="96"/>
      <c r="AY13" s="97"/>
      <c r="AZ13" s="218"/>
      <c r="BA13" s="96"/>
      <c r="BB13" s="96"/>
      <c r="BC13" s="96"/>
      <c r="BD13" s="97"/>
      <c r="BE13" s="96"/>
      <c r="BF13" s="96"/>
      <c r="BG13" s="96"/>
      <c r="BH13" s="96"/>
      <c r="BI13" s="97"/>
    </row>
    <row r="14" spans="1:61" outlineLevel="2" x14ac:dyDescent="0.2">
      <c r="F14" s="68"/>
      <c r="K14" s="68"/>
      <c r="P14" s="68"/>
      <c r="U14" s="68"/>
      <c r="Z14" s="68"/>
      <c r="AE14" s="68"/>
      <c r="AJ14" s="68"/>
      <c r="AO14" s="68"/>
      <c r="AT14" s="68"/>
      <c r="AY14" s="68"/>
      <c r="BD14" s="68"/>
      <c r="BI14" s="68"/>
    </row>
    <row r="15" spans="1:61" outlineLevel="2" x14ac:dyDescent="0.2">
      <c r="A15" s="67" t="s">
        <v>139</v>
      </c>
      <c r="F15" s="68"/>
      <c r="K15" s="68"/>
      <c r="P15" s="68"/>
      <c r="U15" s="68"/>
      <c r="Z15" s="68"/>
      <c r="AE15" s="68"/>
      <c r="AJ15" s="68"/>
      <c r="AO15" s="68"/>
      <c r="AT15" s="68"/>
      <c r="AY15" s="68"/>
      <c r="BD15" s="68"/>
      <c r="BI15" s="68"/>
    </row>
    <row r="16" spans="1:61" outlineLevel="2" x14ac:dyDescent="0.2">
      <c r="A16" s="67" t="s">
        <v>228</v>
      </c>
      <c r="F16" s="68"/>
      <c r="G16" s="98">
        <f>G12/B12-1</f>
        <v>-1.6597510373444035E-2</v>
      </c>
      <c r="H16" s="98">
        <f t="shared" ref="H16:J16" si="14">H12/C12-1</f>
        <v>2.0161290322580738E-2</v>
      </c>
      <c r="I16" s="98">
        <f t="shared" si="14"/>
        <v>2.7888446215139417E-2</v>
      </c>
      <c r="J16" s="98">
        <f t="shared" si="14"/>
        <v>7.1129707112970619E-2</v>
      </c>
      <c r="K16" s="99">
        <f>K12/F12-1</f>
        <v>2.5536261491317713E-2</v>
      </c>
      <c r="L16" s="98">
        <f t="shared" ref="L16:L17" si="15">L12/G12-1</f>
        <v>5.9071729957805852E-2</v>
      </c>
      <c r="M16" s="98">
        <f t="shared" ref="M16:M17" si="16">M12/H12-1</f>
        <v>1.9762845849802479E-2</v>
      </c>
      <c r="N16" s="98">
        <f t="shared" ref="N16:N17" si="17">N12/I12-1</f>
        <v>2.3255813953488413E-2</v>
      </c>
      <c r="O16" s="98">
        <f t="shared" ref="O16:Q17" si="18">O12/J12-1</f>
        <v>2.34375E-2</v>
      </c>
      <c r="P16" s="99">
        <f t="shared" si="18"/>
        <v>3.0876494023904355E-2</v>
      </c>
      <c r="Q16" s="98">
        <f t="shared" si="18"/>
        <v>-7.569721115537853E-2</v>
      </c>
      <c r="R16" s="98">
        <f t="shared" ref="R16:R17" si="19">R12/M12-1</f>
        <v>-5.8139534883720922E-2</v>
      </c>
      <c r="S16" s="98">
        <f t="shared" ref="S16:S17" si="20">S12/N12-1</f>
        <v>-1.5151515151515138E-2</v>
      </c>
      <c r="T16" s="98">
        <f t="shared" ref="T16:V17" si="21">T12/O12-1</f>
        <v>-1.1450381679389277E-2</v>
      </c>
      <c r="U16" s="99">
        <f t="shared" si="21"/>
        <v>-3.9613526570048352E-2</v>
      </c>
      <c r="V16" s="98">
        <f t="shared" si="21"/>
        <v>6.8965517241379226E-2</v>
      </c>
      <c r="W16" s="98">
        <f t="shared" ref="W16:W17" si="22">W12/R12-1</f>
        <v>-2.0576131687242816E-2</v>
      </c>
      <c r="X16" s="98">
        <f t="shared" ref="X16:X17" si="23">X12/S12-1</f>
        <v>-0.2038461538461539</v>
      </c>
      <c r="Y16" s="98">
        <f t="shared" ref="Y16:AA17" si="24">Y12/T12-1</f>
        <v>-2.7027027027026973E-2</v>
      </c>
      <c r="Z16" s="99">
        <f t="shared" si="24"/>
        <v>-4.9295774647887369E-2</v>
      </c>
      <c r="AA16" s="98">
        <f t="shared" si="24"/>
        <v>-5.2419354838709631E-2</v>
      </c>
      <c r="AB16" s="98">
        <f t="shared" ref="AB16:AB17" si="25">AB12/W12-1</f>
        <v>1.6806722689075571E-2</v>
      </c>
      <c r="AC16" s="98"/>
      <c r="AD16" s="98"/>
      <c r="AE16" s="99"/>
      <c r="AF16" s="98"/>
      <c r="AG16" s="98"/>
      <c r="AH16" s="98"/>
      <c r="AI16" s="98"/>
      <c r="AJ16" s="99"/>
      <c r="AK16" s="98"/>
      <c r="AO16" s="68"/>
      <c r="AT16" s="68"/>
      <c r="AY16" s="68"/>
      <c r="BD16" s="68"/>
      <c r="BI16" s="68"/>
    </row>
    <row r="17" spans="1:61" outlineLevel="2" x14ac:dyDescent="0.2">
      <c r="A17" s="67" t="s">
        <v>229</v>
      </c>
      <c r="F17" s="68"/>
      <c r="G17" s="98">
        <f>G13/B13-1</f>
        <v>8.6956521739130377E-2</v>
      </c>
      <c r="H17" s="98">
        <f t="shared" ref="H17:J17" si="26">H13/C13-1</f>
        <v>0.11764705882352944</v>
      </c>
      <c r="I17" s="98">
        <f t="shared" si="26"/>
        <v>6.2015503875969102E-2</v>
      </c>
      <c r="J17" s="98">
        <f t="shared" si="26"/>
        <v>0.10769230769230775</v>
      </c>
      <c r="K17" s="99">
        <f>K13/F13-1</f>
        <v>9.3306288032454443E-2</v>
      </c>
      <c r="L17" s="98">
        <f t="shared" si="15"/>
        <v>0.12000000000000011</v>
      </c>
      <c r="M17" s="98">
        <f t="shared" si="16"/>
        <v>0.15037593984962405</v>
      </c>
      <c r="N17" s="98">
        <f t="shared" si="17"/>
        <v>6.5693430656934337E-2</v>
      </c>
      <c r="O17" s="98">
        <f t="shared" si="18"/>
        <v>4.861111111111116E-2</v>
      </c>
      <c r="P17" s="99">
        <f t="shared" ref="P17:Q17" si="27">P13/K13-1</f>
        <v>9.4619666048237461E-2</v>
      </c>
      <c r="Q17" s="98">
        <f t="shared" si="27"/>
        <v>-2.8571428571428581E-2</v>
      </c>
      <c r="R17" s="98">
        <f t="shared" si="19"/>
        <v>-3.2679738562091498E-2</v>
      </c>
      <c r="S17" s="98">
        <f t="shared" si="20"/>
        <v>-2.7397260273972601E-2</v>
      </c>
      <c r="T17" s="98">
        <f t="shared" si="21"/>
        <v>-1.9867549668874163E-2</v>
      </c>
      <c r="U17" s="99">
        <f t="shared" ref="U17:V17" si="28">U13/P13-1</f>
        <v>-2.7118644067796627E-2</v>
      </c>
      <c r="V17" s="98">
        <f t="shared" si="28"/>
        <v>3.6764705882353033E-2</v>
      </c>
      <c r="W17" s="98">
        <f t="shared" si="22"/>
        <v>-0.13513513513513509</v>
      </c>
      <c r="X17" s="98">
        <f t="shared" si="23"/>
        <v>-0.22535211267605637</v>
      </c>
      <c r="Y17" s="98">
        <f t="shared" si="24"/>
        <v>-1.3513513513513487E-2</v>
      </c>
      <c r="Z17" s="99">
        <f t="shared" ref="Z17:AA17" si="29">Z13/U13-1</f>
        <v>-8.536585365853655E-2</v>
      </c>
      <c r="AA17" s="98">
        <f t="shared" si="29"/>
        <v>0.16312056737588643</v>
      </c>
      <c r="AB17" s="98">
        <f t="shared" si="25"/>
        <v>0.359375</v>
      </c>
      <c r="AC17" s="98"/>
      <c r="AD17" s="98"/>
      <c r="AE17" s="99"/>
      <c r="AF17" s="98"/>
      <c r="AG17" s="98"/>
      <c r="AH17" s="98"/>
      <c r="AI17" s="98"/>
      <c r="AJ17" s="99"/>
      <c r="AK17" s="98"/>
      <c r="AO17" s="68"/>
      <c r="AT17" s="68"/>
      <c r="AY17" s="68"/>
      <c r="BD17" s="68"/>
      <c r="BI17" s="68"/>
    </row>
    <row r="18" spans="1:61" outlineLevel="2" x14ac:dyDescent="0.2">
      <c r="A18" s="67" t="s">
        <v>230</v>
      </c>
      <c r="F18" s="68"/>
      <c r="G18" s="98">
        <f>G11/B11-1</f>
        <v>1.6853932584269593E-2</v>
      </c>
      <c r="H18" s="98">
        <f t="shared" ref="H18:J18" si="30">H11/C11-1</f>
        <v>5.1771117166212521E-2</v>
      </c>
      <c r="I18" s="98">
        <f t="shared" si="30"/>
        <v>3.9473684210526327E-2</v>
      </c>
      <c r="J18" s="98">
        <f t="shared" si="30"/>
        <v>8.4010840108400986E-2</v>
      </c>
      <c r="K18" s="99">
        <f>K11/F11-1</f>
        <v>4.8233695652173836E-2</v>
      </c>
      <c r="L18" s="98">
        <f t="shared" ref="L18" si="31">L11/G11-1</f>
        <v>8.0110497237569023E-2</v>
      </c>
      <c r="M18" s="98">
        <f t="shared" ref="M18" si="32">M11/H11-1</f>
        <v>6.476683937823835E-2</v>
      </c>
      <c r="N18" s="98">
        <f t="shared" ref="N18" si="33">N11/I11-1</f>
        <v>3.7974683544303778E-2</v>
      </c>
      <c r="O18" s="98">
        <f t="shared" ref="O18:Q18" si="34">O11/J11-1</f>
        <v>3.2499999999999973E-2</v>
      </c>
      <c r="P18" s="99">
        <f t="shared" si="34"/>
        <v>5.3143227478937183E-2</v>
      </c>
      <c r="Q18" s="98">
        <f t="shared" si="34"/>
        <v>-5.8823529411764719E-2</v>
      </c>
      <c r="R18" s="98">
        <f t="shared" ref="R18" si="35">R11/M11-1</f>
        <v>-4.8661800486618056E-2</v>
      </c>
      <c r="S18" s="98">
        <f t="shared" ref="S18" si="36">S11/N11-1</f>
        <v>-1.9512195121951237E-2</v>
      </c>
      <c r="T18" s="98">
        <f t="shared" ref="T18:V18" si="37">T11/O11-1</f>
        <v>-1.4527845036319653E-2</v>
      </c>
      <c r="U18" s="99">
        <f t="shared" si="37"/>
        <v>-3.5076923076923117E-2</v>
      </c>
      <c r="V18" s="98">
        <f t="shared" si="37"/>
        <v>5.7065217391304435E-2</v>
      </c>
      <c r="W18" s="98">
        <f t="shared" ref="W18" si="38">W11/R11-1</f>
        <v>-6.3938618925831192E-2</v>
      </c>
      <c r="X18" s="98">
        <f t="shared" ref="X18" si="39">X11/S11-1</f>
        <v>-0.21144278606965172</v>
      </c>
      <c r="Y18" s="98">
        <f t="shared" ref="Y18:AA18" si="40">Y11/T11-1</f>
        <v>-2.2113022113022129E-2</v>
      </c>
      <c r="Z18" s="99">
        <f t="shared" si="40"/>
        <v>-6.25E-2</v>
      </c>
      <c r="AA18" s="98">
        <f t="shared" si="40"/>
        <v>2.5706940874036022E-2</v>
      </c>
      <c r="AB18" s="98">
        <f t="shared" ref="AB18" si="41">AB11/W11-1</f>
        <v>0.13661202185792343</v>
      </c>
      <c r="AC18" s="98">
        <f t="shared" ref="AC18" si="42">AC11/X11-1</f>
        <v>0.45741324921135651</v>
      </c>
      <c r="AD18" s="98">
        <f t="shared" ref="AD18:AF18" si="43">AD11/Y11-1</f>
        <v>0.21356783919597988</v>
      </c>
      <c r="AE18" s="99">
        <f>AE11/Z11-1</f>
        <v>0.19727891156462585</v>
      </c>
      <c r="AF18" s="98">
        <f t="shared" si="43"/>
        <v>0.28320802005012524</v>
      </c>
      <c r="AG18" s="98">
        <f t="shared" ref="AG18" si="44">AG11/AB11-1</f>
        <v>0.28846153846153855</v>
      </c>
      <c r="AH18" s="98">
        <f t="shared" ref="AH18" si="45">AH11/AC11-1</f>
        <v>0.24025974025974017</v>
      </c>
      <c r="AI18" s="98"/>
      <c r="AJ18" s="99">
        <f t="shared" ref="AJ18" si="46">AJ11/AE11-1</f>
        <v>-7.8977272727272729E-2</v>
      </c>
      <c r="AK18" s="98"/>
      <c r="AO18" s="68"/>
      <c r="AT18" s="68"/>
      <c r="AY18" s="68"/>
      <c r="BD18" s="68"/>
      <c r="BI18" s="68"/>
    </row>
    <row r="19" spans="1:61" outlineLevel="2" x14ac:dyDescent="0.2">
      <c r="F19" s="68"/>
      <c r="K19" s="68"/>
      <c r="P19" s="68"/>
      <c r="U19" s="68"/>
      <c r="Z19" s="68"/>
      <c r="AE19" s="68"/>
      <c r="AJ19" s="68"/>
      <c r="AO19" s="68"/>
      <c r="AT19" s="68"/>
      <c r="AY19" s="68"/>
      <c r="BD19" s="68"/>
      <c r="BI19" s="68"/>
    </row>
    <row r="20" spans="1:61" outlineLevel="2" x14ac:dyDescent="0.2">
      <c r="A20" s="70" t="s">
        <v>227</v>
      </c>
      <c r="E20" s="94">
        <f t="shared" ref="E20:AB20" si="47">SUM(E21:E22)</f>
        <v>63</v>
      </c>
      <c r="F20" s="95">
        <f>SUM(F21:F22)</f>
        <v>286</v>
      </c>
      <c r="G20" s="94">
        <f t="shared" si="47"/>
        <v>71</v>
      </c>
      <c r="H20" s="94">
        <f t="shared" si="47"/>
        <v>75</v>
      </c>
      <c r="I20" s="94">
        <f t="shared" si="47"/>
        <v>66</v>
      </c>
      <c r="J20" s="94">
        <f t="shared" si="47"/>
        <v>63</v>
      </c>
      <c r="K20" s="95">
        <f>SUM(G20:J20)</f>
        <v>275</v>
      </c>
      <c r="L20" s="94">
        <f t="shared" si="47"/>
        <v>62</v>
      </c>
      <c r="M20" s="94">
        <f t="shared" si="47"/>
        <v>70</v>
      </c>
      <c r="N20" s="94">
        <f t="shared" si="47"/>
        <v>61</v>
      </c>
      <c r="O20" s="94">
        <f t="shared" si="47"/>
        <v>63</v>
      </c>
      <c r="P20" s="95">
        <f>SUM(L20:O20)</f>
        <v>256</v>
      </c>
      <c r="Q20" s="94">
        <f t="shared" si="47"/>
        <v>49</v>
      </c>
      <c r="R20" s="94">
        <f t="shared" si="47"/>
        <v>63</v>
      </c>
      <c r="S20" s="94">
        <f t="shared" si="47"/>
        <v>58</v>
      </c>
      <c r="T20" s="94">
        <f t="shared" si="47"/>
        <v>67</v>
      </c>
      <c r="U20" s="95">
        <f>SUM(Q20:T20)</f>
        <v>237</v>
      </c>
      <c r="V20" s="94">
        <f t="shared" si="47"/>
        <v>66</v>
      </c>
      <c r="W20" s="94">
        <f t="shared" si="47"/>
        <v>65</v>
      </c>
      <c r="X20" s="94">
        <f t="shared" si="47"/>
        <v>63</v>
      </c>
      <c r="Y20" s="94">
        <f t="shared" si="47"/>
        <v>81</v>
      </c>
      <c r="Z20" s="95">
        <f>SUM(V20:Y20)</f>
        <v>275</v>
      </c>
      <c r="AA20" s="94">
        <f t="shared" si="47"/>
        <v>81</v>
      </c>
      <c r="AB20" s="94">
        <f t="shared" si="47"/>
        <v>66</v>
      </c>
      <c r="AC20" s="94">
        <v>72</v>
      </c>
      <c r="AD20" s="94">
        <v>65</v>
      </c>
      <c r="AE20" s="95">
        <f>SUM(AA20:AD20)</f>
        <v>284</v>
      </c>
      <c r="AF20" s="94">
        <v>70</v>
      </c>
      <c r="AG20" s="94">
        <v>74</v>
      </c>
      <c r="AH20" s="94">
        <v>80</v>
      </c>
      <c r="AI20" s="94"/>
      <c r="AJ20" s="95"/>
      <c r="AK20" s="94"/>
      <c r="AL20" s="94"/>
      <c r="AM20" s="94"/>
      <c r="AN20" s="94"/>
      <c r="AO20" s="95"/>
      <c r="AP20" s="94"/>
      <c r="AQ20" s="94"/>
      <c r="AR20" s="94"/>
      <c r="AS20" s="94"/>
      <c r="AT20" s="95"/>
      <c r="AU20" s="219"/>
      <c r="AV20" s="94"/>
      <c r="AW20" s="94"/>
      <c r="AX20" s="94"/>
      <c r="AY20" s="95"/>
      <c r="AZ20" s="219"/>
      <c r="BA20" s="94"/>
      <c r="BB20" s="94"/>
      <c r="BC20" s="94"/>
      <c r="BD20" s="95"/>
      <c r="BE20" s="94"/>
      <c r="BF20" s="94"/>
      <c r="BG20" s="94"/>
      <c r="BH20" s="94"/>
      <c r="BI20" s="95"/>
    </row>
    <row r="21" spans="1:61" outlineLevel="2" x14ac:dyDescent="0.2">
      <c r="A21" s="67" t="s">
        <v>228</v>
      </c>
      <c r="E21" s="96">
        <v>42</v>
      </c>
      <c r="F21" s="97">
        <v>212</v>
      </c>
      <c r="G21" s="96">
        <v>51</v>
      </c>
      <c r="H21" s="96">
        <v>57</v>
      </c>
      <c r="I21" s="96">
        <v>48</v>
      </c>
      <c r="J21" s="96">
        <v>43</v>
      </c>
      <c r="K21" s="97">
        <f t="shared" ref="K21:K22" si="48">SUM(G21:J21)</f>
        <v>199</v>
      </c>
      <c r="L21" s="96">
        <v>43</v>
      </c>
      <c r="M21" s="96">
        <v>46</v>
      </c>
      <c r="N21" s="96">
        <v>41</v>
      </c>
      <c r="O21" s="96">
        <v>42</v>
      </c>
      <c r="P21" s="97">
        <f t="shared" ref="P21:P22" si="49">SUM(L21:O21)</f>
        <v>172</v>
      </c>
      <c r="Q21" s="96">
        <v>31</v>
      </c>
      <c r="R21" s="96">
        <v>40</v>
      </c>
      <c r="S21" s="96">
        <v>38</v>
      </c>
      <c r="T21" s="96">
        <v>43</v>
      </c>
      <c r="U21" s="97">
        <f t="shared" ref="U21:U22" si="50">SUM(Q21:T21)</f>
        <v>152</v>
      </c>
      <c r="V21" s="96">
        <v>46</v>
      </c>
      <c r="W21" s="96">
        <v>47</v>
      </c>
      <c r="X21" s="96">
        <v>51</v>
      </c>
      <c r="Y21" s="96">
        <v>58</v>
      </c>
      <c r="Z21" s="97">
        <f t="shared" ref="Z21:Z22" si="51">SUM(V21:Y21)</f>
        <v>202</v>
      </c>
      <c r="AA21" s="96">
        <v>47</v>
      </c>
      <c r="AB21" s="96">
        <v>38</v>
      </c>
      <c r="AC21" s="96"/>
      <c r="AD21" s="96"/>
      <c r="AE21" s="97"/>
      <c r="AF21" s="96"/>
      <c r="AG21" s="96"/>
      <c r="AH21" s="96"/>
      <c r="AI21" s="96"/>
      <c r="AJ21" s="97"/>
      <c r="AK21" s="96"/>
      <c r="AL21" s="96"/>
      <c r="AM21" s="96"/>
      <c r="AN21" s="96"/>
      <c r="AO21" s="97"/>
      <c r="AP21" s="96"/>
      <c r="AQ21" s="96"/>
      <c r="AR21" s="96"/>
      <c r="AS21" s="96"/>
      <c r="AT21" s="97"/>
      <c r="AU21" s="218"/>
      <c r="AV21" s="96"/>
      <c r="AW21" s="96"/>
      <c r="AX21" s="96"/>
      <c r="AY21" s="97"/>
      <c r="AZ21" s="218"/>
      <c r="BA21" s="96"/>
      <c r="BB21" s="96"/>
      <c r="BC21" s="96"/>
      <c r="BD21" s="97"/>
      <c r="BE21" s="96"/>
      <c r="BF21" s="96"/>
      <c r="BG21" s="96"/>
      <c r="BH21" s="96"/>
      <c r="BI21" s="97"/>
    </row>
    <row r="22" spans="1:61" outlineLevel="2" x14ac:dyDescent="0.2">
      <c r="A22" s="67" t="s">
        <v>229</v>
      </c>
      <c r="E22" s="96">
        <v>21</v>
      </c>
      <c r="F22" s="97">
        <v>74</v>
      </c>
      <c r="G22" s="96">
        <v>20</v>
      </c>
      <c r="H22" s="96">
        <v>18</v>
      </c>
      <c r="I22" s="96">
        <v>18</v>
      </c>
      <c r="J22" s="96">
        <v>20</v>
      </c>
      <c r="K22" s="97">
        <f t="shared" si="48"/>
        <v>76</v>
      </c>
      <c r="L22" s="96">
        <v>19</v>
      </c>
      <c r="M22" s="96">
        <v>24</v>
      </c>
      <c r="N22" s="96">
        <v>20</v>
      </c>
      <c r="O22" s="96">
        <v>21</v>
      </c>
      <c r="P22" s="97">
        <f t="shared" si="49"/>
        <v>84</v>
      </c>
      <c r="Q22" s="96">
        <v>18</v>
      </c>
      <c r="R22" s="96">
        <v>23</v>
      </c>
      <c r="S22" s="96">
        <v>20</v>
      </c>
      <c r="T22" s="96">
        <v>24</v>
      </c>
      <c r="U22" s="97">
        <f t="shared" si="50"/>
        <v>85</v>
      </c>
      <c r="V22" s="96">
        <v>20</v>
      </c>
      <c r="W22" s="96">
        <v>18</v>
      </c>
      <c r="X22" s="96">
        <v>12</v>
      </c>
      <c r="Y22" s="96">
        <v>23</v>
      </c>
      <c r="Z22" s="97">
        <f t="shared" si="51"/>
        <v>73</v>
      </c>
      <c r="AA22" s="96">
        <v>34</v>
      </c>
      <c r="AB22" s="96">
        <v>28</v>
      </c>
      <c r="AC22" s="96"/>
      <c r="AD22" s="96"/>
      <c r="AE22" s="97"/>
      <c r="AF22" s="96"/>
      <c r="AG22" s="96"/>
      <c r="AH22" s="96"/>
      <c r="AI22" s="96"/>
      <c r="AJ22" s="97"/>
      <c r="AK22" s="96"/>
      <c r="AL22" s="96"/>
      <c r="AM22" s="96"/>
      <c r="AN22" s="96"/>
      <c r="AO22" s="97"/>
      <c r="AP22" s="96"/>
      <c r="AQ22" s="96"/>
      <c r="AR22" s="96"/>
      <c r="AS22" s="96"/>
      <c r="AT22" s="97"/>
      <c r="AU22" s="218"/>
      <c r="AV22" s="96"/>
      <c r="AW22" s="96"/>
      <c r="AX22" s="96"/>
      <c r="AY22" s="97"/>
      <c r="AZ22" s="218"/>
      <c r="BA22" s="96"/>
      <c r="BB22" s="96"/>
      <c r="BC22" s="96"/>
      <c r="BD22" s="97"/>
      <c r="BE22" s="96"/>
      <c r="BF22" s="96"/>
      <c r="BG22" s="96"/>
      <c r="BH22" s="96"/>
      <c r="BI22" s="97"/>
    </row>
    <row r="23" spans="1:61" outlineLevel="2" x14ac:dyDescent="0.2">
      <c r="F23" s="68"/>
      <c r="K23" s="68"/>
      <c r="P23" s="68"/>
      <c r="U23" s="68"/>
      <c r="Z23" s="68"/>
      <c r="AE23" s="68"/>
      <c r="AJ23" s="68"/>
      <c r="AO23" s="68"/>
      <c r="AT23" s="68"/>
      <c r="AY23" s="68"/>
      <c r="BD23" s="68"/>
      <c r="BI23" s="68"/>
    </row>
    <row r="24" spans="1:61" outlineLevel="2" x14ac:dyDescent="0.2">
      <c r="A24" s="67" t="s">
        <v>180</v>
      </c>
      <c r="E24" s="98">
        <f t="shared" ref="E24:AH24" si="52">E20/E11</f>
        <v>0.17073170731707318</v>
      </c>
      <c r="F24" s="99">
        <f t="shared" si="52"/>
        <v>0.19429347826086957</v>
      </c>
      <c r="G24" s="98">
        <f t="shared" si="52"/>
        <v>0.19613259668508287</v>
      </c>
      <c r="H24" s="98">
        <f t="shared" si="52"/>
        <v>0.19430051813471502</v>
      </c>
      <c r="I24" s="98">
        <f t="shared" si="52"/>
        <v>0.16708860759493671</v>
      </c>
      <c r="J24" s="98">
        <f t="shared" si="52"/>
        <v>0.1575</v>
      </c>
      <c r="K24" s="99">
        <f t="shared" si="52"/>
        <v>0.17822423849643551</v>
      </c>
      <c r="L24" s="98">
        <f t="shared" si="52"/>
        <v>0.15856777493606139</v>
      </c>
      <c r="M24" s="98">
        <f t="shared" si="52"/>
        <v>0.170316301703163</v>
      </c>
      <c r="N24" s="98">
        <f t="shared" si="52"/>
        <v>0.14878048780487804</v>
      </c>
      <c r="O24" s="98">
        <f t="shared" si="52"/>
        <v>0.15254237288135594</v>
      </c>
      <c r="P24" s="99">
        <f t="shared" si="52"/>
        <v>0.15753846153846154</v>
      </c>
      <c r="Q24" s="98">
        <f t="shared" si="52"/>
        <v>0.13315217391304349</v>
      </c>
      <c r="R24" s="98">
        <f t="shared" si="52"/>
        <v>0.16112531969309463</v>
      </c>
      <c r="S24" s="98">
        <f t="shared" si="52"/>
        <v>0.14427860696517414</v>
      </c>
      <c r="T24" s="98">
        <f t="shared" si="52"/>
        <v>0.16461916461916462</v>
      </c>
      <c r="U24" s="99">
        <f t="shared" si="52"/>
        <v>0.15114795918367346</v>
      </c>
      <c r="V24" s="98">
        <f t="shared" si="52"/>
        <v>0.16966580976863754</v>
      </c>
      <c r="W24" s="98">
        <f t="shared" si="52"/>
        <v>0.17759562841530055</v>
      </c>
      <c r="X24" s="98">
        <f t="shared" si="52"/>
        <v>0.19873817034700317</v>
      </c>
      <c r="Y24" s="98">
        <f t="shared" si="52"/>
        <v>0.20351758793969849</v>
      </c>
      <c r="Z24" s="99">
        <f t="shared" si="52"/>
        <v>0.1870748299319728</v>
      </c>
      <c r="AA24" s="98">
        <f t="shared" si="52"/>
        <v>0.20300751879699247</v>
      </c>
      <c r="AB24" s="98">
        <f t="shared" si="52"/>
        <v>0.15865384615384615</v>
      </c>
      <c r="AC24" s="98">
        <f t="shared" si="52"/>
        <v>0.15584415584415584</v>
      </c>
      <c r="AD24" s="98">
        <f t="shared" si="52"/>
        <v>0.13457556935817805</v>
      </c>
      <c r="AE24" s="99">
        <f t="shared" si="52"/>
        <v>0.16136363636363638</v>
      </c>
      <c r="AF24" s="98">
        <f t="shared" si="52"/>
        <v>0.13671875</v>
      </c>
      <c r="AG24" s="98">
        <f t="shared" si="52"/>
        <v>0.13805970149253732</v>
      </c>
      <c r="AH24" s="98">
        <f t="shared" si="52"/>
        <v>0.13961605584642234</v>
      </c>
      <c r="AI24" s="98"/>
      <c r="AJ24" s="99">
        <f>AJ20/AJ11</f>
        <v>0</v>
      </c>
      <c r="AK24" s="98"/>
      <c r="AL24" s="98"/>
      <c r="AM24" s="98"/>
      <c r="AN24" s="98"/>
      <c r="AO24" s="99"/>
      <c r="AP24" s="98"/>
      <c r="AQ24" s="98"/>
      <c r="AR24" s="98"/>
      <c r="AS24" s="98"/>
      <c r="AT24" s="99"/>
      <c r="AU24" s="220"/>
      <c r="AV24" s="98"/>
      <c r="AW24" s="98"/>
      <c r="AX24" s="98"/>
      <c r="AY24" s="99"/>
      <c r="AZ24" s="220"/>
      <c r="BA24" s="98"/>
      <c r="BB24" s="98"/>
      <c r="BC24" s="98"/>
      <c r="BD24" s="99"/>
      <c r="BE24" s="98"/>
      <c r="BF24" s="98"/>
      <c r="BG24" s="98"/>
      <c r="BH24" s="98"/>
      <c r="BI24" s="99"/>
    </row>
    <row r="25" spans="1:61" outlineLevel="2" x14ac:dyDescent="0.2">
      <c r="F25" s="68"/>
      <c r="K25" s="68"/>
      <c r="P25" s="68"/>
      <c r="U25" s="68"/>
      <c r="Z25" s="68"/>
      <c r="AE25" s="68"/>
      <c r="AJ25" s="68"/>
      <c r="AO25" s="68"/>
      <c r="AT25" s="68"/>
      <c r="AY25" s="68"/>
      <c r="BD25" s="68"/>
      <c r="BI25" s="68"/>
    </row>
    <row r="26" spans="1:61" outlineLevel="2" x14ac:dyDescent="0.2">
      <c r="A26" s="67" t="s">
        <v>231</v>
      </c>
      <c r="E26" s="96">
        <f>4+5</f>
        <v>9</v>
      </c>
      <c r="F26" s="97">
        <v>21</v>
      </c>
      <c r="G26" s="96">
        <v>4</v>
      </c>
      <c r="H26" s="96">
        <v>4</v>
      </c>
      <c r="I26" s="96">
        <v>6</v>
      </c>
      <c r="J26" s="96">
        <v>6</v>
      </c>
      <c r="K26" s="97">
        <f t="shared" ref="K26:K27" si="53">SUM(G26:J26)</f>
        <v>20</v>
      </c>
      <c r="L26" s="96">
        <v>5</v>
      </c>
      <c r="M26" s="96">
        <v>6</v>
      </c>
      <c r="N26" s="96">
        <v>7</v>
      </c>
      <c r="O26" s="96">
        <v>6</v>
      </c>
      <c r="P26" s="97">
        <f t="shared" ref="P26:P27" si="54">SUM(L26:O26)</f>
        <v>24</v>
      </c>
      <c r="Q26" s="96">
        <v>6</v>
      </c>
      <c r="R26" s="96">
        <v>5</v>
      </c>
      <c r="S26" s="96">
        <v>6</v>
      </c>
      <c r="T26" s="96">
        <v>8</v>
      </c>
      <c r="U26" s="97">
        <f t="shared" ref="U26:U27" si="55">SUM(Q26:T26)</f>
        <v>25</v>
      </c>
      <c r="V26" s="96">
        <v>6</v>
      </c>
      <c r="W26" s="96">
        <v>5</v>
      </c>
      <c r="X26" s="96">
        <v>6</v>
      </c>
      <c r="Y26" s="96">
        <v>6</v>
      </c>
      <c r="Z26" s="97">
        <f t="shared" ref="Z26:Z27" si="56">SUM(V26:Y26)</f>
        <v>23</v>
      </c>
      <c r="AA26" s="96">
        <v>6</v>
      </c>
      <c r="AB26" s="96">
        <v>7</v>
      </c>
      <c r="AC26" s="96">
        <v>9</v>
      </c>
      <c r="AD26" s="96">
        <v>7</v>
      </c>
      <c r="AE26" s="97"/>
      <c r="AF26" s="96">
        <v>7</v>
      </c>
      <c r="AG26" s="96">
        <v>7</v>
      </c>
      <c r="AH26" s="96">
        <v>7</v>
      </c>
      <c r="AI26" s="96"/>
      <c r="AJ26" s="97"/>
      <c r="AK26" s="96"/>
      <c r="AL26" s="96"/>
      <c r="AM26" s="96"/>
      <c r="AN26" s="96"/>
      <c r="AO26" s="97"/>
      <c r="AP26" s="96"/>
      <c r="AQ26" s="96"/>
      <c r="AR26" s="96"/>
      <c r="AS26" s="96"/>
      <c r="AT26" s="97"/>
      <c r="AU26" s="218"/>
      <c r="AV26" s="96"/>
      <c r="AW26" s="96"/>
      <c r="AX26" s="96"/>
      <c r="AY26" s="97"/>
      <c r="AZ26" s="218"/>
      <c r="BA26" s="96"/>
      <c r="BB26" s="96"/>
      <c r="BC26" s="96"/>
      <c r="BD26" s="97"/>
      <c r="BE26" s="96"/>
      <c r="BF26" s="96"/>
      <c r="BG26" s="96"/>
      <c r="BH26" s="96"/>
      <c r="BI26" s="97"/>
    </row>
    <row r="27" spans="1:61" outlineLevel="2" x14ac:dyDescent="0.2">
      <c r="A27" s="67" t="s">
        <v>232</v>
      </c>
      <c r="E27" s="71">
        <v>0</v>
      </c>
      <c r="F27" s="145">
        <v>0</v>
      </c>
      <c r="G27" s="71">
        <v>0</v>
      </c>
      <c r="H27" s="71">
        <v>0</v>
      </c>
      <c r="I27" s="71">
        <v>0</v>
      </c>
      <c r="J27" s="71">
        <v>0</v>
      </c>
      <c r="K27" s="145">
        <f t="shared" si="53"/>
        <v>0</v>
      </c>
      <c r="L27" s="71">
        <v>0</v>
      </c>
      <c r="M27" s="71">
        <v>0</v>
      </c>
      <c r="N27" s="71">
        <v>0</v>
      </c>
      <c r="O27" s="71">
        <v>0</v>
      </c>
      <c r="P27" s="145">
        <f t="shared" si="54"/>
        <v>0</v>
      </c>
      <c r="Q27" s="71">
        <v>0</v>
      </c>
      <c r="R27" s="71">
        <v>0</v>
      </c>
      <c r="S27" s="71">
        <v>0</v>
      </c>
      <c r="T27" s="71">
        <v>0</v>
      </c>
      <c r="U27" s="145">
        <f t="shared" si="55"/>
        <v>0</v>
      </c>
      <c r="V27" s="71">
        <v>0</v>
      </c>
      <c r="W27" s="71">
        <v>0</v>
      </c>
      <c r="X27" s="71">
        <v>0</v>
      </c>
      <c r="Y27" s="71">
        <v>0</v>
      </c>
      <c r="Z27" s="145">
        <f t="shared" si="56"/>
        <v>0</v>
      </c>
      <c r="AA27" s="71">
        <v>0</v>
      </c>
      <c r="AB27" s="71">
        <v>0</v>
      </c>
      <c r="AC27" s="71">
        <v>0</v>
      </c>
      <c r="AD27" s="71">
        <v>0</v>
      </c>
      <c r="AE27" s="145"/>
      <c r="AF27" s="71">
        <v>0</v>
      </c>
      <c r="AG27" s="71">
        <v>0</v>
      </c>
      <c r="AH27" s="71">
        <v>0</v>
      </c>
      <c r="AI27" s="71"/>
      <c r="AJ27" s="145"/>
      <c r="AK27" s="71"/>
      <c r="AL27" s="71"/>
      <c r="AM27" s="71"/>
      <c r="AN27" s="71"/>
      <c r="AO27" s="145"/>
      <c r="AP27" s="71"/>
      <c r="AQ27" s="71"/>
      <c r="AR27" s="71"/>
      <c r="AS27" s="71"/>
      <c r="AT27" s="145"/>
      <c r="AU27" s="151"/>
      <c r="AV27" s="71"/>
      <c r="AW27" s="71"/>
      <c r="AX27" s="71"/>
      <c r="AY27" s="145"/>
      <c r="AZ27" s="151"/>
      <c r="BA27" s="71"/>
      <c r="BB27" s="71"/>
      <c r="BC27" s="71"/>
      <c r="BD27" s="145"/>
      <c r="BE27" s="71"/>
      <c r="BF27" s="71"/>
      <c r="BG27" s="71"/>
      <c r="BH27" s="71"/>
      <c r="BI27" s="145"/>
    </row>
    <row r="28" spans="1:61" outlineLevel="2" x14ac:dyDescent="0.2">
      <c r="E28" s="71"/>
      <c r="F28" s="145"/>
      <c r="G28" s="71"/>
      <c r="H28" s="71"/>
      <c r="I28" s="71"/>
      <c r="J28" s="71"/>
      <c r="K28" s="145"/>
      <c r="L28" s="71"/>
      <c r="M28" s="71"/>
      <c r="N28" s="71"/>
      <c r="O28" s="71"/>
      <c r="P28" s="145"/>
      <c r="Q28" s="71"/>
      <c r="R28" s="71"/>
      <c r="S28" s="71"/>
      <c r="T28" s="71"/>
      <c r="U28" s="145"/>
      <c r="V28" s="71"/>
      <c r="W28" s="71"/>
      <c r="X28" s="71"/>
      <c r="Y28" s="71"/>
      <c r="Z28" s="145"/>
      <c r="AA28" s="71"/>
      <c r="AB28" s="71"/>
      <c r="AC28" s="71"/>
      <c r="AD28" s="71"/>
      <c r="AE28" s="145"/>
      <c r="AF28" s="71"/>
      <c r="AG28" s="71"/>
      <c r="AH28" s="71"/>
      <c r="AI28" s="71"/>
      <c r="AJ28" s="145"/>
      <c r="AK28" s="71"/>
      <c r="AL28" s="71"/>
      <c r="AM28" s="71"/>
      <c r="AN28" s="71"/>
      <c r="AO28" s="145"/>
      <c r="AP28" s="71"/>
      <c r="AQ28" s="71"/>
      <c r="AR28" s="71"/>
      <c r="AS28" s="71"/>
      <c r="AT28" s="145"/>
      <c r="AU28" s="151"/>
      <c r="AV28" s="71"/>
      <c r="AW28" s="71"/>
      <c r="AX28" s="71"/>
      <c r="AY28" s="145"/>
      <c r="AZ28" s="151"/>
      <c r="BA28" s="71"/>
      <c r="BB28" s="71"/>
      <c r="BC28" s="71"/>
      <c r="BD28" s="145"/>
      <c r="BE28" s="71"/>
      <c r="BF28" s="71"/>
      <c r="BG28" s="71"/>
      <c r="BH28" s="71"/>
      <c r="BI28" s="145"/>
    </row>
    <row r="29" spans="1:61" outlineLevel="2" x14ac:dyDescent="0.2">
      <c r="A29" s="70" t="s">
        <v>194</v>
      </c>
      <c r="F29" s="68"/>
      <c r="K29" s="68"/>
      <c r="P29" s="68"/>
      <c r="U29" s="68"/>
      <c r="Z29" s="68"/>
      <c r="AE29" s="68"/>
      <c r="AJ29" s="68"/>
      <c r="AO29" s="68"/>
      <c r="AT29" s="68"/>
      <c r="AY29" s="68"/>
      <c r="BD29" s="68"/>
      <c r="BI29" s="68"/>
    </row>
    <row r="30" spans="1:61" outlineLevel="2" x14ac:dyDescent="0.2">
      <c r="A30" s="67" t="s">
        <v>233</v>
      </c>
      <c r="E30" s="96">
        <f t="shared" ref="E30:J30" si="57">E20+SUM(E26:E27)</f>
        <v>72</v>
      </c>
      <c r="F30" s="144">
        <f t="shared" si="57"/>
        <v>307</v>
      </c>
      <c r="G30" s="96">
        <f t="shared" si="57"/>
        <v>75</v>
      </c>
      <c r="H30" s="96">
        <f t="shared" si="57"/>
        <v>79</v>
      </c>
      <c r="I30" s="96">
        <f t="shared" si="57"/>
        <v>72</v>
      </c>
      <c r="J30" s="96">
        <f t="shared" si="57"/>
        <v>69</v>
      </c>
      <c r="K30" s="144">
        <f>SUM(G30:J30)</f>
        <v>295</v>
      </c>
      <c r="L30" s="96">
        <f>L20+SUM(L26:L27)</f>
        <v>67</v>
      </c>
      <c r="M30" s="96">
        <f>M20+SUM(M26:M27)</f>
        <v>76</v>
      </c>
      <c r="N30" s="96">
        <f>N20+SUM(N26:N27)</f>
        <v>68</v>
      </c>
      <c r="O30" s="96">
        <f>O20+SUM(O26:O27)</f>
        <v>69</v>
      </c>
      <c r="P30" s="144">
        <f>SUM(L30:O30)</f>
        <v>280</v>
      </c>
      <c r="Q30" s="96">
        <f>Q20+SUM(Q26:Q27)</f>
        <v>55</v>
      </c>
      <c r="R30" s="96">
        <f>R20+SUM(R26:R27)</f>
        <v>68</v>
      </c>
      <c r="S30" s="96">
        <f>S20+SUM(S26:S27)</f>
        <v>64</v>
      </c>
      <c r="T30" s="96">
        <f>T20+SUM(T26:T27)</f>
        <v>75</v>
      </c>
      <c r="U30" s="144">
        <f>SUM(Q30:T30)</f>
        <v>262</v>
      </c>
      <c r="V30" s="96">
        <f>V20+SUM(V26:V27)</f>
        <v>72</v>
      </c>
      <c r="W30" s="96">
        <f>W20+SUM(W26:W27)</f>
        <v>70</v>
      </c>
      <c r="X30" s="96">
        <f>X20+SUM(X26:X27)</f>
        <v>69</v>
      </c>
      <c r="Y30" s="96">
        <f>Y20+SUM(Y26:Y27)</f>
        <v>87</v>
      </c>
      <c r="Z30" s="144">
        <f>SUM(V30:Y30)</f>
        <v>298</v>
      </c>
      <c r="AA30" s="96">
        <f>AA20+SUM(AA26:AA27)</f>
        <v>87</v>
      </c>
      <c r="AB30" s="96">
        <f>AB20+SUM(AB26:AB27)</f>
        <v>73</v>
      </c>
      <c r="AC30" s="96">
        <f>AC20+SUM(AC26:AC27)</f>
        <v>81</v>
      </c>
      <c r="AD30" s="96">
        <f>AD20+SUM(AD26:AD27)</f>
        <v>72</v>
      </c>
      <c r="AE30" s="144">
        <f>SUM(AA30:AD30)</f>
        <v>313</v>
      </c>
      <c r="AF30" s="96">
        <f>AF20+SUM(AF26:AF27)</f>
        <v>77</v>
      </c>
      <c r="AG30" s="96">
        <f>AG20+SUM(AG26:AG27)</f>
        <v>81</v>
      </c>
      <c r="AH30" s="96">
        <f>AH20+SUM(AH26:AH27)</f>
        <v>87</v>
      </c>
      <c r="AI30" s="96"/>
      <c r="AJ30" s="144">
        <f>SUM(AF30:AI30)</f>
        <v>245</v>
      </c>
      <c r="AK30" s="96"/>
      <c r="AL30" s="96"/>
      <c r="AM30" s="96"/>
      <c r="AN30" s="96"/>
      <c r="AO30" s="144"/>
      <c r="AP30" s="96"/>
      <c r="AQ30" s="96"/>
      <c r="AR30" s="96"/>
      <c r="AS30" s="96"/>
      <c r="AT30" s="144"/>
      <c r="AU30" s="218"/>
      <c r="AV30" s="96"/>
      <c r="AW30" s="96"/>
      <c r="AX30" s="96"/>
      <c r="AY30" s="144"/>
      <c r="AZ30" s="218"/>
      <c r="BA30" s="96"/>
      <c r="BB30" s="96"/>
      <c r="BC30" s="96"/>
      <c r="BD30" s="144"/>
      <c r="BE30" s="96"/>
      <c r="BF30" s="96"/>
      <c r="BG30" s="96"/>
      <c r="BH30" s="96"/>
      <c r="BI30" s="144"/>
    </row>
    <row r="31" spans="1:61" outlineLevel="2" x14ac:dyDescent="0.2">
      <c r="A31" s="67" t="s">
        <v>234</v>
      </c>
      <c r="E31" s="98">
        <f t="shared" ref="E31:AH31" si="58">E30/E11</f>
        <v>0.1951219512195122</v>
      </c>
      <c r="F31" s="99">
        <f t="shared" si="58"/>
        <v>0.20855978260869565</v>
      </c>
      <c r="G31" s="98">
        <f t="shared" si="58"/>
        <v>0.20718232044198895</v>
      </c>
      <c r="H31" s="98">
        <f t="shared" si="58"/>
        <v>0.20466321243523317</v>
      </c>
      <c r="I31" s="98">
        <f t="shared" si="58"/>
        <v>0.18227848101265823</v>
      </c>
      <c r="J31" s="98">
        <f t="shared" si="58"/>
        <v>0.17249999999999999</v>
      </c>
      <c r="K31" s="99">
        <f t="shared" si="58"/>
        <v>0.19118600129617627</v>
      </c>
      <c r="L31" s="98">
        <f t="shared" si="58"/>
        <v>0.17135549872122763</v>
      </c>
      <c r="M31" s="98">
        <f t="shared" si="58"/>
        <v>0.18491484184914841</v>
      </c>
      <c r="N31" s="98">
        <f t="shared" si="58"/>
        <v>0.16585365853658537</v>
      </c>
      <c r="O31" s="98">
        <f t="shared" si="58"/>
        <v>0.16707021791767554</v>
      </c>
      <c r="P31" s="99">
        <f t="shared" si="58"/>
        <v>0.1723076923076923</v>
      </c>
      <c r="Q31" s="98">
        <f t="shared" si="58"/>
        <v>0.14945652173913043</v>
      </c>
      <c r="R31" s="98">
        <f t="shared" si="58"/>
        <v>0.17391304347826086</v>
      </c>
      <c r="S31" s="98">
        <f t="shared" si="58"/>
        <v>0.15920398009950248</v>
      </c>
      <c r="T31" s="98">
        <f t="shared" si="58"/>
        <v>0.18427518427518427</v>
      </c>
      <c r="U31" s="99">
        <f t="shared" si="58"/>
        <v>0.16709183673469388</v>
      </c>
      <c r="V31" s="98">
        <f t="shared" si="58"/>
        <v>0.18508997429305912</v>
      </c>
      <c r="W31" s="98">
        <f t="shared" si="58"/>
        <v>0.19125683060109289</v>
      </c>
      <c r="X31" s="98">
        <f t="shared" si="58"/>
        <v>0.21766561514195584</v>
      </c>
      <c r="Y31" s="98">
        <f t="shared" si="58"/>
        <v>0.21859296482412061</v>
      </c>
      <c r="Z31" s="99">
        <f t="shared" si="58"/>
        <v>0.20272108843537415</v>
      </c>
      <c r="AA31" s="98">
        <f t="shared" si="58"/>
        <v>0.21804511278195488</v>
      </c>
      <c r="AB31" s="98">
        <f t="shared" si="58"/>
        <v>0.17548076923076922</v>
      </c>
      <c r="AC31" s="98">
        <f t="shared" si="58"/>
        <v>0.17532467532467533</v>
      </c>
      <c r="AD31" s="98">
        <f t="shared" si="58"/>
        <v>0.14906832298136646</v>
      </c>
      <c r="AE31" s="99">
        <f t="shared" si="58"/>
        <v>0.17784090909090908</v>
      </c>
      <c r="AF31" s="98">
        <f t="shared" si="58"/>
        <v>0.150390625</v>
      </c>
      <c r="AG31" s="98">
        <f t="shared" si="58"/>
        <v>0.15111940298507462</v>
      </c>
      <c r="AH31" s="98">
        <f t="shared" si="58"/>
        <v>0.15183246073298429</v>
      </c>
      <c r="AI31" s="98"/>
      <c r="AJ31" s="99">
        <f>AJ30/AJ11</f>
        <v>0.15114127082048118</v>
      </c>
      <c r="AK31" s="98"/>
      <c r="AL31" s="98"/>
      <c r="AM31" s="98"/>
      <c r="AN31" s="98"/>
      <c r="AO31" s="99"/>
      <c r="AP31" s="98"/>
      <c r="AQ31" s="98"/>
      <c r="AR31" s="98"/>
      <c r="AS31" s="98"/>
      <c r="AT31" s="99"/>
      <c r="AU31" s="220"/>
      <c r="AV31" s="98"/>
      <c r="AW31" s="98"/>
      <c r="AX31" s="98"/>
      <c r="AY31" s="99"/>
      <c r="AZ31" s="220"/>
      <c r="BA31" s="98"/>
      <c r="BB31" s="98"/>
      <c r="BC31" s="98"/>
      <c r="BD31" s="99"/>
      <c r="BE31" s="98"/>
      <c r="BF31" s="98"/>
      <c r="BG31" s="98"/>
      <c r="BH31" s="98"/>
      <c r="BI31" s="99"/>
    </row>
    <row r="32" spans="1:61" outlineLevel="2" x14ac:dyDescent="0.2">
      <c r="F32" s="68"/>
      <c r="K32" s="68"/>
      <c r="P32" s="68"/>
      <c r="U32" s="68"/>
      <c r="Z32" s="68"/>
      <c r="AE32" s="68"/>
      <c r="AJ32" s="68"/>
      <c r="AO32" s="68"/>
      <c r="AT32" s="68"/>
      <c r="AY32" s="68"/>
      <c r="BD32" s="68"/>
      <c r="BI32" s="68"/>
    </row>
    <row r="33" spans="1:63" outlineLevel="1" x14ac:dyDescent="0.2">
      <c r="F33" s="68"/>
      <c r="K33" s="68"/>
      <c r="P33" s="68"/>
      <c r="U33" s="68"/>
      <c r="Z33" s="68"/>
      <c r="AE33" s="68"/>
      <c r="AJ33" s="68"/>
      <c r="AO33" s="68"/>
      <c r="AT33" s="68"/>
      <c r="AY33" s="68"/>
      <c r="BD33" s="68"/>
      <c r="BI33" s="68"/>
    </row>
    <row r="34" spans="1:63" outlineLevel="1" x14ac:dyDescent="0.2">
      <c r="F34" s="68"/>
      <c r="K34" s="68"/>
      <c r="P34" s="68"/>
      <c r="U34" s="68"/>
      <c r="Z34" s="68"/>
      <c r="AE34" s="68"/>
      <c r="AJ34" s="68"/>
      <c r="AO34" s="68"/>
      <c r="AT34" s="68"/>
      <c r="AY34" s="68"/>
      <c r="BD34" s="68"/>
      <c r="BI34" s="68"/>
    </row>
    <row r="35" spans="1:63" outlineLevel="1" x14ac:dyDescent="0.2">
      <c r="A35" s="69" t="s">
        <v>181</v>
      </c>
      <c r="F35" s="68"/>
      <c r="K35" s="68"/>
      <c r="P35" s="68"/>
      <c r="U35" s="68"/>
      <c r="Z35" s="68"/>
      <c r="AE35" s="68"/>
      <c r="AJ35" s="68"/>
      <c r="AO35" s="68"/>
      <c r="AT35" s="68"/>
      <c r="AY35" s="68"/>
      <c r="BD35" s="68"/>
      <c r="BI35" s="68"/>
    </row>
    <row r="36" spans="1:63" outlineLevel="2" x14ac:dyDescent="0.2">
      <c r="F36" s="68"/>
      <c r="K36" s="68"/>
      <c r="P36" s="68"/>
      <c r="U36" s="68"/>
      <c r="Z36" s="68"/>
      <c r="AE36" s="68"/>
      <c r="AJ36" s="68"/>
      <c r="AO36" s="68"/>
      <c r="AT36" s="68"/>
      <c r="AY36" s="68"/>
      <c r="BD36" s="68"/>
      <c r="BI36" s="68"/>
    </row>
    <row r="37" spans="1:63" outlineLevel="2" x14ac:dyDescent="0.2">
      <c r="A37" s="69" t="s">
        <v>133</v>
      </c>
      <c r="F37" s="68"/>
      <c r="K37" s="68"/>
      <c r="P37" s="68"/>
      <c r="U37" s="68"/>
      <c r="Z37" s="68"/>
      <c r="AE37" s="68"/>
      <c r="AJ37" s="68"/>
      <c r="AO37" s="68"/>
      <c r="AP37" s="205"/>
      <c r="AT37" s="68"/>
      <c r="AX37" s="205"/>
      <c r="AY37" s="68"/>
      <c r="BD37" s="68"/>
      <c r="BI37" s="68"/>
    </row>
    <row r="38" spans="1:63" outlineLevel="2" x14ac:dyDescent="0.2">
      <c r="A38" s="70" t="s">
        <v>242</v>
      </c>
      <c r="F38" s="68"/>
      <c r="K38" s="68"/>
      <c r="P38" s="68"/>
      <c r="U38" s="68"/>
      <c r="Z38" s="68"/>
      <c r="AE38" s="68"/>
      <c r="AJ38" s="68"/>
      <c r="AN38" s="205"/>
      <c r="AO38" s="68"/>
      <c r="AP38" s="205"/>
      <c r="AT38" s="68"/>
      <c r="AX38" s="205"/>
      <c r="AY38" s="68"/>
      <c r="BD38" s="68"/>
      <c r="BI38" s="68"/>
    </row>
    <row r="39" spans="1:63" outlineLevel="2" x14ac:dyDescent="0.2">
      <c r="A39" s="67" t="s">
        <v>209</v>
      </c>
      <c r="B39" s="71"/>
      <c r="C39" s="71">
        <v>1</v>
      </c>
      <c r="D39" s="71">
        <v>0</v>
      </c>
      <c r="E39" s="71">
        <v>2</v>
      </c>
      <c r="F39" s="72">
        <f>SUM(B39:E39)</f>
        <v>3</v>
      </c>
      <c r="G39" s="71">
        <v>0</v>
      </c>
      <c r="H39" s="71">
        <v>0</v>
      </c>
      <c r="I39" s="71">
        <v>1</v>
      </c>
      <c r="J39" s="71">
        <v>2</v>
      </c>
      <c r="K39" s="72">
        <f>SUM(G39:J39)</f>
        <v>3</v>
      </c>
      <c r="L39" s="71">
        <v>2</v>
      </c>
      <c r="M39" s="71">
        <v>0</v>
      </c>
      <c r="N39" s="71">
        <v>4</v>
      </c>
      <c r="O39" s="71">
        <v>11</v>
      </c>
      <c r="P39" s="72">
        <f>SUM(L39:O39)</f>
        <v>17</v>
      </c>
      <c r="Q39" s="71">
        <v>5</v>
      </c>
      <c r="R39" s="71">
        <v>7</v>
      </c>
      <c r="S39" s="71">
        <v>4</v>
      </c>
      <c r="T39" s="71">
        <v>12</v>
      </c>
      <c r="U39" s="72">
        <f>SUM(Q39:T39)</f>
        <v>28</v>
      </c>
      <c r="V39" s="71">
        <v>2</v>
      </c>
      <c r="W39" s="71">
        <v>7</v>
      </c>
      <c r="X39" s="71">
        <v>5</v>
      </c>
      <c r="Y39" s="71">
        <v>22</v>
      </c>
      <c r="Z39" s="72">
        <f>SUM(V39:Y39)</f>
        <v>36</v>
      </c>
      <c r="AA39" s="71">
        <v>18</v>
      </c>
      <c r="AB39" s="71">
        <v>11</v>
      </c>
      <c r="AC39" s="71">
        <v>17</v>
      </c>
      <c r="AD39" s="71">
        <v>21</v>
      </c>
      <c r="AE39" s="72">
        <f>SUM(AA39:AD39)</f>
        <v>67</v>
      </c>
      <c r="AF39" s="71">
        <v>7</v>
      </c>
      <c r="AG39" s="71">
        <v>10</v>
      </c>
      <c r="AH39" s="71">
        <v>5</v>
      </c>
      <c r="AI39" s="71">
        <v>12</v>
      </c>
      <c r="AJ39" s="72">
        <f>SUM(AF39:AI39)</f>
        <v>34</v>
      </c>
      <c r="AK39" s="71">
        <v>17</v>
      </c>
      <c r="AL39" s="151">
        <v>13</v>
      </c>
      <c r="AM39" s="151">
        <v>12</v>
      </c>
      <c r="AN39" s="151">
        <v>14</v>
      </c>
      <c r="AO39" s="72">
        <f>SUM(AK39:AN39)</f>
        <v>56</v>
      </c>
      <c r="AP39" s="151">
        <v>14</v>
      </c>
      <c r="AQ39" s="151">
        <v>14</v>
      </c>
      <c r="AR39" s="151">
        <v>12</v>
      </c>
      <c r="AS39" s="151">
        <v>26</v>
      </c>
      <c r="AT39" s="72">
        <f t="shared" ref="AT39:AT42" si="59">SUM(AP39:AS39)</f>
        <v>66</v>
      </c>
      <c r="AU39" s="151">
        <v>15</v>
      </c>
      <c r="AV39" s="151">
        <v>12</v>
      </c>
      <c r="AW39" s="151">
        <v>19</v>
      </c>
      <c r="AX39" s="151">
        <v>26</v>
      </c>
      <c r="AY39" s="72">
        <f t="shared" ref="AY39:AY42" si="60">SUM(AU39:AX39)</f>
        <v>72</v>
      </c>
      <c r="AZ39" s="151">
        <v>26</v>
      </c>
      <c r="BA39" s="178">
        <v>23</v>
      </c>
      <c r="BB39" s="178">
        <v>23</v>
      </c>
      <c r="BC39" s="178">
        <v>28</v>
      </c>
      <c r="BD39" s="72">
        <f t="shared" ref="BD39:BD42" si="61">SUM(AZ39:BC39)</f>
        <v>100</v>
      </c>
      <c r="BE39" s="178">
        <v>20</v>
      </c>
      <c r="BF39" s="178">
        <v>20</v>
      </c>
      <c r="BG39" s="178">
        <v>23</v>
      </c>
      <c r="BH39" s="178">
        <v>28</v>
      </c>
      <c r="BI39" s="72">
        <f t="shared" ref="BI39:BI42" si="62">SUM(BE39:BH39)</f>
        <v>91</v>
      </c>
    </row>
    <row r="40" spans="1:63" outlineLevel="2" x14ac:dyDescent="0.2">
      <c r="A40" s="67" t="s">
        <v>210</v>
      </c>
      <c r="B40" s="71"/>
      <c r="C40" s="71">
        <v>47</v>
      </c>
      <c r="D40" s="71">
        <v>1</v>
      </c>
      <c r="E40" s="71">
        <v>0</v>
      </c>
      <c r="F40" s="72">
        <f>SUM(B40:E40)</f>
        <v>48</v>
      </c>
      <c r="G40" s="71">
        <v>0</v>
      </c>
      <c r="H40" s="71">
        <v>28</v>
      </c>
      <c r="I40" s="71">
        <v>0</v>
      </c>
      <c r="J40" s="71">
        <v>1</v>
      </c>
      <c r="K40" s="72">
        <f>SUM(G40:J40)</f>
        <v>29</v>
      </c>
      <c r="L40" s="71">
        <v>0</v>
      </c>
      <c r="M40" s="71">
        <v>2</v>
      </c>
      <c r="N40" s="71">
        <v>1</v>
      </c>
      <c r="O40" s="71">
        <v>0</v>
      </c>
      <c r="P40" s="72">
        <f>SUM(L40:O40)</f>
        <v>3</v>
      </c>
      <c r="Q40" s="71">
        <v>0</v>
      </c>
      <c r="R40" s="71">
        <v>5</v>
      </c>
      <c r="S40" s="71">
        <v>13</v>
      </c>
      <c r="T40" s="71">
        <v>6</v>
      </c>
      <c r="U40" s="72">
        <f>SUM(Q40:T40)</f>
        <v>24</v>
      </c>
      <c r="V40" s="71">
        <v>7</v>
      </c>
      <c r="W40" s="71">
        <v>1</v>
      </c>
      <c r="X40" s="71">
        <v>2</v>
      </c>
      <c r="Y40" s="71">
        <v>2</v>
      </c>
      <c r="Z40" s="72">
        <f>SUM(V40:Y40)</f>
        <v>12</v>
      </c>
      <c r="AA40" s="71">
        <v>54</v>
      </c>
      <c r="AB40" s="71">
        <v>0</v>
      </c>
      <c r="AC40" s="71">
        <v>5</v>
      </c>
      <c r="AD40" s="71">
        <v>3</v>
      </c>
      <c r="AE40" s="72">
        <f>SUM(AA40:AD40)</f>
        <v>62</v>
      </c>
      <c r="AF40" s="71">
        <v>12</v>
      </c>
      <c r="AG40" s="71">
        <v>9</v>
      </c>
      <c r="AH40" s="71">
        <v>9</v>
      </c>
      <c r="AI40" s="71">
        <v>3</v>
      </c>
      <c r="AJ40" s="72">
        <f>SUM(AF40:AI40)</f>
        <v>33</v>
      </c>
      <c r="AK40" s="71">
        <v>5</v>
      </c>
      <c r="AL40" s="151">
        <v>6</v>
      </c>
      <c r="AM40" s="151">
        <v>8</v>
      </c>
      <c r="AN40" s="151">
        <v>8</v>
      </c>
      <c r="AO40" s="72">
        <f t="shared" ref="AO40:AO42" si="63">SUM(AK40:AN40)</f>
        <v>27</v>
      </c>
      <c r="AP40" s="151">
        <v>5</v>
      </c>
      <c r="AQ40" s="151">
        <v>10</v>
      </c>
      <c r="AR40" s="151">
        <v>6</v>
      </c>
      <c r="AS40" s="151">
        <v>10</v>
      </c>
      <c r="AT40" s="72">
        <f t="shared" si="59"/>
        <v>31</v>
      </c>
      <c r="AU40" s="151">
        <v>6</v>
      </c>
      <c r="AV40" s="151">
        <v>6</v>
      </c>
      <c r="AW40" s="151">
        <v>8</v>
      </c>
      <c r="AX40" s="151">
        <v>8</v>
      </c>
      <c r="AY40" s="72">
        <f t="shared" si="60"/>
        <v>28</v>
      </c>
      <c r="AZ40" s="151">
        <v>210</v>
      </c>
      <c r="BA40" s="73">
        <v>0</v>
      </c>
      <c r="BB40" s="73">
        <v>0</v>
      </c>
      <c r="BC40" s="73">
        <v>0</v>
      </c>
      <c r="BD40" s="72">
        <f t="shared" si="61"/>
        <v>210</v>
      </c>
      <c r="BE40" s="73">
        <v>0</v>
      </c>
      <c r="BF40" s="73">
        <v>0</v>
      </c>
      <c r="BG40" s="73">
        <v>0</v>
      </c>
      <c r="BH40" s="73">
        <v>0</v>
      </c>
      <c r="BI40" s="72">
        <f t="shared" si="62"/>
        <v>0</v>
      </c>
    </row>
    <row r="41" spans="1:63" outlineLevel="2" x14ac:dyDescent="0.2">
      <c r="A41" s="67" t="s">
        <v>211</v>
      </c>
      <c r="B41" s="71"/>
      <c r="C41" s="71">
        <v>1</v>
      </c>
      <c r="D41" s="71">
        <v>1</v>
      </c>
      <c r="E41" s="71">
        <v>7</v>
      </c>
      <c r="F41" s="72">
        <f>SUM(B41:E41)</f>
        <v>9</v>
      </c>
      <c r="G41" s="71">
        <v>5</v>
      </c>
      <c r="H41" s="71">
        <v>0</v>
      </c>
      <c r="I41" s="71">
        <v>9</v>
      </c>
      <c r="J41" s="71">
        <v>0</v>
      </c>
      <c r="K41" s="72">
        <f>SUM(G41:J41)</f>
        <v>14</v>
      </c>
      <c r="L41" s="71">
        <v>56</v>
      </c>
      <c r="M41" s="71">
        <v>1</v>
      </c>
      <c r="N41" s="71">
        <v>1</v>
      </c>
      <c r="O41" s="71">
        <v>0</v>
      </c>
      <c r="P41" s="72">
        <f>SUM(L41:O41)</f>
        <v>58</v>
      </c>
      <c r="Q41" s="71">
        <v>4</v>
      </c>
      <c r="R41" s="71">
        <v>0</v>
      </c>
      <c r="S41" s="71">
        <v>1</v>
      </c>
      <c r="T41" s="71">
        <v>0</v>
      </c>
      <c r="U41" s="72">
        <f>SUM(Q41:T41)</f>
        <v>5</v>
      </c>
      <c r="V41" s="71">
        <v>-4</v>
      </c>
      <c r="W41" s="71">
        <v>4</v>
      </c>
      <c r="X41" s="71">
        <v>5</v>
      </c>
      <c r="Y41" s="71">
        <v>12</v>
      </c>
      <c r="Z41" s="72">
        <f>SUM(V41:Y41)</f>
        <v>17</v>
      </c>
      <c r="AA41" s="71">
        <v>7</v>
      </c>
      <c r="AB41" s="71">
        <v>0</v>
      </c>
      <c r="AC41" s="71">
        <v>3</v>
      </c>
      <c r="AD41" s="71">
        <v>0</v>
      </c>
      <c r="AE41" s="72">
        <f>SUM(AA41:AD41)</f>
        <v>10</v>
      </c>
      <c r="AF41" s="71">
        <v>0</v>
      </c>
      <c r="AG41" s="71">
        <v>0</v>
      </c>
      <c r="AH41" s="71">
        <v>1</v>
      </c>
      <c r="AI41" s="71">
        <v>3</v>
      </c>
      <c r="AJ41" s="72">
        <f>SUM(AF41:AI41)</f>
        <v>4</v>
      </c>
      <c r="AK41" s="71">
        <v>2</v>
      </c>
      <c r="AL41" s="151">
        <v>0</v>
      </c>
      <c r="AM41" s="151">
        <v>2</v>
      </c>
      <c r="AN41" s="151">
        <v>0</v>
      </c>
      <c r="AO41" s="72">
        <f t="shared" si="63"/>
        <v>4</v>
      </c>
      <c r="AP41" s="151">
        <v>0</v>
      </c>
      <c r="AQ41" s="151">
        <v>0</v>
      </c>
      <c r="AR41" s="151">
        <v>0</v>
      </c>
      <c r="AS41" s="151">
        <v>-23</v>
      </c>
      <c r="AT41" s="72">
        <f t="shared" si="59"/>
        <v>-23</v>
      </c>
      <c r="AU41" s="151">
        <v>-39</v>
      </c>
      <c r="AV41" s="73">
        <v>0</v>
      </c>
      <c r="AW41" s="151">
        <v>6</v>
      </c>
      <c r="AX41" s="151">
        <v>0</v>
      </c>
      <c r="AY41" s="72">
        <f t="shared" si="60"/>
        <v>-33</v>
      </c>
      <c r="AZ41" s="151">
        <v>-10</v>
      </c>
      <c r="BA41" s="73">
        <v>0</v>
      </c>
      <c r="BB41" s="73">
        <v>0</v>
      </c>
      <c r="BC41" s="73">
        <v>0</v>
      </c>
      <c r="BD41" s="72">
        <f t="shared" si="61"/>
        <v>-10</v>
      </c>
      <c r="BE41" s="73">
        <v>0</v>
      </c>
      <c r="BF41" s="73">
        <v>0</v>
      </c>
      <c r="BG41" s="73">
        <v>0</v>
      </c>
      <c r="BH41" s="73">
        <v>0</v>
      </c>
      <c r="BI41" s="72">
        <f t="shared" si="62"/>
        <v>0</v>
      </c>
    </row>
    <row r="42" spans="1:63" outlineLevel="2" x14ac:dyDescent="0.2">
      <c r="A42" s="67" t="s">
        <v>212</v>
      </c>
      <c r="B42" s="71"/>
      <c r="C42" s="71">
        <v>0</v>
      </c>
      <c r="D42" s="71">
        <v>0</v>
      </c>
      <c r="E42" s="71">
        <v>0</v>
      </c>
      <c r="F42" s="72">
        <f>SUM(B42:E42)</f>
        <v>0</v>
      </c>
      <c r="G42" s="71">
        <v>0</v>
      </c>
      <c r="H42" s="71">
        <v>-1</v>
      </c>
      <c r="I42" s="71">
        <v>-1</v>
      </c>
      <c r="J42" s="71">
        <v>-2</v>
      </c>
      <c r="K42" s="72">
        <f>SUM(G42:J42)</f>
        <v>-4</v>
      </c>
      <c r="L42" s="71">
        <v>0</v>
      </c>
      <c r="M42" s="71">
        <v>0</v>
      </c>
      <c r="N42" s="71">
        <v>0</v>
      </c>
      <c r="O42" s="71">
        <v>0</v>
      </c>
      <c r="P42" s="72">
        <f>SUM(L42:O42)</f>
        <v>0</v>
      </c>
      <c r="Q42" s="71">
        <v>0</v>
      </c>
      <c r="R42" s="71">
        <v>0</v>
      </c>
      <c r="S42" s="71">
        <v>0</v>
      </c>
      <c r="T42" s="71">
        <v>0</v>
      </c>
      <c r="U42" s="72">
        <f>SUM(Q42:T42)</f>
        <v>0</v>
      </c>
      <c r="V42" s="71">
        <v>0</v>
      </c>
      <c r="W42" s="71">
        <v>0</v>
      </c>
      <c r="X42" s="71">
        <v>0</v>
      </c>
      <c r="Y42" s="71">
        <v>0</v>
      </c>
      <c r="Z42" s="72">
        <f>SUM(V42:Y42)</f>
        <v>0</v>
      </c>
      <c r="AA42" s="71">
        <v>0</v>
      </c>
      <c r="AB42" s="71">
        <v>-1</v>
      </c>
      <c r="AC42" s="71">
        <v>0</v>
      </c>
      <c r="AD42" s="71">
        <v>-3</v>
      </c>
      <c r="AE42" s="72">
        <f>SUM(AA42:AD42)</f>
        <v>-4</v>
      </c>
      <c r="AF42" s="71">
        <v>0</v>
      </c>
      <c r="AG42" s="71">
        <v>0</v>
      </c>
      <c r="AH42" s="71">
        <v>0</v>
      </c>
      <c r="AI42" s="71">
        <v>0</v>
      </c>
      <c r="AJ42" s="72">
        <f>SUM(AF42:AI42)</f>
        <v>0</v>
      </c>
      <c r="AK42" s="71">
        <v>-1</v>
      </c>
      <c r="AL42" s="151">
        <v>0</v>
      </c>
      <c r="AM42" s="151">
        <v>0</v>
      </c>
      <c r="AN42" s="151">
        <v>0</v>
      </c>
      <c r="AO42" s="72">
        <f t="shared" si="63"/>
        <v>-1</v>
      </c>
      <c r="AP42" s="151">
        <v>0</v>
      </c>
      <c r="AQ42" s="151">
        <v>0</v>
      </c>
      <c r="AR42" s="151">
        <v>0</v>
      </c>
      <c r="AS42" s="151">
        <v>0</v>
      </c>
      <c r="AT42" s="72">
        <f t="shared" si="59"/>
        <v>0</v>
      </c>
      <c r="AU42" s="151">
        <v>0</v>
      </c>
      <c r="AV42" s="73">
        <v>0</v>
      </c>
      <c r="AW42" s="151">
        <v>0</v>
      </c>
      <c r="AX42" s="151">
        <v>-1</v>
      </c>
      <c r="AY42" s="72">
        <f t="shared" si="60"/>
        <v>-1</v>
      </c>
      <c r="AZ42" s="151">
        <f>-45-1</f>
        <v>-46</v>
      </c>
      <c r="BA42" s="73">
        <v>0</v>
      </c>
      <c r="BB42" s="73">
        <v>0</v>
      </c>
      <c r="BC42" s="73">
        <v>0</v>
      </c>
      <c r="BD42" s="72">
        <f t="shared" si="61"/>
        <v>-46</v>
      </c>
      <c r="BE42" s="73">
        <v>0</v>
      </c>
      <c r="BF42" s="73">
        <v>0</v>
      </c>
      <c r="BG42" s="73">
        <v>0</v>
      </c>
      <c r="BH42" s="73">
        <v>0</v>
      </c>
      <c r="BI42" s="72">
        <f t="shared" si="62"/>
        <v>0</v>
      </c>
    </row>
    <row r="43" spans="1:63" s="69" customFormat="1" outlineLevel="2" x14ac:dyDescent="0.2">
      <c r="A43" s="69" t="s">
        <v>118</v>
      </c>
      <c r="B43" s="75">
        <v>282</v>
      </c>
      <c r="C43" s="75">
        <f>B43+SUM(C39:C42)</f>
        <v>331</v>
      </c>
      <c r="D43" s="75">
        <f t="shared" ref="D43" si="64">C43+SUM(D39:D42)</f>
        <v>333</v>
      </c>
      <c r="E43" s="75">
        <f>D43+SUM(E39:E42)</f>
        <v>342</v>
      </c>
      <c r="F43" s="76">
        <f>E43</f>
        <v>342</v>
      </c>
      <c r="G43" s="75">
        <f>F43+SUM(G39:G42)</f>
        <v>347</v>
      </c>
      <c r="H43" s="75">
        <f t="shared" ref="H43:J43" si="65">G43+SUM(H39:H42)</f>
        <v>374</v>
      </c>
      <c r="I43" s="75">
        <f t="shared" si="65"/>
        <v>383</v>
      </c>
      <c r="J43" s="75">
        <f t="shared" si="65"/>
        <v>384</v>
      </c>
      <c r="K43" s="76">
        <f>J43</f>
        <v>384</v>
      </c>
      <c r="L43" s="75">
        <f>K43+SUM(L39:L42)</f>
        <v>442</v>
      </c>
      <c r="M43" s="75">
        <f t="shared" ref="M43" si="66">L43+SUM(M39:M42)</f>
        <v>445</v>
      </c>
      <c r="N43" s="75">
        <f t="shared" ref="N43" si="67">M43+SUM(N39:N42)</f>
        <v>451</v>
      </c>
      <c r="O43" s="75">
        <f t="shared" ref="O43" si="68">N43+SUM(O39:O42)</f>
        <v>462</v>
      </c>
      <c r="P43" s="76">
        <f>O43</f>
        <v>462</v>
      </c>
      <c r="Q43" s="75">
        <f>P43+SUM(Q39:Q42)</f>
        <v>471</v>
      </c>
      <c r="R43" s="75">
        <f t="shared" ref="R43" si="69">Q43+SUM(R39:R42)</f>
        <v>483</v>
      </c>
      <c r="S43" s="75">
        <f t="shared" ref="S43" si="70">R43+SUM(S39:S42)</f>
        <v>501</v>
      </c>
      <c r="T43" s="75">
        <f t="shared" ref="T43" si="71">S43+SUM(T39:T42)</f>
        <v>519</v>
      </c>
      <c r="U43" s="76">
        <f>T43</f>
        <v>519</v>
      </c>
      <c r="V43" s="75">
        <f>U43+SUM(V39:V42)</f>
        <v>524</v>
      </c>
      <c r="W43" s="75">
        <f t="shared" ref="W43" si="72">V43+SUM(W39:W42)</f>
        <v>536</v>
      </c>
      <c r="X43" s="75">
        <f t="shared" ref="X43" si="73">W43+SUM(X39:X42)</f>
        <v>548</v>
      </c>
      <c r="Y43" s="75">
        <f t="shared" ref="Y43" si="74">X43+SUM(Y39:Y42)</f>
        <v>584</v>
      </c>
      <c r="Z43" s="76">
        <f>Y43</f>
        <v>584</v>
      </c>
      <c r="AA43" s="75">
        <f>Z43+SUM(AA39:AA42)</f>
        <v>663</v>
      </c>
      <c r="AB43" s="75">
        <f t="shared" ref="AB43" si="75">AA43+SUM(AB39:AB42)</f>
        <v>673</v>
      </c>
      <c r="AC43" s="75">
        <f t="shared" ref="AC43" si="76">AB43+SUM(AC39:AC42)</f>
        <v>698</v>
      </c>
      <c r="AD43" s="75">
        <f t="shared" ref="AD43" si="77">AC43+SUM(AD39:AD42)</f>
        <v>719</v>
      </c>
      <c r="AE43" s="76">
        <f>AD43</f>
        <v>719</v>
      </c>
      <c r="AF43" s="75">
        <v>738</v>
      </c>
      <c r="AG43" s="75">
        <f>AF43+AG39+AG40+AG41+AG42</f>
        <v>757</v>
      </c>
      <c r="AH43" s="75">
        <f>AG43+AH39+AH40+AH41+AH42</f>
        <v>772</v>
      </c>
      <c r="AI43" s="75">
        <f t="shared" ref="AI43" si="78">AH43+AI39+AI40+AI41+AI42</f>
        <v>790</v>
      </c>
      <c r="AJ43" s="76">
        <f>AI43</f>
        <v>790</v>
      </c>
      <c r="AK43" s="75">
        <f>AJ43+AK39+AK40+AK41+AK42</f>
        <v>813</v>
      </c>
      <c r="AL43" s="75">
        <f t="shared" ref="AL43:AM43" si="79">AK43+AL39+AL40+AL41+AL42</f>
        <v>832</v>
      </c>
      <c r="AM43" s="75">
        <f t="shared" si="79"/>
        <v>854</v>
      </c>
      <c r="AN43" s="152">
        <f t="shared" ref="AN43" si="80">AM43+AN39+AN40+AN41+AN42</f>
        <v>876</v>
      </c>
      <c r="AO43" s="76">
        <f t="shared" ref="AO43" si="81">AN43</f>
        <v>876</v>
      </c>
      <c r="AP43" s="152">
        <f t="shared" ref="AP43:AR43" si="82">AO43+AP39+AP40+AP41+AP42</f>
        <v>895</v>
      </c>
      <c r="AQ43" s="75">
        <f t="shared" si="82"/>
        <v>919</v>
      </c>
      <c r="AR43" s="152">
        <f t="shared" si="82"/>
        <v>937</v>
      </c>
      <c r="AS43" s="152">
        <f t="shared" ref="AS43" si="83">AR43+AS39+AS40+AS41+AS42</f>
        <v>950</v>
      </c>
      <c r="AT43" s="76">
        <f t="shared" ref="AT43" si="84">AS43</f>
        <v>950</v>
      </c>
      <c r="AU43" s="152">
        <f t="shared" ref="AU43" si="85">AT43+AU39+AU40+AU41+AU42</f>
        <v>932</v>
      </c>
      <c r="AV43" s="75">
        <f t="shared" ref="AV43" si="86">AU43+AV39+AV40+AV41+AV42</f>
        <v>950</v>
      </c>
      <c r="AW43" s="152">
        <f t="shared" ref="AW43" si="87">AV43+AW39+AW40+AW41+AW42</f>
        <v>983</v>
      </c>
      <c r="AX43" s="152">
        <f t="shared" ref="AX43" si="88">AW43+AX39+AX40+AX41+AX42</f>
        <v>1016</v>
      </c>
      <c r="AY43" s="76">
        <f t="shared" ref="AY43" si="89">AX43</f>
        <v>1016</v>
      </c>
      <c r="AZ43" s="152">
        <f t="shared" ref="AZ43" si="90">AY43+AZ39+AZ40+AZ41+AZ42</f>
        <v>1196</v>
      </c>
      <c r="BA43" s="75">
        <f t="shared" ref="BA43" si="91">AZ43+BA39+BA40+BA41+BA42</f>
        <v>1219</v>
      </c>
      <c r="BB43" s="75">
        <f t="shared" ref="BB43" si="92">BA43+BB39+BB40+BB41+BB42</f>
        <v>1242</v>
      </c>
      <c r="BC43" s="75">
        <f t="shared" ref="BC43" si="93">BB43+BC39+BC40+BC41+BC42</f>
        <v>1270</v>
      </c>
      <c r="BD43" s="76">
        <f t="shared" ref="BD43" si="94">BC43</f>
        <v>1270</v>
      </c>
      <c r="BE43" s="75">
        <f t="shared" ref="BE43" si="95">BD43+BE39+BE40+BE41+BE42</f>
        <v>1290</v>
      </c>
      <c r="BF43" s="75">
        <f t="shared" ref="BF43" si="96">BE43+BF39+BF40+BF41+BF42</f>
        <v>1310</v>
      </c>
      <c r="BG43" s="75">
        <f t="shared" ref="BG43" si="97">BF43+BG39+BG40+BG41+BG42</f>
        <v>1333</v>
      </c>
      <c r="BH43" s="75">
        <f t="shared" ref="BH43" si="98">BG43+BH39+BH40+BH41+BH42</f>
        <v>1361</v>
      </c>
      <c r="BI43" s="76">
        <f t="shared" ref="BI43" si="99">BH43</f>
        <v>1361</v>
      </c>
    </row>
    <row r="44" spans="1:63" outlineLevel="2" x14ac:dyDescent="0.2">
      <c r="F44" s="68"/>
      <c r="K44" s="68"/>
      <c r="P44" s="68"/>
      <c r="U44" s="68"/>
      <c r="Z44" s="68"/>
      <c r="AA44" s="93"/>
      <c r="AE44" s="68"/>
      <c r="AJ44" s="68"/>
      <c r="AN44" s="205"/>
      <c r="AO44" s="68"/>
      <c r="AP44" s="205"/>
      <c r="AS44" s="205"/>
      <c r="AT44" s="68"/>
      <c r="AW44" s="205"/>
      <c r="AX44" s="205"/>
      <c r="AY44" s="68"/>
      <c r="AZ44" s="227"/>
      <c r="BA44" s="174"/>
      <c r="BD44" s="68"/>
      <c r="BI44" s="68"/>
    </row>
    <row r="45" spans="1:63" outlineLevel="2" x14ac:dyDescent="0.2">
      <c r="A45" s="70" t="s">
        <v>119</v>
      </c>
      <c r="F45" s="68"/>
      <c r="K45" s="68"/>
      <c r="P45" s="68"/>
      <c r="U45" s="68"/>
      <c r="Z45" s="68"/>
      <c r="AE45" s="68"/>
      <c r="AJ45" s="68"/>
      <c r="AN45" s="205"/>
      <c r="AO45" s="68"/>
      <c r="AP45" s="205"/>
      <c r="AS45" s="205"/>
      <c r="AT45" s="68"/>
      <c r="AW45" s="205"/>
      <c r="AX45" s="205"/>
      <c r="AY45" s="68"/>
      <c r="BD45" s="68"/>
      <c r="BI45" s="68"/>
      <c r="BK45" s="224"/>
    </row>
    <row r="46" spans="1:63" outlineLevel="2" x14ac:dyDescent="0.2">
      <c r="A46" s="67" t="s">
        <v>209</v>
      </c>
      <c r="B46" s="71"/>
      <c r="C46" s="71">
        <v>6</v>
      </c>
      <c r="D46" s="71">
        <v>4</v>
      </c>
      <c r="E46" s="71">
        <v>12</v>
      </c>
      <c r="F46" s="72">
        <f>SUM(B46:E46)</f>
        <v>22</v>
      </c>
      <c r="G46" s="71">
        <v>10</v>
      </c>
      <c r="H46" s="71">
        <v>7</v>
      </c>
      <c r="I46" s="71">
        <v>6</v>
      </c>
      <c r="J46" s="71">
        <v>15</v>
      </c>
      <c r="K46" s="72">
        <f>SUM(G46:J46)</f>
        <v>38</v>
      </c>
      <c r="L46" s="71">
        <v>11</v>
      </c>
      <c r="M46" s="71">
        <v>2</v>
      </c>
      <c r="N46" s="71">
        <v>10</v>
      </c>
      <c r="O46" s="71">
        <v>5</v>
      </c>
      <c r="P46" s="72">
        <f>SUM(L46:O46)</f>
        <v>28</v>
      </c>
      <c r="Q46" s="71">
        <v>24</v>
      </c>
      <c r="R46" s="71">
        <v>15</v>
      </c>
      <c r="S46" s="71">
        <v>11</v>
      </c>
      <c r="T46" s="71">
        <v>15</v>
      </c>
      <c r="U46" s="72">
        <f>SUM(Q46:T46)</f>
        <v>65</v>
      </c>
      <c r="V46" s="71">
        <v>13</v>
      </c>
      <c r="W46" s="71">
        <v>8</v>
      </c>
      <c r="X46" s="71">
        <v>8</v>
      </c>
      <c r="Y46" s="71">
        <v>7</v>
      </c>
      <c r="Z46" s="72">
        <f>SUM(V46:Y46)</f>
        <v>36</v>
      </c>
      <c r="AA46" s="71">
        <v>0</v>
      </c>
      <c r="AB46" s="71">
        <v>2</v>
      </c>
      <c r="AC46" s="71">
        <v>0</v>
      </c>
      <c r="AD46" s="71">
        <v>0</v>
      </c>
      <c r="AE46" s="72">
        <f>SUM(AA46:AD46)</f>
        <v>2</v>
      </c>
      <c r="AF46" s="71">
        <v>25</v>
      </c>
      <c r="AG46" s="71">
        <v>9</v>
      </c>
      <c r="AH46" s="71">
        <v>16</v>
      </c>
      <c r="AI46" s="71">
        <v>10</v>
      </c>
      <c r="AJ46" s="72">
        <f>SUM(AF46:AI46)</f>
        <v>60</v>
      </c>
      <c r="AK46" s="71">
        <v>11</v>
      </c>
      <c r="AL46" s="151">
        <v>16</v>
      </c>
      <c r="AM46" s="151">
        <v>3</v>
      </c>
      <c r="AN46" s="151">
        <v>26</v>
      </c>
      <c r="AO46" s="72">
        <f t="shared" ref="AO46:AO49" si="100">SUM(AK46:AN46)</f>
        <v>56</v>
      </c>
      <c r="AP46" s="151">
        <v>19</v>
      </c>
      <c r="AQ46" s="151">
        <v>15</v>
      </c>
      <c r="AR46" s="151">
        <v>15</v>
      </c>
      <c r="AS46" s="151">
        <v>13</v>
      </c>
      <c r="AT46" s="72">
        <f t="shared" ref="AT46:AT49" si="101">SUM(AP46:AS46)</f>
        <v>62</v>
      </c>
      <c r="AU46" s="151">
        <v>14</v>
      </c>
      <c r="AV46" s="151">
        <v>17</v>
      </c>
      <c r="AW46" s="151">
        <v>19</v>
      </c>
      <c r="AX46" s="151">
        <v>24</v>
      </c>
      <c r="AY46" s="72">
        <f t="shared" ref="AY46:AY49" si="102">SUM(AU46:AX46)</f>
        <v>74</v>
      </c>
      <c r="AZ46" s="151">
        <v>13</v>
      </c>
      <c r="BA46" s="178">
        <v>20</v>
      </c>
      <c r="BB46" s="178">
        <v>24</v>
      </c>
      <c r="BC46" s="178">
        <v>30</v>
      </c>
      <c r="BD46" s="72">
        <f t="shared" ref="BD46:BD49" si="103">SUM(AZ46:BC46)</f>
        <v>87</v>
      </c>
      <c r="BE46" s="178">
        <v>25</v>
      </c>
      <c r="BF46" s="178">
        <v>25</v>
      </c>
      <c r="BG46" s="178">
        <v>30</v>
      </c>
      <c r="BH46" s="178">
        <v>30</v>
      </c>
      <c r="BI46" s="72">
        <f t="shared" ref="BI46:BI49" si="104">SUM(BE46:BH46)</f>
        <v>110</v>
      </c>
    </row>
    <row r="47" spans="1:63" outlineLevel="2" x14ac:dyDescent="0.2">
      <c r="A47" s="67" t="s">
        <v>210</v>
      </c>
      <c r="B47" s="71"/>
      <c r="C47" s="71">
        <v>42</v>
      </c>
      <c r="D47" s="71">
        <v>0</v>
      </c>
      <c r="E47" s="71">
        <v>0</v>
      </c>
      <c r="F47" s="72">
        <f>SUM(B47:E47)</f>
        <v>42</v>
      </c>
      <c r="G47" s="71">
        <v>0</v>
      </c>
      <c r="H47" s="71">
        <v>0</v>
      </c>
      <c r="I47" s="71">
        <v>0</v>
      </c>
      <c r="J47" s="71">
        <v>0</v>
      </c>
      <c r="K47" s="72">
        <f>SUM(G47:J47)</f>
        <v>0</v>
      </c>
      <c r="L47" s="71">
        <v>0</v>
      </c>
      <c r="M47" s="71">
        <v>0</v>
      </c>
      <c r="N47" s="71">
        <v>0</v>
      </c>
      <c r="O47" s="71">
        <v>73</v>
      </c>
      <c r="P47" s="72">
        <f>SUM(L47:O47)</f>
        <v>73</v>
      </c>
      <c r="Q47" s="71">
        <v>31</v>
      </c>
      <c r="R47" s="71">
        <v>0</v>
      </c>
      <c r="S47" s="71">
        <v>0</v>
      </c>
      <c r="T47" s="71">
        <v>0</v>
      </c>
      <c r="U47" s="72">
        <f>SUM(Q47:T47)</f>
        <v>31</v>
      </c>
      <c r="V47" s="71">
        <v>4</v>
      </c>
      <c r="W47" s="71">
        <v>0</v>
      </c>
      <c r="X47" s="71">
        <v>0</v>
      </c>
      <c r="Y47" s="71">
        <v>0</v>
      </c>
      <c r="Z47" s="72">
        <f>SUM(V47:Y47)</f>
        <v>4</v>
      </c>
      <c r="AA47" s="71">
        <v>0</v>
      </c>
      <c r="AB47" s="71">
        <v>3</v>
      </c>
      <c r="AC47" s="71">
        <v>0</v>
      </c>
      <c r="AD47" s="71">
        <v>4</v>
      </c>
      <c r="AE47" s="72">
        <f>SUM(AA47:AD47)</f>
        <v>7</v>
      </c>
      <c r="AF47" s="71">
        <v>0</v>
      </c>
      <c r="AG47" s="71">
        <v>0</v>
      </c>
      <c r="AH47" s="71">
        <v>0</v>
      </c>
      <c r="AI47" s="71">
        <v>0</v>
      </c>
      <c r="AJ47" s="72">
        <f>SUM(AF47:AI47)</f>
        <v>0</v>
      </c>
      <c r="AK47" s="71">
        <v>0</v>
      </c>
      <c r="AL47" s="151">
        <v>0</v>
      </c>
      <c r="AM47" s="151">
        <v>0</v>
      </c>
      <c r="AN47" s="151">
        <v>0</v>
      </c>
      <c r="AO47" s="72">
        <f t="shared" si="100"/>
        <v>0</v>
      </c>
      <c r="AP47" s="151">
        <v>0</v>
      </c>
      <c r="AQ47" s="151">
        <v>0</v>
      </c>
      <c r="AR47" s="151">
        <v>0</v>
      </c>
      <c r="AS47" s="151">
        <v>0</v>
      </c>
      <c r="AT47" s="72">
        <f t="shared" si="101"/>
        <v>0</v>
      </c>
      <c r="AU47" s="151">
        <v>0</v>
      </c>
      <c r="AV47" s="151">
        <v>0</v>
      </c>
      <c r="AW47" s="151">
        <v>0</v>
      </c>
      <c r="AX47" s="151">
        <v>0</v>
      </c>
      <c r="AY47" s="72">
        <f t="shared" si="102"/>
        <v>0</v>
      </c>
      <c r="AZ47" s="151">
        <v>0</v>
      </c>
      <c r="BA47" s="73">
        <v>0</v>
      </c>
      <c r="BB47" s="73">
        <v>0</v>
      </c>
      <c r="BC47" s="73">
        <v>0</v>
      </c>
      <c r="BD47" s="72">
        <f t="shared" si="103"/>
        <v>0</v>
      </c>
      <c r="BE47" s="73">
        <v>0</v>
      </c>
      <c r="BF47" s="73">
        <v>0</v>
      </c>
      <c r="BG47" s="73">
        <v>0</v>
      </c>
      <c r="BH47" s="73">
        <v>0</v>
      </c>
      <c r="BI47" s="72">
        <f t="shared" si="104"/>
        <v>0</v>
      </c>
      <c r="BK47" s="174"/>
    </row>
    <row r="48" spans="1:63" outlineLevel="2" x14ac:dyDescent="0.2">
      <c r="A48" s="67" t="s">
        <v>211</v>
      </c>
      <c r="B48" s="71"/>
      <c r="C48" s="71">
        <v>-1</v>
      </c>
      <c r="D48" s="71">
        <v>-1</v>
      </c>
      <c r="E48" s="71">
        <v>-7</v>
      </c>
      <c r="F48" s="72">
        <f>SUM(B48:E48)</f>
        <v>-9</v>
      </c>
      <c r="G48" s="71">
        <v>-5</v>
      </c>
      <c r="H48" s="71"/>
      <c r="I48" s="71">
        <v>-9</v>
      </c>
      <c r="J48" s="71"/>
      <c r="K48" s="72">
        <f>SUM(G48:J48)</f>
        <v>-14</v>
      </c>
      <c r="L48" s="71">
        <v>-56</v>
      </c>
      <c r="M48" s="71">
        <v>-1</v>
      </c>
      <c r="N48" s="71">
        <v>-1</v>
      </c>
      <c r="O48" s="71">
        <v>0</v>
      </c>
      <c r="P48" s="72">
        <f>SUM(L48:O48)</f>
        <v>-58</v>
      </c>
      <c r="Q48" s="71">
        <v>-4</v>
      </c>
      <c r="R48" s="71">
        <v>0</v>
      </c>
      <c r="S48" s="71">
        <v>-1</v>
      </c>
      <c r="T48" s="71">
        <v>0</v>
      </c>
      <c r="U48" s="72">
        <f>SUM(Q48:T48)</f>
        <v>-5</v>
      </c>
      <c r="V48" s="71">
        <v>0</v>
      </c>
      <c r="W48" s="71">
        <v>-4</v>
      </c>
      <c r="X48" s="71">
        <v>-5</v>
      </c>
      <c r="Y48" s="71">
        <v>-12</v>
      </c>
      <c r="Z48" s="72">
        <f>SUM(V48:Y48)</f>
        <v>-21</v>
      </c>
      <c r="AA48" s="71">
        <v>-7</v>
      </c>
      <c r="AB48" s="71">
        <v>0</v>
      </c>
      <c r="AC48" s="71">
        <v>-3</v>
      </c>
      <c r="AD48" s="71">
        <v>0</v>
      </c>
      <c r="AE48" s="72">
        <f>SUM(AA48:AD48)</f>
        <v>-10</v>
      </c>
      <c r="AF48" s="71">
        <v>0</v>
      </c>
      <c r="AG48" s="71">
        <v>0</v>
      </c>
      <c r="AH48" s="71">
        <v>-1</v>
      </c>
      <c r="AI48" s="71">
        <v>-3</v>
      </c>
      <c r="AJ48" s="72">
        <f>SUM(AF48:AI48)</f>
        <v>-4</v>
      </c>
      <c r="AK48" s="71">
        <v>-2</v>
      </c>
      <c r="AL48" s="151">
        <v>0</v>
      </c>
      <c r="AM48" s="151">
        <v>-2</v>
      </c>
      <c r="AN48" s="151">
        <v>0</v>
      </c>
      <c r="AO48" s="72">
        <f t="shared" si="100"/>
        <v>-4</v>
      </c>
      <c r="AP48" s="151">
        <v>0</v>
      </c>
      <c r="AQ48" s="151">
        <v>0</v>
      </c>
      <c r="AR48" s="151">
        <v>0</v>
      </c>
      <c r="AS48" s="151">
        <v>23</v>
      </c>
      <c r="AT48" s="72">
        <f t="shared" si="101"/>
        <v>23</v>
      </c>
      <c r="AU48" s="151">
        <v>39</v>
      </c>
      <c r="AV48" s="151">
        <v>0</v>
      </c>
      <c r="AW48" s="151">
        <v>-6</v>
      </c>
      <c r="AX48" s="151">
        <v>0</v>
      </c>
      <c r="AY48" s="72">
        <f t="shared" si="102"/>
        <v>33</v>
      </c>
      <c r="AZ48" s="151">
        <v>10</v>
      </c>
      <c r="BA48" s="73">
        <v>0</v>
      </c>
      <c r="BB48" s="73">
        <v>0</v>
      </c>
      <c r="BC48" s="73">
        <v>0</v>
      </c>
      <c r="BD48" s="72">
        <f t="shared" si="103"/>
        <v>10</v>
      </c>
      <c r="BE48" s="73">
        <v>0</v>
      </c>
      <c r="BF48" s="73">
        <v>0</v>
      </c>
      <c r="BG48" s="73">
        <v>0</v>
      </c>
      <c r="BH48" s="73">
        <v>0</v>
      </c>
      <c r="BI48" s="72">
        <f t="shared" si="104"/>
        <v>0</v>
      </c>
    </row>
    <row r="49" spans="1:63" outlineLevel="2" x14ac:dyDescent="0.2">
      <c r="A49" s="67" t="s">
        <v>212</v>
      </c>
      <c r="B49" s="71"/>
      <c r="C49" s="71">
        <v>0</v>
      </c>
      <c r="D49" s="71">
        <v>-2</v>
      </c>
      <c r="E49" s="71">
        <v>-1</v>
      </c>
      <c r="F49" s="72">
        <f>SUM(B49:E49)</f>
        <v>-3</v>
      </c>
      <c r="G49" s="71">
        <v>-2</v>
      </c>
      <c r="H49" s="71">
        <v>-2</v>
      </c>
      <c r="I49" s="71">
        <v>-1</v>
      </c>
      <c r="J49" s="71">
        <v>-2</v>
      </c>
      <c r="K49" s="72">
        <f>SUM(G49:J49)</f>
        <v>-7</v>
      </c>
      <c r="L49" s="71">
        <v>-1</v>
      </c>
      <c r="M49" s="71">
        <v>-2</v>
      </c>
      <c r="N49" s="71">
        <v>-2</v>
      </c>
      <c r="O49" s="71">
        <v>-1</v>
      </c>
      <c r="P49" s="72">
        <f>SUM(L49:O49)</f>
        <v>-6</v>
      </c>
      <c r="Q49" s="71">
        <v>-1</v>
      </c>
      <c r="R49" s="71">
        <v>-1</v>
      </c>
      <c r="S49" s="71">
        <v>-3</v>
      </c>
      <c r="T49" s="71">
        <v>0</v>
      </c>
      <c r="U49" s="72">
        <f>SUM(Q49:T49)</f>
        <v>-5</v>
      </c>
      <c r="V49" s="71">
        <v>0</v>
      </c>
      <c r="W49" s="71">
        <v>-4</v>
      </c>
      <c r="X49" s="71">
        <v>-2</v>
      </c>
      <c r="Y49" s="71">
        <v>-1</v>
      </c>
      <c r="Z49" s="72">
        <f>SUM(V49:Y49)</f>
        <v>-7</v>
      </c>
      <c r="AA49" s="71">
        <v>-1</v>
      </c>
      <c r="AB49" s="71">
        <v>0</v>
      </c>
      <c r="AC49" s="71">
        <v>-1</v>
      </c>
      <c r="AD49" s="71">
        <v>0</v>
      </c>
      <c r="AE49" s="72">
        <f>SUM(AA49:AD49)</f>
        <v>-2</v>
      </c>
      <c r="AF49" s="71">
        <v>-3</v>
      </c>
      <c r="AG49" s="71">
        <v>-2</v>
      </c>
      <c r="AH49" s="71">
        <v>-1</v>
      </c>
      <c r="AI49" s="71">
        <v>0</v>
      </c>
      <c r="AJ49" s="72">
        <f>SUM(AF49:AI49)</f>
        <v>-6</v>
      </c>
      <c r="AK49" s="71">
        <v>-1</v>
      </c>
      <c r="AL49" s="151">
        <v>0</v>
      </c>
      <c r="AM49" s="151">
        <v>0</v>
      </c>
      <c r="AN49" s="151">
        <v>0</v>
      </c>
      <c r="AO49" s="72">
        <f t="shared" si="100"/>
        <v>-1</v>
      </c>
      <c r="AP49" s="151">
        <v>0</v>
      </c>
      <c r="AQ49" s="151">
        <v>-1</v>
      </c>
      <c r="AR49" s="151">
        <v>0</v>
      </c>
      <c r="AS49" s="151">
        <v>0</v>
      </c>
      <c r="AT49" s="72">
        <f t="shared" si="101"/>
        <v>-1</v>
      </c>
      <c r="AU49" s="151">
        <v>0</v>
      </c>
      <c r="AV49" s="151">
        <v>-2</v>
      </c>
      <c r="AW49" s="151">
        <v>0</v>
      </c>
      <c r="AX49" s="151">
        <v>-1</v>
      </c>
      <c r="AY49" s="72">
        <f t="shared" si="102"/>
        <v>-3</v>
      </c>
      <c r="AZ49" s="151">
        <v>-3</v>
      </c>
      <c r="BA49" s="73">
        <v>0</v>
      </c>
      <c r="BB49" s="73">
        <v>0</v>
      </c>
      <c r="BC49" s="73">
        <v>0</v>
      </c>
      <c r="BD49" s="72">
        <f t="shared" si="103"/>
        <v>-3</v>
      </c>
      <c r="BE49" s="73">
        <v>0</v>
      </c>
      <c r="BF49" s="73">
        <v>0</v>
      </c>
      <c r="BG49" s="73">
        <v>0</v>
      </c>
      <c r="BH49" s="73">
        <v>0</v>
      </c>
      <c r="BI49" s="72">
        <f t="shared" si="104"/>
        <v>0</v>
      </c>
    </row>
    <row r="50" spans="1:63" s="69" customFormat="1" outlineLevel="2" x14ac:dyDescent="0.2">
      <c r="A50" s="69" t="s">
        <v>118</v>
      </c>
      <c r="B50" s="75">
        <v>674</v>
      </c>
      <c r="C50" s="75">
        <f>B50+SUM(C46:C49)</f>
        <v>721</v>
      </c>
      <c r="D50" s="75">
        <f t="shared" ref="D50:E50" si="105">C50+SUM(D46:D49)</f>
        <v>722</v>
      </c>
      <c r="E50" s="75">
        <f t="shared" si="105"/>
        <v>726</v>
      </c>
      <c r="F50" s="76">
        <f>E50</f>
        <v>726</v>
      </c>
      <c r="G50" s="75">
        <f>F50+SUM(G46:G49)</f>
        <v>729</v>
      </c>
      <c r="H50" s="75">
        <f t="shared" ref="H50:I50" si="106">G50+SUM(H46:H49)</f>
        <v>734</v>
      </c>
      <c r="I50" s="75">
        <f t="shared" si="106"/>
        <v>730</v>
      </c>
      <c r="J50" s="75">
        <f>I50+SUM(J46:J49)</f>
        <v>743</v>
      </c>
      <c r="K50" s="76">
        <f>J50</f>
        <v>743</v>
      </c>
      <c r="L50" s="75">
        <f>K50+SUM(L46:L49)</f>
        <v>697</v>
      </c>
      <c r="M50" s="75">
        <f t="shared" ref="M50" si="107">L50+SUM(M46:M49)</f>
        <v>696</v>
      </c>
      <c r="N50" s="75">
        <f t="shared" ref="N50" si="108">M50+SUM(N46:N49)</f>
        <v>703</v>
      </c>
      <c r="O50" s="75">
        <f>N50+SUM(O46:O49)</f>
        <v>780</v>
      </c>
      <c r="P50" s="76">
        <f>O50</f>
        <v>780</v>
      </c>
      <c r="Q50" s="75">
        <f>P50+SUM(Q46:Q49)</f>
        <v>830</v>
      </c>
      <c r="R50" s="75">
        <f t="shared" ref="R50" si="109">Q50+SUM(R46:R49)</f>
        <v>844</v>
      </c>
      <c r="S50" s="75">
        <f t="shared" ref="S50" si="110">R50+SUM(S46:S49)</f>
        <v>851</v>
      </c>
      <c r="T50" s="75">
        <f>S50+SUM(T46:T49)</f>
        <v>866</v>
      </c>
      <c r="U50" s="76">
        <f>T50</f>
        <v>866</v>
      </c>
      <c r="V50" s="75">
        <f>U50+SUM(V46:V49)</f>
        <v>883</v>
      </c>
      <c r="W50" s="75">
        <f t="shared" ref="W50" si="111">V50+SUM(W46:W49)</f>
        <v>883</v>
      </c>
      <c r="X50" s="75">
        <f t="shared" ref="X50" si="112">W50+SUM(X46:X49)</f>
        <v>884</v>
      </c>
      <c r="Y50" s="75">
        <f>X50+SUM(Y46:Y49)</f>
        <v>878</v>
      </c>
      <c r="Z50" s="76">
        <f>Y50</f>
        <v>878</v>
      </c>
      <c r="AA50" s="75">
        <f>Z50+SUM(AA46:AA49)</f>
        <v>870</v>
      </c>
      <c r="AB50" s="75">
        <f t="shared" ref="AB50" si="113">AA50+SUM(AB46:AB49)</f>
        <v>875</v>
      </c>
      <c r="AC50" s="75">
        <f t="shared" ref="AC50" si="114">AB50+SUM(AC46:AC49)</f>
        <v>871</v>
      </c>
      <c r="AD50" s="75">
        <f>AC50+SUM(AD46:AD49)</f>
        <v>875</v>
      </c>
      <c r="AE50" s="76">
        <f>AD50</f>
        <v>875</v>
      </c>
      <c r="AF50" s="75">
        <v>897</v>
      </c>
      <c r="AG50" s="75">
        <f>AF50+AG46+AG47+AG48+AG49</f>
        <v>904</v>
      </c>
      <c r="AH50" s="75">
        <f t="shared" ref="AH50:AI50" si="115">AG50+AH46+AH47+AH48+AH49</f>
        <v>918</v>
      </c>
      <c r="AI50" s="75">
        <f t="shared" si="115"/>
        <v>925</v>
      </c>
      <c r="AJ50" s="76">
        <f>AI50</f>
        <v>925</v>
      </c>
      <c r="AK50" s="75">
        <f>AJ50+AK46+AK47+AK48+AK49</f>
        <v>933</v>
      </c>
      <c r="AL50" s="152">
        <f t="shared" ref="AL50" si="116">AK50+AL46+AL47+AL48+AL49</f>
        <v>949</v>
      </c>
      <c r="AM50" s="75">
        <f t="shared" ref="AM50" si="117">AL50+AM46+AM47+AM48+AM49</f>
        <v>950</v>
      </c>
      <c r="AN50" s="152">
        <f t="shared" ref="AN50" si="118">AM50+AN46+AN47+AN48+AN49</f>
        <v>976</v>
      </c>
      <c r="AO50" s="76">
        <f t="shared" ref="AO50" si="119">AN50</f>
        <v>976</v>
      </c>
      <c r="AP50" s="152">
        <f t="shared" ref="AP50:AQ50" si="120">AO50+AP46+AP47+AP48+AP49</f>
        <v>995</v>
      </c>
      <c r="AQ50" s="75">
        <f t="shared" si="120"/>
        <v>1009</v>
      </c>
      <c r="AR50" s="152">
        <f t="shared" ref="AR50" si="121">AQ50+AR46+AR47+AR48+AR49</f>
        <v>1024</v>
      </c>
      <c r="AS50" s="152">
        <f t="shared" ref="AS50" si="122">AR50+AS46+AS47+AS48+AS49</f>
        <v>1060</v>
      </c>
      <c r="AT50" s="76">
        <f t="shared" ref="AT50" si="123">AS50</f>
        <v>1060</v>
      </c>
      <c r="AU50" s="152">
        <f t="shared" ref="AU50" si="124">AT50+AU46+AU47+AU48+AU49</f>
        <v>1113</v>
      </c>
      <c r="AV50" s="75">
        <f t="shared" ref="AV50" si="125">AU50+AV46+AV47+AV48+AV49</f>
        <v>1128</v>
      </c>
      <c r="AW50" s="152">
        <f t="shared" ref="AW50" si="126">AV50+AW46+AW47+AW48+AW49</f>
        <v>1141</v>
      </c>
      <c r="AX50" s="152">
        <f t="shared" ref="AX50" si="127">AW50+AX46+AX47+AX48+AX49</f>
        <v>1164</v>
      </c>
      <c r="AY50" s="76">
        <f t="shared" ref="AY50" si="128">AX50</f>
        <v>1164</v>
      </c>
      <c r="AZ50" s="152">
        <f t="shared" ref="AZ50" si="129">AY50+AZ46+AZ47+AZ48+AZ49</f>
        <v>1184</v>
      </c>
      <c r="BA50" s="75">
        <f t="shared" ref="BA50" si="130">AZ50+BA46+BA47+BA48+BA49</f>
        <v>1204</v>
      </c>
      <c r="BB50" s="75">
        <f t="shared" ref="BB50" si="131">BA50+BB46+BB47+BB48+BB49</f>
        <v>1228</v>
      </c>
      <c r="BC50" s="75">
        <f t="shared" ref="BC50" si="132">BB50+BC46+BC47+BC48+BC49</f>
        <v>1258</v>
      </c>
      <c r="BD50" s="76">
        <f t="shared" ref="BD50" si="133">BC50</f>
        <v>1258</v>
      </c>
      <c r="BE50" s="75">
        <f t="shared" ref="BE50" si="134">BD50+BE46+BE47+BE48+BE49</f>
        <v>1283</v>
      </c>
      <c r="BF50" s="75">
        <f t="shared" ref="BF50" si="135">BE50+BF46+BF47+BF48+BF49</f>
        <v>1308</v>
      </c>
      <c r="BG50" s="75">
        <f t="shared" ref="BG50" si="136">BF50+BG46+BG47+BG48+BG49</f>
        <v>1338</v>
      </c>
      <c r="BH50" s="75">
        <f t="shared" ref="BH50" si="137">BG50+BH46+BH47+BH48+BH49</f>
        <v>1368</v>
      </c>
      <c r="BI50" s="76">
        <f t="shared" ref="BI50" si="138">BH50</f>
        <v>1368</v>
      </c>
    </row>
    <row r="51" spans="1:63" outlineLevel="2" x14ac:dyDescent="0.2">
      <c r="F51" s="68"/>
      <c r="K51" s="68"/>
      <c r="P51" s="68"/>
      <c r="U51" s="68"/>
      <c r="Z51" s="68"/>
      <c r="AE51" s="68"/>
      <c r="AJ51" s="68"/>
      <c r="AN51" s="205"/>
      <c r="AO51" s="68"/>
      <c r="AP51" s="205"/>
      <c r="AT51" s="68"/>
      <c r="AX51" s="205"/>
      <c r="AY51" s="68"/>
      <c r="BD51" s="68"/>
      <c r="BI51" s="68"/>
    </row>
    <row r="52" spans="1:63" s="69" customFormat="1" outlineLevel="2" x14ac:dyDescent="0.2">
      <c r="A52" s="170" t="s">
        <v>120</v>
      </c>
      <c r="B52" s="171">
        <f>B43+B50</f>
        <v>956</v>
      </c>
      <c r="C52" s="171">
        <f t="shared" ref="C52:E52" si="139">C43+C50</f>
        <v>1052</v>
      </c>
      <c r="D52" s="171">
        <f t="shared" si="139"/>
        <v>1055</v>
      </c>
      <c r="E52" s="171">
        <f t="shared" si="139"/>
        <v>1068</v>
      </c>
      <c r="F52" s="172">
        <f>F50+F43</f>
        <v>1068</v>
      </c>
      <c r="G52" s="171">
        <f>G43+G50</f>
        <v>1076</v>
      </c>
      <c r="H52" s="171">
        <f t="shared" ref="H52:J52" si="140">H43+H50</f>
        <v>1108</v>
      </c>
      <c r="I52" s="171">
        <f t="shared" si="140"/>
        <v>1113</v>
      </c>
      <c r="J52" s="171">
        <f t="shared" si="140"/>
        <v>1127</v>
      </c>
      <c r="K52" s="172">
        <f>K50+K43</f>
        <v>1127</v>
      </c>
      <c r="L52" s="171">
        <f>L43+L50</f>
        <v>1139</v>
      </c>
      <c r="M52" s="171">
        <f t="shared" ref="M52:O52" si="141">M43+M50</f>
        <v>1141</v>
      </c>
      <c r="N52" s="171">
        <f t="shared" si="141"/>
        <v>1154</v>
      </c>
      <c r="O52" s="171">
        <f t="shared" si="141"/>
        <v>1242</v>
      </c>
      <c r="P52" s="172">
        <f>P50+P43</f>
        <v>1242</v>
      </c>
      <c r="Q52" s="171">
        <f>Q43+Q50</f>
        <v>1301</v>
      </c>
      <c r="R52" s="171">
        <f t="shared" ref="R52:T52" si="142">R43+R50</f>
        <v>1327</v>
      </c>
      <c r="S52" s="171">
        <f t="shared" si="142"/>
        <v>1352</v>
      </c>
      <c r="T52" s="171">
        <f t="shared" si="142"/>
        <v>1385</v>
      </c>
      <c r="U52" s="172">
        <f>U50+U43</f>
        <v>1385</v>
      </c>
      <c r="V52" s="171">
        <f>V43+V50</f>
        <v>1407</v>
      </c>
      <c r="W52" s="171">
        <f t="shared" ref="W52:Y52" si="143">W43+W50</f>
        <v>1419</v>
      </c>
      <c r="X52" s="171">
        <f t="shared" si="143"/>
        <v>1432</v>
      </c>
      <c r="Y52" s="171">
        <f t="shared" si="143"/>
        <v>1462</v>
      </c>
      <c r="Z52" s="172">
        <f>Z50+Z43</f>
        <v>1462</v>
      </c>
      <c r="AA52" s="171">
        <f>AA43+AA50</f>
        <v>1533</v>
      </c>
      <c r="AB52" s="171">
        <f t="shared" ref="AB52:AD52" si="144">AB43+AB50</f>
        <v>1548</v>
      </c>
      <c r="AC52" s="171">
        <f t="shared" si="144"/>
        <v>1569</v>
      </c>
      <c r="AD52" s="171">
        <f t="shared" si="144"/>
        <v>1594</v>
      </c>
      <c r="AE52" s="172">
        <f>AE50+AE43</f>
        <v>1594</v>
      </c>
      <c r="AF52" s="171">
        <f>AF50+AF43</f>
        <v>1635</v>
      </c>
      <c r="AG52" s="171">
        <f t="shared" ref="AG52:AK52" si="145">AG50+AG43</f>
        <v>1661</v>
      </c>
      <c r="AH52" s="171">
        <f t="shared" si="145"/>
        <v>1690</v>
      </c>
      <c r="AI52" s="171">
        <f t="shared" si="145"/>
        <v>1715</v>
      </c>
      <c r="AJ52" s="172">
        <f>AJ50+AJ43</f>
        <v>1715</v>
      </c>
      <c r="AK52" s="171">
        <f t="shared" si="145"/>
        <v>1746</v>
      </c>
      <c r="AL52" s="171">
        <f t="shared" ref="AL52:AT52" si="146">AL50+AL43</f>
        <v>1781</v>
      </c>
      <c r="AM52" s="171">
        <f t="shared" si="146"/>
        <v>1804</v>
      </c>
      <c r="AN52" s="206">
        <f t="shared" si="146"/>
        <v>1852</v>
      </c>
      <c r="AO52" s="172">
        <f t="shared" si="146"/>
        <v>1852</v>
      </c>
      <c r="AP52" s="206">
        <f t="shared" si="146"/>
        <v>1890</v>
      </c>
      <c r="AQ52" s="171">
        <f t="shared" si="146"/>
        <v>1928</v>
      </c>
      <c r="AR52" s="171">
        <f t="shared" si="146"/>
        <v>1961</v>
      </c>
      <c r="AS52" s="171">
        <f t="shared" si="146"/>
        <v>2010</v>
      </c>
      <c r="AT52" s="172">
        <f t="shared" si="146"/>
        <v>2010</v>
      </c>
      <c r="AU52" s="206">
        <f t="shared" ref="AU52:AY52" si="147">AU50+AU43</f>
        <v>2045</v>
      </c>
      <c r="AV52" s="171">
        <f t="shared" si="147"/>
        <v>2078</v>
      </c>
      <c r="AW52" s="171">
        <f t="shared" si="147"/>
        <v>2124</v>
      </c>
      <c r="AX52" s="206">
        <f t="shared" si="147"/>
        <v>2180</v>
      </c>
      <c r="AY52" s="172">
        <f t="shared" si="147"/>
        <v>2180</v>
      </c>
      <c r="AZ52" s="206">
        <f t="shared" ref="AZ52:BD52" si="148">AZ50+AZ43</f>
        <v>2380</v>
      </c>
      <c r="BA52" s="171">
        <f t="shared" si="148"/>
        <v>2423</v>
      </c>
      <c r="BB52" s="171">
        <f t="shared" si="148"/>
        <v>2470</v>
      </c>
      <c r="BC52" s="171">
        <f t="shared" si="148"/>
        <v>2528</v>
      </c>
      <c r="BD52" s="172">
        <f t="shared" si="148"/>
        <v>2528</v>
      </c>
      <c r="BE52" s="171">
        <f t="shared" ref="BE52:BI52" si="149">BE50+BE43</f>
        <v>2573</v>
      </c>
      <c r="BF52" s="171">
        <f t="shared" si="149"/>
        <v>2618</v>
      </c>
      <c r="BG52" s="171">
        <f t="shared" si="149"/>
        <v>2671</v>
      </c>
      <c r="BH52" s="171">
        <f t="shared" si="149"/>
        <v>2729</v>
      </c>
      <c r="BI52" s="172">
        <f t="shared" si="149"/>
        <v>2729</v>
      </c>
      <c r="BK52" s="223"/>
    </row>
    <row r="53" spans="1:63" outlineLevel="2" x14ac:dyDescent="0.2">
      <c r="F53" s="68"/>
      <c r="K53" s="68"/>
      <c r="P53" s="68"/>
      <c r="U53" s="68"/>
      <c r="Z53" s="68"/>
      <c r="AE53" s="68"/>
      <c r="AJ53" s="68"/>
      <c r="AO53" s="68"/>
      <c r="AT53" s="68"/>
      <c r="AY53" s="68"/>
      <c r="AZ53" s="209"/>
      <c r="BD53" s="68"/>
      <c r="BI53" s="68"/>
    </row>
    <row r="54" spans="1:63" outlineLevel="2" x14ac:dyDescent="0.2">
      <c r="A54" s="70" t="s">
        <v>193</v>
      </c>
      <c r="F54" s="68"/>
      <c r="K54" s="68"/>
      <c r="P54" s="68"/>
      <c r="U54" s="68"/>
      <c r="Z54" s="68"/>
      <c r="AE54" s="68"/>
      <c r="AJ54" s="68"/>
      <c r="AO54" s="68"/>
      <c r="AT54" s="68"/>
      <c r="AY54" s="68"/>
      <c r="BD54" s="68"/>
      <c r="BI54" s="68"/>
      <c r="BK54" s="175"/>
    </row>
    <row r="55" spans="1:63" outlineLevel="2" x14ac:dyDescent="0.2">
      <c r="A55" s="67" t="s">
        <v>213</v>
      </c>
      <c r="F55" s="68"/>
      <c r="K55" s="68"/>
      <c r="P55" s="68"/>
      <c r="U55" s="68"/>
      <c r="Z55" s="68"/>
      <c r="AE55" s="68"/>
      <c r="AF55" s="96">
        <f>AA59*(1+(AF83/100))</f>
        <v>524.98699999999997</v>
      </c>
      <c r="AG55" s="96">
        <f>AB59*(1+(AG83/100))</f>
        <v>529.30799999999999</v>
      </c>
      <c r="AH55" s="96">
        <f>AC59*(1+(AH83/100))</f>
        <v>578.07399999999996</v>
      </c>
      <c r="AI55" s="96">
        <f>AD59*(1+(AI83/100))</f>
        <v>605.7324000000001</v>
      </c>
      <c r="AJ55" s="97"/>
      <c r="AK55" s="96">
        <f>AF59*(1+(AK83/100))</f>
        <v>616.45709999999997</v>
      </c>
      <c r="AL55" s="96">
        <f>AG59*(1+(AL83/100))</f>
        <v>632.19500000000005</v>
      </c>
      <c r="AM55" s="96">
        <f>AH59*(1+(AM83/100))</f>
        <v>686.69999999999993</v>
      </c>
      <c r="AN55" s="96">
        <f>AI59*(1+(AN83/100))</f>
        <v>706.09</v>
      </c>
      <c r="AO55" s="68"/>
      <c r="AP55" s="96">
        <f>AK59*(1+(AP83/100))</f>
        <v>689.72399999999993</v>
      </c>
      <c r="AQ55" s="213">
        <f>AL59*(1+(AQ83/100))</f>
        <v>710.71229999999991</v>
      </c>
      <c r="AR55" s="96">
        <f>AM59*(1+(AR83/100))</f>
        <v>766.37400000000002</v>
      </c>
      <c r="AS55" s="96">
        <f>AN59*(1+(AS83/100))</f>
        <v>778.16819999999996</v>
      </c>
      <c r="AT55" s="68"/>
      <c r="AU55" s="218">
        <f>AP59*(1+(AU83/100))</f>
        <v>780.60403432762837</v>
      </c>
      <c r="AV55" s="218">
        <f>AQ59*(1+(AV83/100))</f>
        <v>789.2028935514918</v>
      </c>
      <c r="AW55" s="218">
        <f>AR59*(1+(AW83/100))</f>
        <v>847.84258446327692</v>
      </c>
      <c r="AX55" s="218">
        <f>AS59*(1+(AX83/100))</f>
        <v>876.30332256880729</v>
      </c>
      <c r="AY55" s="68"/>
      <c r="AZ55" s="218">
        <f>AU59*(1+(AZ83/100))</f>
        <v>867.87739999999997</v>
      </c>
      <c r="BA55" s="96">
        <f>AV59*(1+(BA83/100))</f>
        <v>869.66680520016496</v>
      </c>
      <c r="BB55" s="96">
        <f>AW59*(1+(BB83/100))</f>
        <v>940.7646056680162</v>
      </c>
      <c r="BC55" s="96">
        <f>AX59*(1+(BC83/100))</f>
        <v>964.79009873417715</v>
      </c>
      <c r="BD55" s="68"/>
      <c r="BE55" s="96">
        <f>AZ59*(1+(BE83/100))</f>
        <v>956.39408177225016</v>
      </c>
      <c r="BF55" s="96">
        <f>BA59*(1+(BF83/100))</f>
        <v>986.49363937440205</v>
      </c>
      <c r="BG55" s="96">
        <f>BB59*(1+(BG83/100))</f>
        <v>1056.2241369857868</v>
      </c>
      <c r="BH55" s="96">
        <f>BC59*(1+(BH83/100))</f>
        <v>1095.824172495953</v>
      </c>
      <c r="BI55" s="68"/>
    </row>
    <row r="56" spans="1:63" outlineLevel="2" x14ac:dyDescent="0.2">
      <c r="A56" s="67" t="s">
        <v>214</v>
      </c>
      <c r="F56" s="68"/>
      <c r="K56" s="68"/>
      <c r="P56" s="68"/>
      <c r="U56" s="68"/>
      <c r="Z56" s="68"/>
      <c r="AE56" s="68"/>
      <c r="AF56" s="96">
        <f>AF59-AF55</f>
        <v>25.913000000000011</v>
      </c>
      <c r="AG56" s="96">
        <f>AG59-AG55</f>
        <v>27.692000000000007</v>
      </c>
      <c r="AH56" s="96">
        <f>AH59-AH55</f>
        <v>32.326000000000022</v>
      </c>
      <c r="AI56" s="96">
        <f>AI59-AI55</f>
        <v>36.167599999999879</v>
      </c>
      <c r="AJ56" s="97"/>
      <c r="AK56" s="96">
        <f>AK59-AK55</f>
        <v>27.542900000000031</v>
      </c>
      <c r="AL56" s="96">
        <f>AL59-AL55</f>
        <v>27.704999999999927</v>
      </c>
      <c r="AM56" s="96">
        <f>AM59-AM55</f>
        <v>32.900000000000091</v>
      </c>
      <c r="AN56" s="96">
        <f>AN59-AN55</f>
        <v>32.209999999999923</v>
      </c>
      <c r="AO56" s="68"/>
      <c r="AP56" s="96">
        <f>AP59-AP55</f>
        <v>33.176000000000045</v>
      </c>
      <c r="AQ56" s="96">
        <f>AQ59-AQ55</f>
        <v>35.387700000000109</v>
      </c>
      <c r="AR56" s="96">
        <f>AR59-AR55</f>
        <v>42.125999999999976</v>
      </c>
      <c r="AS56" s="96">
        <f>AS59-AS55</f>
        <v>48.631799999999998</v>
      </c>
      <c r="AT56" s="68"/>
      <c r="AU56" s="218">
        <f>AU59-AU55</f>
        <v>39.695965672371585</v>
      </c>
      <c r="AV56" s="218">
        <f>AV59-AV55</f>
        <v>36.297106448508202</v>
      </c>
      <c r="AW56" s="218">
        <f>AW59-AW55</f>
        <v>41.757415536723101</v>
      </c>
      <c r="AX56" s="218">
        <f>AX59-AX55</f>
        <v>42.096677431192688</v>
      </c>
      <c r="AY56" s="68"/>
      <c r="AZ56" s="218">
        <f>AZ59-AZ55</f>
        <v>55.722600000000057</v>
      </c>
      <c r="BA56" s="96">
        <f>(BA57*(BA39+BA40+BA41+BA46+BA47+AZ39+AZ40+AZ41+AZ46+AZ47+AX39+AX40+AX41+AX46+AX47+AW39+AW40+AW41+AW46+AW47))+(BA57*(BA42+AZ42+AX42+AW42+BA49+AZ49+AX49+AW49))</f>
        <v>78.430000000000007</v>
      </c>
      <c r="BB56" s="96">
        <f>(BB57*(BB39+BB40+BB41+BB46+BB47+BA39+BA40+BA41+BA46+BA47+AZ39+AZ40+AZ41+AZ46+AZ47+AX39+AX40+AX41+AX46+AX47))+(BB57*(BB42+BA42+AZ42+AX42+BB49+BA49+AZ49+AX49))</f>
        <v>77.28</v>
      </c>
      <c r="BC56" s="96">
        <f>(BC57*(BC39+BC40+BC41+BC46+BC47+BB39+BB40+BB41+BB46+BB47+BA39+BA40+BA41+BA46+BA47+AZ39+AZ40+AZ41+AZ46+AZ47))+(BC57*(BC42+BB42+BA42+AZ42+BC49+BB49+BA49+AZ49))</f>
        <v>87.88000000000001</v>
      </c>
      <c r="BD56" s="68"/>
      <c r="BE56" s="96">
        <f>(BE57*(BE39+BE40+BE41+BE46+BE47+BC39+BC40+BC41+BC46+BC47+BB39+BB40+BB41+BB46+BB47+BA39+BA40+BA41+BA46+BA47))+(BE57*(BE42+BC42+BB42+BA42+BE49+BC49+BB49+BA49))</f>
        <v>46.32</v>
      </c>
      <c r="BF56" s="96">
        <f>(BF57*(BF39+BF40+BF41+BF46+BF47+BE39+BE40+BE41+BE46+BE47+BC39+BC40+BC41+BC46+BC47+BB39+BB40+BB41+BB46+BB47))+(BF57*(BF42+BE42+BC42+BB42+BF49+BE49+BC49+BB49))</f>
        <v>48.75</v>
      </c>
      <c r="BG56" s="96">
        <f>(BG57*(BG39+BG40+BG41+BG46+BG47+BF39+BF40+BF41+BF46+BF47+BE39+BE40+BE41+BE46+BE47+BC39+BC40+BC41+BC46+BC47))+(BG57*(BG42+BF42+BE42+BC42+BG49+BF49+BE49+BC49))</f>
        <v>56.280000000000008</v>
      </c>
      <c r="BH56" s="96">
        <f>(BH57*(BH39+BH40+BH41+BH46+BH47+BG39+BG40+BG41+BG46+BG47+BF39+BF40+BF41+BF46+BF47+BE39+BE40+BE41+BE46+BE47))+(BH57*(BH42+BG42+BF42+BE42+BH49+BG49+BF49+BE49))</f>
        <v>44.22</v>
      </c>
      <c r="BI56" s="68"/>
    </row>
    <row r="57" spans="1:63" outlineLevel="2" x14ac:dyDescent="0.2">
      <c r="A57" s="67" t="s">
        <v>215</v>
      </c>
      <c r="F57" s="68"/>
      <c r="K57" s="68"/>
      <c r="P57" s="68"/>
      <c r="U57" s="68"/>
      <c r="Z57" s="68"/>
      <c r="AE57" s="68"/>
      <c r="AF57" s="191">
        <f>AF56/((AF39+AF40+AF41+AD41+AD40+AD39+AC39+AC40+AC41+AB41+AB40+AB39+AF46+AD46+AC46+AB46+AF47+AD47+AC47+AB47)+(AF42+AD42+AC42+AB42+AF49+AD49+AC49+AB49))</f>
        <v>0.24679047619047628</v>
      </c>
      <c r="AG57" s="191">
        <f>AG56/((AG39+AG40+AG41+AF41+AF40+AF39+AD39+AD40+AD41+AC41+AC40+AC39+AG46+AF46+AD46+AC46+AG47+AF47+AD47+AC47)+(AG42+AF42+AD42+AC42+AG49+AF49+AD49+AC49))</f>
        <v>0.23872413793103456</v>
      </c>
      <c r="AH57" s="191">
        <f>AH56/((AH39+AH40+AH41+AG41+AG40+AG39+AF39+AF40+AF41+AD41+AD40+AD39+AH46+AG46+AF46+AD46+AH47+AG47+AF47+AD47)+(AH42+AG42+AF42+AD42+AH49+AG49+AF49+AD49))</f>
        <v>0.2649672131147543</v>
      </c>
      <c r="AI57" s="191">
        <f>AI56/((AI39+AI40+AI41+AH41+AH40+AH39+AG39+AG40+AG41+AF41+AF40+AF39+AI46+AH46+AG46+AF46+AI47+AH47+AG47+AF47)+(AI42+AH42+AG42+AF42+AI49+AH49+AG49+AF49))</f>
        <v>0.28934079999999901</v>
      </c>
      <c r="AJ57" s="97"/>
      <c r="AK57" s="191">
        <f>AK56/((AK39+AK40+AK41+AI41+AI40+AI39+AH39+AH40+AH41+AG41+AG40+AG39+AK46+AI46+AH46+AG46+AK47+AI47+AH47+AG47)+(AK42+AI42+AH42+AG42+AK49+AI49+AH49+AG49))</f>
        <v>0.23540940170940197</v>
      </c>
      <c r="AL57" s="191">
        <f>AL56/((AL39+AL40+AL41+AK41+AK40+AK39+AI39+AI40+AI41+AH41+AH40+AH39+AL46+AK46+AI46+AH46+AL47+AK47+AI47+AH47)+(AL42+AK42+AI42+AH42+AL49+AK49+AI49+AH49))</f>
        <v>0.21988095238095182</v>
      </c>
      <c r="AM57" s="191">
        <f>AM56/((AM39+AM40+AM41+AL41+AL40+AL39+AK39+AK40+AK41+AI41+AI40+AI39+AM46+AL46+AK46+AI46+AM47+AL47+AK47+AI47)+(AM42+AL42+AK42+AI42+AM49+AL49+AK49+AI49))</f>
        <v>0.27190082644628172</v>
      </c>
      <c r="AN57" s="191">
        <f>AN56/((AN39+AN40+AN41+AM41+AM40+AM39+AL39+AL40+AL41+AK41+AK40+AK39+AN46+AM46+AL46+AK46+AN47+AM47+AL47+AK47)+(AN42+AM42+AL42+AK42+AN49+AM49+AL49+AK49))</f>
        <v>0.2284397163120562</v>
      </c>
      <c r="AO57" s="68"/>
      <c r="AP57" s="191">
        <f>AP56/((AP39+AP40+AP41+AN41+AN40+AN39+AM39+AM40+AM41+AL41+AL40+AL39+AP46+AN46+AM46+AL46+AP47+AN47+AM47+AL47)+(AP42+AN42+AM42+AL42+AP49+AN49+AM49+AL49))</f>
        <v>0.22723287671232908</v>
      </c>
      <c r="AQ57" s="191">
        <f>AQ56/((AQ39+AQ40+AQ41+AP41+AP40+AP39+AN39+AN40+AN41+AM41+AM40+AM39+AQ46+AP46+AN46+AM46+AQ47+AP47+AN47+AM47)+(AQ42+AP42+AN42+AM42+AQ49+AP49+AN49+AM49))</f>
        <v>0.23750134228187991</v>
      </c>
      <c r="AR57" s="191">
        <f>AR56/((AR39+AR40+AR41+AQ41+AQ40+AQ39+AP39+AP40+AP41+AN41+AN40+AN39+AR46+AQ46+AP46+AN46+AR47+AQ47+AP47+AN47)+(AR42+AQ42+AP42+AN42+AR49+AQ49+AP49+AN49))</f>
        <v>0.26831847133757947</v>
      </c>
      <c r="AS57" s="191">
        <f>AS56/((AS39+AS40+AS41+AR41+AR40+AR39+AQ39+AQ40+AQ41+AO41+AO40+AO39+AS46+AR46+AQ46+AO46+AS47+AR47+AQ47+AO47)+(AS42+AR42+AQ42+AO42+AS49+AR49+AQ49+AO49))</f>
        <v>0.20433529411764706</v>
      </c>
      <c r="AT57" s="68"/>
      <c r="AU57" s="221">
        <f>AU56/((AU39+AU40+AU41+AS41+AS40+AS39+AR39+AR40+AR41+AQ41+AQ40+AQ39+AU46+AS46+AR46+AQ46+AU47+AS47+AR47+AQ47)+(AU42+AS42+AR42+AQ42+AU49+AS49+AR49+AQ49))</f>
        <v>0.4268383405631353</v>
      </c>
      <c r="AV57" s="221">
        <f>AV56/((AV39+AV40+AV41+AT41+AT40+AT39+AS39+AS40+AS41+AR41+AR40+AR39+AV46+AT46+AS46+AR46+AV47+AT47+AS47+AR47)+(AV42+AT42+AS42+AR42+AV49+AT49+AS49+AR49))</f>
        <v>0.1598991473502564</v>
      </c>
      <c r="AW57" s="221">
        <f>AW56/((AW39+AW40+AW41+AU41+AU40+AU39+AT39+AT40+AT41+AS41+AS40+AS39+AW46+AU46+AT46+AS46+AW47+AU47+AT47+AS47)+(AW42+AU42+AT42+AS42+AW49+AU49+AT49+AS49))</f>
        <v>0.19979624658719186</v>
      </c>
      <c r="AX57" s="221">
        <f>AX56/((AX39+AX40+AX41+AV41+AV40+AV39+AU39+AU40+AU41+AT41+AT40+AT39+AX46+AV46+AU46+AT46+AX47+AV47+AU47+AT47)+(AX42+AV42+AU42+AT42+AX49+AV49+AU49+AT49))</f>
        <v>0.19134853377814859</v>
      </c>
      <c r="AY57" s="68"/>
      <c r="AZ57" s="221">
        <f>AZ56/((AZ39+AZ40+AZ41+AX41+AX40+AX39+AW39+AW40+AW41+AV41+AV40+AV39+AZ46+AX46+AW46+AV46+AZ47+AX47+AW47+AV47)+(AZ42+AX42+AW42+AV42+AZ49+AX49+AW49+AV49))</f>
        <v>0.16834622356495485</v>
      </c>
      <c r="BA57" s="199">
        <v>0.23</v>
      </c>
      <c r="BB57" s="199">
        <v>0.23</v>
      </c>
      <c r="BC57" s="199">
        <v>0.26</v>
      </c>
      <c r="BD57" s="68"/>
      <c r="BE57" s="199">
        <v>0.24</v>
      </c>
      <c r="BF57" s="199">
        <v>0.25</v>
      </c>
      <c r="BG57" s="199">
        <v>0.28000000000000003</v>
      </c>
      <c r="BH57" s="199">
        <v>0.22</v>
      </c>
      <c r="BI57" s="68"/>
    </row>
    <row r="58" spans="1:63" outlineLevel="2" x14ac:dyDescent="0.2">
      <c r="F58" s="68"/>
      <c r="K58" s="68"/>
      <c r="P58" s="68"/>
      <c r="U58" s="68"/>
      <c r="Z58" s="68"/>
      <c r="AE58" s="68"/>
      <c r="AJ58" s="68"/>
      <c r="AO58" s="68"/>
      <c r="AP58" s="174"/>
      <c r="AT58" s="68"/>
      <c r="AY58" s="68"/>
      <c r="BD58" s="68"/>
      <c r="BI58" s="68"/>
    </row>
    <row r="59" spans="1:63" outlineLevel="2" x14ac:dyDescent="0.2">
      <c r="A59" s="69" t="s">
        <v>185</v>
      </c>
      <c r="F59" s="144">
        <v>880</v>
      </c>
      <c r="K59" s="144">
        <v>1024</v>
      </c>
      <c r="P59" s="144">
        <v>1161</v>
      </c>
      <c r="U59" s="144">
        <v>1419</v>
      </c>
      <c r="Z59" s="144">
        <v>1520</v>
      </c>
      <c r="AA59" s="83">
        <v>421</v>
      </c>
      <c r="AB59" s="83">
        <v>468</v>
      </c>
      <c r="AC59" s="83">
        <v>526</v>
      </c>
      <c r="AD59" s="83">
        <v>554.70000000000005</v>
      </c>
      <c r="AE59" s="144">
        <f>SUM(AA59:AD59)</f>
        <v>1969.7</v>
      </c>
      <c r="AF59" s="83">
        <v>550.9</v>
      </c>
      <c r="AG59" s="83">
        <v>557</v>
      </c>
      <c r="AH59" s="83">
        <v>610.4</v>
      </c>
      <c r="AI59" s="83">
        <v>641.9</v>
      </c>
      <c r="AJ59" s="144">
        <f>SUM(AF59:AI59)</f>
        <v>2360.2000000000003</v>
      </c>
      <c r="AK59" s="83">
        <v>644</v>
      </c>
      <c r="AL59" s="83">
        <v>659.9</v>
      </c>
      <c r="AM59" s="83">
        <v>719.6</v>
      </c>
      <c r="AN59" s="83">
        <v>738.3</v>
      </c>
      <c r="AO59" s="144">
        <f>SUM(AK59:AN59)</f>
        <v>2761.8</v>
      </c>
      <c r="AP59" s="83">
        <v>722.9</v>
      </c>
      <c r="AQ59" s="83">
        <v>746.1</v>
      </c>
      <c r="AR59" s="83">
        <v>808.5</v>
      </c>
      <c r="AS59" s="83">
        <v>826.8</v>
      </c>
      <c r="AT59" s="144">
        <f>SUM(AP59:AS59)</f>
        <v>3104.3</v>
      </c>
      <c r="AU59" s="150">
        <v>820.3</v>
      </c>
      <c r="AV59" s="83">
        <v>825.5</v>
      </c>
      <c r="AW59" s="83">
        <v>889.6</v>
      </c>
      <c r="AX59" s="83">
        <v>918.4</v>
      </c>
      <c r="AY59" s="144">
        <f>SUM(AU59:AX59)</f>
        <v>3453.8</v>
      </c>
      <c r="AZ59" s="150">
        <v>923.6</v>
      </c>
      <c r="BA59" s="83">
        <f>BA56+BA55</f>
        <v>948.09680520016491</v>
      </c>
      <c r="BB59" s="83">
        <f>BB56+BB55</f>
        <v>1018.0446056680162</v>
      </c>
      <c r="BC59" s="83">
        <f>BC56+BC55</f>
        <v>1052.6700987341771</v>
      </c>
      <c r="BD59" s="144">
        <f>SUM(AZ59:BC59)</f>
        <v>3942.4115096023579</v>
      </c>
      <c r="BE59" s="83">
        <f>BE56+BE55</f>
        <v>1002.7140817722502</v>
      </c>
      <c r="BF59" s="83">
        <f>BF56+BF55</f>
        <v>1035.2436393744019</v>
      </c>
      <c r="BG59" s="83">
        <f>BG56+BG55</f>
        <v>1112.5041369857868</v>
      </c>
      <c r="BH59" s="83">
        <f>BH56+BH55</f>
        <v>1140.044172495953</v>
      </c>
      <c r="BI59" s="144">
        <f>SUM(BE59:BH59)</f>
        <v>4290.5060306283922</v>
      </c>
    </row>
    <row r="60" spans="1:63" outlineLevel="2" x14ac:dyDescent="0.2">
      <c r="A60" s="67" t="s">
        <v>216</v>
      </c>
      <c r="F60" s="99"/>
      <c r="K60" s="99">
        <f t="shared" ref="K60" si="150">K59/F59-1</f>
        <v>0.16363636363636358</v>
      </c>
      <c r="P60" s="99">
        <f t="shared" ref="P60" si="151">P59/K59-1</f>
        <v>0.1337890625</v>
      </c>
      <c r="U60" s="99">
        <f t="shared" ref="U60" si="152">U59/P59-1</f>
        <v>0.22222222222222232</v>
      </c>
      <c r="Z60" s="99">
        <f t="shared" ref="Z60" si="153">Z59/U59-1</f>
        <v>7.1176885130373568E-2</v>
      </c>
      <c r="AA60" s="98"/>
      <c r="AB60" s="98"/>
      <c r="AC60" s="98"/>
      <c r="AD60" s="98"/>
      <c r="AE60" s="99">
        <f t="shared" ref="AE60:AJ60" si="154">AE59/Z59-1</f>
        <v>0.29585526315789479</v>
      </c>
      <c r="AF60" s="98">
        <f>AF59/AA59-1</f>
        <v>0.30855106888361039</v>
      </c>
      <c r="AG60" s="98">
        <f t="shared" si="154"/>
        <v>0.19017094017094016</v>
      </c>
      <c r="AH60" s="98">
        <f t="shared" si="154"/>
        <v>0.16045627376425853</v>
      </c>
      <c r="AI60" s="98">
        <f t="shared" si="154"/>
        <v>0.15720209122047946</v>
      </c>
      <c r="AJ60" s="99">
        <f t="shared" si="154"/>
        <v>0.19825354114839833</v>
      </c>
      <c r="AK60" s="98">
        <f>AK59/AF59-1</f>
        <v>0.16899618805590855</v>
      </c>
      <c r="AL60" s="98">
        <f>AL59/AG59-1</f>
        <v>0.18473967684021542</v>
      </c>
      <c r="AM60" s="98">
        <f>AM59/AH59-1</f>
        <v>0.17889908256880749</v>
      </c>
      <c r="AN60" s="98">
        <f t="shared" ref="AN60:AO60" si="155">AN59/AI59-1</f>
        <v>0.15017915563171824</v>
      </c>
      <c r="AO60" s="99">
        <f t="shared" si="155"/>
        <v>0.17015507160410137</v>
      </c>
      <c r="AP60" s="98">
        <f>AP59/AK59-1</f>
        <v>0.12251552795031051</v>
      </c>
      <c r="AQ60" s="98">
        <f>AQ59/AL59-1</f>
        <v>0.13062585240187907</v>
      </c>
      <c r="AR60" s="98">
        <f t="shared" ref="AR60" si="156">AR59/AM59-1</f>
        <v>0.12354085603112841</v>
      </c>
      <c r="AS60" s="98">
        <f t="shared" ref="AS60" si="157">AS59/AN59-1</f>
        <v>0.11986997155627788</v>
      </c>
      <c r="AT60" s="99">
        <f t="shared" ref="AT60" si="158">AT59/AO59-1</f>
        <v>0.12401332464334858</v>
      </c>
      <c r="AU60" s="220">
        <f>AU59/AP59-1</f>
        <v>0.13473509475722789</v>
      </c>
      <c r="AV60" s="98">
        <f>AV59/AQ59-1</f>
        <v>0.10642005093151052</v>
      </c>
      <c r="AW60" s="98">
        <f>AW59/AR59-1</f>
        <v>0.10030921459492892</v>
      </c>
      <c r="AX60" s="98">
        <f t="shared" ref="AX60" si="159">AX59/AS59-1</f>
        <v>0.11078858248669565</v>
      </c>
      <c r="AY60" s="99">
        <f t="shared" ref="AY60" si="160">AY59/AT59-1</f>
        <v>0.11258576812808041</v>
      </c>
      <c r="AZ60" s="220">
        <f>AZ59/AU59-1</f>
        <v>0.12592953797391204</v>
      </c>
      <c r="BA60" s="98">
        <f>BA59/AV59-1</f>
        <v>0.14851218073914585</v>
      </c>
      <c r="BB60" s="98">
        <f t="shared" ref="BB60" si="161">BB59/AW59-1</f>
        <v>0.14438467363760799</v>
      </c>
      <c r="BC60" s="98">
        <f t="shared" ref="BC60" si="162">BC59/AX59-1</f>
        <v>0.14620002039871216</v>
      </c>
      <c r="BD60" s="99">
        <f t="shared" ref="BD60" si="163">BD59/AY59-1</f>
        <v>0.14147070172052745</v>
      </c>
      <c r="BE60" s="98">
        <f>BE59/AZ59-1</f>
        <v>8.5658382170041403E-2</v>
      </c>
      <c r="BF60" s="98">
        <f>BF59/BA59-1</f>
        <v>9.1917654079467503E-2</v>
      </c>
      <c r="BG60" s="98">
        <f t="shared" ref="BG60" si="164">BG59/BB59-1</f>
        <v>9.2785257926678577E-2</v>
      </c>
      <c r="BH60" s="98">
        <f t="shared" ref="BH60" si="165">BH59/BC59-1</f>
        <v>8.300233270313484E-2</v>
      </c>
      <c r="BI60" s="99">
        <f t="shared" ref="BI60" si="166">BI59/BD59-1</f>
        <v>8.8294821628385423E-2</v>
      </c>
    </row>
    <row r="61" spans="1:63" outlineLevel="2" x14ac:dyDescent="0.2">
      <c r="A61" s="67" t="s">
        <v>217</v>
      </c>
      <c r="F61" s="149">
        <f t="shared" ref="F61" si="167">F59/F52</f>
        <v>0.82397003745318353</v>
      </c>
      <c r="K61" s="149">
        <f t="shared" ref="K61" si="168">K59/K52</f>
        <v>0.90860692102928131</v>
      </c>
      <c r="P61" s="149">
        <f t="shared" ref="P61" si="169">P59/P52</f>
        <v>0.93478260869565222</v>
      </c>
      <c r="U61" s="149">
        <f t="shared" ref="U61" si="170">U59/U52</f>
        <v>1.0245487364620938</v>
      </c>
      <c r="Z61" s="149">
        <f t="shared" ref="Z61:AT61" si="171">Z59/Z52</f>
        <v>1.0396716826265391</v>
      </c>
      <c r="AA61" s="147">
        <f t="shared" si="171"/>
        <v>0.27462491846053488</v>
      </c>
      <c r="AB61" s="147">
        <f t="shared" si="171"/>
        <v>0.30232558139534882</v>
      </c>
      <c r="AC61" s="147">
        <f t="shared" si="171"/>
        <v>0.33524537922243469</v>
      </c>
      <c r="AD61" s="147">
        <f t="shared" si="171"/>
        <v>0.34799247176913428</v>
      </c>
      <c r="AE61" s="149">
        <f t="shared" si="171"/>
        <v>1.2356963613550815</v>
      </c>
      <c r="AF61" s="147">
        <f t="shared" si="171"/>
        <v>0.33694189602446484</v>
      </c>
      <c r="AG61" s="147">
        <f t="shared" si="171"/>
        <v>0.3353401565322095</v>
      </c>
      <c r="AH61" s="147">
        <f t="shared" si="171"/>
        <v>0.36118343195266273</v>
      </c>
      <c r="AI61" s="147">
        <f t="shared" si="171"/>
        <v>0.37428571428571428</v>
      </c>
      <c r="AJ61" s="149">
        <f t="shared" si="171"/>
        <v>1.3762099125364433</v>
      </c>
      <c r="AK61" s="147">
        <f t="shared" si="171"/>
        <v>0.36884306987399773</v>
      </c>
      <c r="AL61" s="147">
        <f>AL59/AL52</f>
        <v>0.37052217855137559</v>
      </c>
      <c r="AM61" s="147">
        <f t="shared" si="171"/>
        <v>0.39889135254988917</v>
      </c>
      <c r="AN61" s="147">
        <f t="shared" si="171"/>
        <v>0.39865010799136069</v>
      </c>
      <c r="AO61" s="149">
        <f t="shared" si="171"/>
        <v>1.4912526997840174</v>
      </c>
      <c r="AP61" s="147">
        <f t="shared" si="171"/>
        <v>0.38248677248677249</v>
      </c>
      <c r="AQ61" s="147">
        <f t="shared" si="171"/>
        <v>0.38698132780082989</v>
      </c>
      <c r="AR61" s="147">
        <f t="shared" si="171"/>
        <v>0.41228964813870472</v>
      </c>
      <c r="AS61" s="147">
        <f t="shared" si="171"/>
        <v>0.41134328358208955</v>
      </c>
      <c r="AT61" s="149">
        <f t="shared" si="171"/>
        <v>1.5444278606965176</v>
      </c>
      <c r="AU61" s="59">
        <f t="shared" ref="AU61" si="172">AU59/AU52</f>
        <v>0.40112469437652809</v>
      </c>
      <c r="AV61" s="147">
        <f t="shared" ref="AV61:AY61" si="173">AV59/AV52</f>
        <v>0.39725697786333014</v>
      </c>
      <c r="AW61" s="147">
        <f t="shared" ref="AW61" si="174">AW59/AW52</f>
        <v>0.41883239171374764</v>
      </c>
      <c r="AX61" s="147">
        <f t="shared" si="173"/>
        <v>0.42128440366972475</v>
      </c>
      <c r="AY61" s="149">
        <f t="shared" si="173"/>
        <v>1.5843119266055046</v>
      </c>
      <c r="AZ61" s="59">
        <f>AZ59/AZ52</f>
        <v>0.38806722689075629</v>
      </c>
      <c r="BA61" s="147">
        <f t="shared" ref="BA61:BD61" si="175">BA59/BA52</f>
        <v>0.39129046851017951</v>
      </c>
      <c r="BB61" s="147">
        <f t="shared" si="175"/>
        <v>0.41216380796275959</v>
      </c>
      <c r="BC61" s="147">
        <f t="shared" si="175"/>
        <v>0.4164043112081397</v>
      </c>
      <c r="BD61" s="149">
        <f t="shared" si="175"/>
        <v>1.5594982237351098</v>
      </c>
      <c r="BE61" s="147">
        <f t="shared" ref="BE61:BI61" si="176">BE59/BE52</f>
        <v>0.38970621133783528</v>
      </c>
      <c r="BF61" s="147">
        <f t="shared" si="176"/>
        <v>0.39543301733170433</v>
      </c>
      <c r="BG61" s="147">
        <f t="shared" si="176"/>
        <v>0.41651221901377267</v>
      </c>
      <c r="BH61" s="147">
        <f t="shared" si="176"/>
        <v>0.41775162055549764</v>
      </c>
      <c r="BI61" s="149">
        <f t="shared" si="176"/>
        <v>1.5721898243416608</v>
      </c>
    </row>
    <row r="62" spans="1:63" outlineLevel="2" x14ac:dyDescent="0.2">
      <c r="F62" s="68"/>
      <c r="K62" s="68"/>
      <c r="P62" s="68"/>
      <c r="U62" s="68"/>
      <c r="Z62" s="68"/>
      <c r="AE62" s="68"/>
      <c r="AJ62" s="68"/>
      <c r="AO62" s="68"/>
      <c r="AT62" s="68"/>
      <c r="AY62" s="68"/>
      <c r="AZ62" s="209"/>
      <c r="BD62" s="68"/>
      <c r="BI62" s="68"/>
    </row>
    <row r="63" spans="1:63" outlineLevel="2" x14ac:dyDescent="0.2">
      <c r="A63" s="67" t="s">
        <v>218</v>
      </c>
      <c r="F63" s="68"/>
      <c r="K63" s="68"/>
      <c r="P63" s="68"/>
      <c r="U63" s="68"/>
      <c r="Z63" s="68"/>
      <c r="AA63" s="96">
        <f>AA61*AA43</f>
        <v>182.07632093933464</v>
      </c>
      <c r="AB63" s="96">
        <f>AB61*AB43</f>
        <v>203.46511627906975</v>
      </c>
      <c r="AC63" s="96">
        <f>AC61*AC43</f>
        <v>234.00127469725942</v>
      </c>
      <c r="AD63" s="96">
        <f>AD61*AD43</f>
        <v>250.20658720200754</v>
      </c>
      <c r="AE63" s="97"/>
      <c r="AF63" s="96">
        <f>AF61*AF43</f>
        <v>248.66311926605505</v>
      </c>
      <c r="AG63" s="96">
        <f>AG61*AG43</f>
        <v>253.85249849488258</v>
      </c>
      <c r="AH63" s="96">
        <f>AH61*AH43</f>
        <v>278.83360946745563</v>
      </c>
      <c r="AI63" s="96">
        <f>AI61*AI43</f>
        <v>295.68571428571425</v>
      </c>
      <c r="AJ63" s="144">
        <f>SUM(AF63:AI63)</f>
        <v>1077.0349415141075</v>
      </c>
      <c r="AK63" s="96">
        <f>AK61*AK43</f>
        <v>299.86941580756013</v>
      </c>
      <c r="AL63" s="96">
        <f>AL61*AL43</f>
        <v>308.27445255474447</v>
      </c>
      <c r="AM63" s="96">
        <f>AM61*AM43</f>
        <v>340.65321507760535</v>
      </c>
      <c r="AN63" s="96">
        <f>AN61*AN43</f>
        <v>349.21749460043196</v>
      </c>
      <c r="AO63" s="144">
        <f>SUM(AK63:AN63)</f>
        <v>1298.014578040342</v>
      </c>
      <c r="AP63" s="96">
        <f>AP61*AP43</f>
        <v>342.32566137566135</v>
      </c>
      <c r="AQ63" s="96">
        <f>AQ61*AQ43</f>
        <v>355.63584024896267</v>
      </c>
      <c r="AR63" s="96">
        <f>AR61*AR43</f>
        <v>386.31540030596631</v>
      </c>
      <c r="AS63" s="96">
        <f>AS61*AS43</f>
        <v>390.77611940298505</v>
      </c>
      <c r="AT63" s="144">
        <f>SUM(AP63:AS63)</f>
        <v>1475.0530213335755</v>
      </c>
      <c r="AU63" s="218">
        <f>AU61*AU43</f>
        <v>373.84821515892418</v>
      </c>
      <c r="AV63" s="218">
        <f>AV61*AV43</f>
        <v>377.39412897016365</v>
      </c>
      <c r="AW63" s="218">
        <f>AW61*AW43</f>
        <v>411.71224105461391</v>
      </c>
      <c r="AX63" s="218">
        <f>AX61*AX43</f>
        <v>428.02495412844036</v>
      </c>
      <c r="AY63" s="144">
        <f>SUM(AU63:AX63)</f>
        <v>1590.9795393121422</v>
      </c>
      <c r="AZ63" s="218">
        <f>AZ61*AZ43</f>
        <v>464.12840336134451</v>
      </c>
      <c r="BA63" s="96">
        <f>BA61*BA43</f>
        <v>476.98308111390884</v>
      </c>
      <c r="BB63" s="96">
        <f>BB61*BB43</f>
        <v>511.90744948974742</v>
      </c>
      <c r="BC63" s="96">
        <f>BC61*BC43</f>
        <v>528.83347523433747</v>
      </c>
      <c r="BD63" s="144">
        <f>SUM(AZ63:BC63)</f>
        <v>1981.8524091993381</v>
      </c>
      <c r="BE63" s="96">
        <f>BE61*BE43</f>
        <v>502.72101262580753</v>
      </c>
      <c r="BF63" s="96">
        <f>BF61*BF43</f>
        <v>518.01725270453267</v>
      </c>
      <c r="BG63" s="96">
        <f>BG61*BG43</f>
        <v>555.21078794535902</v>
      </c>
      <c r="BH63" s="96">
        <f>BH61*BH43</f>
        <v>568.55995557603228</v>
      </c>
      <c r="BI63" s="144">
        <f>SUM(BE63:BH63)</f>
        <v>2144.5090088517318</v>
      </c>
    </row>
    <row r="64" spans="1:63" outlineLevel="2" x14ac:dyDescent="0.2">
      <c r="A64" s="67" t="s">
        <v>219</v>
      </c>
      <c r="F64" s="68"/>
      <c r="K64" s="68"/>
      <c r="P64" s="68"/>
      <c r="U64" s="68"/>
      <c r="Z64" s="68"/>
      <c r="AA64" s="96">
        <f>AA61*AA50</f>
        <v>238.92367906066534</v>
      </c>
      <c r="AB64" s="96">
        <f>AB61*AB50</f>
        <v>264.53488372093022</v>
      </c>
      <c r="AC64" s="96">
        <f>AC61*AC50</f>
        <v>291.99872530274064</v>
      </c>
      <c r="AD64" s="96">
        <f>AD61*AD50</f>
        <v>304.49341279799251</v>
      </c>
      <c r="AE64" s="97"/>
      <c r="AF64" s="96">
        <f>AF61*AF50</f>
        <v>302.23688073394499</v>
      </c>
      <c r="AG64" s="96">
        <f>AG61*AG50</f>
        <v>303.14750150511736</v>
      </c>
      <c r="AH64" s="96">
        <f>AH61*AH50</f>
        <v>331.5663905325444</v>
      </c>
      <c r="AI64" s="96">
        <f>AI61*AI50</f>
        <v>346.21428571428572</v>
      </c>
      <c r="AJ64" s="144">
        <f>SUM(AF64:AI64)</f>
        <v>1283.1650584858926</v>
      </c>
      <c r="AK64" s="96">
        <f>AK61*AK50</f>
        <v>344.13058419243987</v>
      </c>
      <c r="AL64" s="96">
        <f>AL61*AL50</f>
        <v>351.62554744525545</v>
      </c>
      <c r="AM64" s="96">
        <f>AM61*AM50</f>
        <v>378.94678492239473</v>
      </c>
      <c r="AN64" s="96">
        <f>AN61*AN50</f>
        <v>389.08250539956805</v>
      </c>
      <c r="AO64" s="144">
        <f>SUM(AK64:AN64)</f>
        <v>1463.7854219596579</v>
      </c>
      <c r="AP64" s="96">
        <f>AP61*AP50</f>
        <v>380.57433862433862</v>
      </c>
      <c r="AQ64" s="96">
        <f>AQ61*AQ50</f>
        <v>390.46415975103736</v>
      </c>
      <c r="AR64" s="96">
        <f>AR61*AR50</f>
        <v>422.18459969403364</v>
      </c>
      <c r="AS64" s="96">
        <f>AS61*AS50</f>
        <v>436.02388059701491</v>
      </c>
      <c r="AT64" s="144">
        <f>SUM(AP64:AS64)</f>
        <v>1629.2469786664246</v>
      </c>
      <c r="AU64" s="218">
        <f>AU61*AU50</f>
        <v>446.45178484107578</v>
      </c>
      <c r="AV64" s="218">
        <f>AV61*AV50</f>
        <v>448.10587102983641</v>
      </c>
      <c r="AW64" s="218">
        <f>AW61*AW50</f>
        <v>477.88775894538605</v>
      </c>
      <c r="AX64" s="218">
        <f>AX61*AX50</f>
        <v>490.37504587155962</v>
      </c>
      <c r="AY64" s="144">
        <f>SUM(AU64:AX64)</f>
        <v>1862.8204606878578</v>
      </c>
      <c r="AZ64" s="218">
        <f>AZ61*AZ50</f>
        <v>459.47159663865546</v>
      </c>
      <c r="BA64" s="96">
        <f>BA61*BA50</f>
        <v>471.11372408625613</v>
      </c>
      <c r="BB64" s="96">
        <f>BB61*BB50</f>
        <v>506.13715617826875</v>
      </c>
      <c r="BC64" s="96">
        <f>BC61*BC50</f>
        <v>523.83662349983979</v>
      </c>
      <c r="BD64" s="144">
        <f>SUM(AZ64:BC64)</f>
        <v>1960.55910040302</v>
      </c>
      <c r="BE64" s="96">
        <f>BE61*BE50</f>
        <v>499.99306914644268</v>
      </c>
      <c r="BF64" s="96">
        <f>BF61*BF50</f>
        <v>517.22638666986927</v>
      </c>
      <c r="BG64" s="96">
        <f>BG61*BG50</f>
        <v>557.29334904042787</v>
      </c>
      <c r="BH64" s="96">
        <f>BH61*BH50</f>
        <v>571.48421691992075</v>
      </c>
      <c r="BI64" s="144">
        <f>SUM(BE64:BH64)</f>
        <v>2145.9970217766604</v>
      </c>
    </row>
    <row r="65" spans="1:61" outlineLevel="2" x14ac:dyDescent="0.2">
      <c r="A65" s="67" t="s">
        <v>220</v>
      </c>
      <c r="F65" s="68"/>
      <c r="K65" s="68"/>
      <c r="P65" s="68"/>
      <c r="U65" s="68"/>
      <c r="Z65" s="68"/>
      <c r="AA65" s="175">
        <f>(AA67-AA63)/AA64</f>
        <v>0.30103202555491854</v>
      </c>
      <c r="AB65" s="175">
        <f>(AB67-AB63)/AB64</f>
        <v>0.3082197802197803</v>
      </c>
      <c r="AC65" s="175">
        <f>(AC67-AC63)/AC64</f>
        <v>0.32876419307382354</v>
      </c>
      <c r="AD65" s="175">
        <f>(AD67-AD63)/AD64</f>
        <v>0.33430415411161751</v>
      </c>
      <c r="AE65" s="97"/>
      <c r="AF65" s="175">
        <f t="shared" ref="AF65:AP65" si="177">(AF67-AF63)/AF64</f>
        <v>0.12783641969874776</v>
      </c>
      <c r="AG65" s="175">
        <f t="shared" si="177"/>
        <v>0.13903298327004662</v>
      </c>
      <c r="AH65" s="175">
        <f t="shared" si="177"/>
        <v>0.11631574138319946</v>
      </c>
      <c r="AI65" s="175">
        <f t="shared" si="177"/>
        <v>0.11471012997730556</v>
      </c>
      <c r="AJ65" s="198">
        <f t="shared" si="177"/>
        <v>0.12396305325955947</v>
      </c>
      <c r="AK65" s="175">
        <f t="shared" si="177"/>
        <v>9.5692117193585155E-2</v>
      </c>
      <c r="AL65" s="175">
        <f>(AL67-AL63)/AL64</f>
        <v>0.10302308153788366</v>
      </c>
      <c r="AM65" s="175">
        <f>(AM67-AM63)/AM64</f>
        <v>9.3804160205962259E-2</v>
      </c>
      <c r="AN65" s="175">
        <f t="shared" si="177"/>
        <v>0.10481711419454974</v>
      </c>
      <c r="AO65" s="198">
        <f>(AO67-AO63)/AO64</f>
        <v>9.9389855765121535E-2</v>
      </c>
      <c r="AP65" s="175">
        <f t="shared" si="177"/>
        <v>8.1651166331032671E-2</v>
      </c>
      <c r="AQ65" s="175">
        <f t="shared" ref="AQ65:AS65" si="178">(AQ67-AQ63)/AQ64</f>
        <v>8.4679115676376704E-2</v>
      </c>
      <c r="AR65" s="175">
        <f t="shared" si="178"/>
        <v>8.3102509469697008E-2</v>
      </c>
      <c r="AS65" s="175">
        <f t="shared" si="178"/>
        <v>0.10257208971164122</v>
      </c>
      <c r="AT65" s="198">
        <f>(AT67-AT63)/AT64</f>
        <v>8.8351846313840215E-2</v>
      </c>
      <c r="AU65" s="217">
        <f t="shared" ref="AU65:AV65" si="179">(AU67-AU63)/AU64</f>
        <v>9.0607286642331433E-2</v>
      </c>
      <c r="AV65" s="217">
        <f t="shared" si="179"/>
        <v>5.7588781353230915E-2</v>
      </c>
      <c r="AW65" s="217">
        <f t="shared" ref="AW65:AX65" si="180">(AW67-AW63)/AW64</f>
        <v>5.710076986614044E-2</v>
      </c>
      <c r="AX65" s="217">
        <f t="shared" si="180"/>
        <v>5.2561903564543794E-2</v>
      </c>
      <c r="AY65" s="198">
        <f>(AY67-AY63)/AY64</f>
        <v>6.4053655843890611E-2</v>
      </c>
      <c r="AZ65" s="217">
        <f>(AZ67-AZ63)/AZ64</f>
        <v>-5.0675675675674828E-3</v>
      </c>
      <c r="BA65" s="176">
        <v>6.0999999999999999E-2</v>
      </c>
      <c r="BB65" s="176">
        <v>5.8999999999999997E-2</v>
      </c>
      <c r="BC65" s="176">
        <v>0.06</v>
      </c>
      <c r="BD65" s="198">
        <f>(BD67-BD63)/BD64</f>
        <v>4.4733067936792714E-2</v>
      </c>
      <c r="BE65" s="176">
        <v>6.5000000000000002E-2</v>
      </c>
      <c r="BF65" s="176">
        <v>6.5000000000000002E-2</v>
      </c>
      <c r="BG65" s="176">
        <v>6.2E-2</v>
      </c>
      <c r="BH65" s="176">
        <v>6.3E-2</v>
      </c>
      <c r="BI65" s="198">
        <f>(BI67-BI63)/BI64</f>
        <v>6.3688326007726198E-2</v>
      </c>
    </row>
    <row r="66" spans="1:61" outlineLevel="2" x14ac:dyDescent="0.2">
      <c r="A66" s="67" t="s">
        <v>221</v>
      </c>
      <c r="F66" s="68"/>
      <c r="K66" s="68"/>
      <c r="P66" s="68"/>
      <c r="U66" s="68"/>
      <c r="Z66" s="68"/>
      <c r="AA66" s="96">
        <f>AA64*AA65</f>
        <v>71.923679060665364</v>
      </c>
      <c r="AB66" s="96">
        <f t="shared" ref="AB66:AD66" si="181">AB64*AB65</f>
        <v>81.534883720930253</v>
      </c>
      <c r="AC66" s="96">
        <f t="shared" si="181"/>
        <v>95.998725302740581</v>
      </c>
      <c r="AD66" s="96">
        <f t="shared" si="181"/>
        <v>101.79341279799246</v>
      </c>
      <c r="AE66" s="97"/>
      <c r="AF66" s="96">
        <f>AF64*AF65</f>
        <v>38.636880733944963</v>
      </c>
      <c r="AG66" s="96">
        <f t="shared" ref="AG66" si="182">AG64*AG65</f>
        <v>42.147501505117418</v>
      </c>
      <c r="AH66" s="96">
        <f t="shared" ref="AH66" si="183">AH64*AH65</f>
        <v>38.566390532544347</v>
      </c>
      <c r="AI66" s="96">
        <f t="shared" ref="AI66" si="184">AI64*AI65</f>
        <v>39.714285714285722</v>
      </c>
      <c r="AJ66" s="144">
        <f>SUM(AF66:AI66)</f>
        <v>159.06505848589245</v>
      </c>
      <c r="AK66" s="96">
        <f>AK64*AK65</f>
        <v>32.930584192439881</v>
      </c>
      <c r="AL66" s="96">
        <f t="shared" ref="AL66" si="185">AL64*AL65</f>
        <v>36.225547445255529</v>
      </c>
      <c r="AM66" s="96">
        <f>AM64*AM65</f>
        <v>35.546784922394636</v>
      </c>
      <c r="AN66" s="96">
        <f t="shared" ref="AN66" si="186">AN64*AN65</f>
        <v>40.782505399568038</v>
      </c>
      <c r="AO66" s="144">
        <f>SUM(AK66:AN66)</f>
        <v>145.48542195965808</v>
      </c>
      <c r="AP66" s="96">
        <f>AP64*AP65</f>
        <v>31.074338624338623</v>
      </c>
      <c r="AQ66" s="96">
        <f>AQ64*AQ65</f>
        <v>33.064159751037323</v>
      </c>
      <c r="AR66" s="96">
        <f t="shared" ref="AR66" si="187">AR64*AR65</f>
        <v>35.08459969403367</v>
      </c>
      <c r="AS66" s="96">
        <f t="shared" ref="AS66" si="188">AS64*AS65</f>
        <v>44.723880597014954</v>
      </c>
      <c r="AT66" s="144">
        <f>SUM(AP66:AS66)</f>
        <v>143.94697866642457</v>
      </c>
      <c r="AU66" s="218">
        <f>AU64*AU65</f>
        <v>40.451784841075835</v>
      </c>
      <c r="AV66" s="218">
        <f>AV64*AV65</f>
        <v>25.805871029836339</v>
      </c>
      <c r="AW66" s="218">
        <f>AW64*AW65</f>
        <v>27.287758945386088</v>
      </c>
      <c r="AX66" s="218">
        <f>AX64*AX65</f>
        <v>25.775045871559655</v>
      </c>
      <c r="AY66" s="144">
        <f>SUM(AU66:AX66)</f>
        <v>119.32046068785792</v>
      </c>
      <c r="AZ66" s="218">
        <f>AZ64*AZ65</f>
        <v>-2.328403361344499</v>
      </c>
      <c r="BA66" s="96">
        <f t="shared" ref="BA66:BC66" si="189">BA64*BA65</f>
        <v>28.737937169261624</v>
      </c>
      <c r="BB66" s="96">
        <f t="shared" si="189"/>
        <v>29.862092214517855</v>
      </c>
      <c r="BC66" s="96">
        <f t="shared" si="189"/>
        <v>31.430197409990384</v>
      </c>
      <c r="BD66" s="144">
        <f>SUM(AZ66:BC66)</f>
        <v>87.701823432425357</v>
      </c>
      <c r="BE66" s="96">
        <f>BE64*BE65</f>
        <v>32.499549494518774</v>
      </c>
      <c r="BF66" s="96">
        <f t="shared" ref="BF66:BH66" si="190">BF64*BF65</f>
        <v>33.619715133541504</v>
      </c>
      <c r="BG66" s="96">
        <f t="shared" si="190"/>
        <v>34.552187640506524</v>
      </c>
      <c r="BH66" s="96">
        <f t="shared" si="190"/>
        <v>36.003505665955011</v>
      </c>
      <c r="BI66" s="144">
        <f>SUM(BE66:BH66)</f>
        <v>136.67495793452181</v>
      </c>
    </row>
    <row r="67" spans="1:61" s="69" customFormat="1" outlineLevel="2" x14ac:dyDescent="0.2">
      <c r="A67" s="69" t="s">
        <v>192</v>
      </c>
      <c r="F67" s="74"/>
      <c r="K67" s="74"/>
      <c r="P67" s="74"/>
      <c r="U67" s="74"/>
      <c r="Z67" s="74"/>
      <c r="AA67" s="94">
        <v>254</v>
      </c>
      <c r="AB67" s="94">
        <v>285</v>
      </c>
      <c r="AC67" s="94">
        <v>330</v>
      </c>
      <c r="AD67" s="94">
        <v>352</v>
      </c>
      <c r="AE67" s="95"/>
      <c r="AF67" s="94">
        <f>AF86</f>
        <v>287.3</v>
      </c>
      <c r="AG67" s="94">
        <f>AG86</f>
        <v>296</v>
      </c>
      <c r="AH67" s="94">
        <f>AH86</f>
        <v>317.39999999999998</v>
      </c>
      <c r="AI67" s="94">
        <f>AI86</f>
        <v>335.4</v>
      </c>
      <c r="AJ67" s="197">
        <f>SUM(AF67:AI67)</f>
        <v>1236.0999999999999</v>
      </c>
      <c r="AK67" s="94">
        <f>AK86</f>
        <v>332.8</v>
      </c>
      <c r="AL67" s="94">
        <f>AL86</f>
        <v>344.5</v>
      </c>
      <c r="AM67" s="94">
        <f>AM86</f>
        <v>376.2</v>
      </c>
      <c r="AN67" s="94">
        <f>AN86</f>
        <v>390</v>
      </c>
      <c r="AO67" s="197">
        <f>SUM(AK67:AN67)</f>
        <v>1443.5</v>
      </c>
      <c r="AP67" s="94">
        <f>AP86</f>
        <v>373.4</v>
      </c>
      <c r="AQ67" s="94">
        <f>AQ86</f>
        <v>388.7</v>
      </c>
      <c r="AR67" s="94">
        <f>AR86</f>
        <v>421.4</v>
      </c>
      <c r="AS67" s="94">
        <f>AS86</f>
        <v>435.5</v>
      </c>
      <c r="AT67" s="197">
        <f>SUM(AP67:AS67)</f>
        <v>1619</v>
      </c>
      <c r="AU67" s="219">
        <f>AU86</f>
        <v>414.3</v>
      </c>
      <c r="AV67" s="219">
        <f>AV86</f>
        <v>403.2</v>
      </c>
      <c r="AW67" s="219">
        <f>AW86</f>
        <v>439</v>
      </c>
      <c r="AX67" s="219">
        <f>AX86</f>
        <v>453.8</v>
      </c>
      <c r="AY67" s="197">
        <f>SUM(AU67:AX67)</f>
        <v>1710.3</v>
      </c>
      <c r="AZ67" s="219">
        <f>AZ86</f>
        <v>461.8</v>
      </c>
      <c r="BA67" s="94">
        <f t="shared" ref="BA67:BC67" si="191">BA63+(BA65*BA64)</f>
        <v>505.72101828317045</v>
      </c>
      <c r="BB67" s="94">
        <f t="shared" si="191"/>
        <v>541.76954170426529</v>
      </c>
      <c r="BC67" s="94">
        <f t="shared" si="191"/>
        <v>560.26367264432781</v>
      </c>
      <c r="BD67" s="197">
        <f>SUM(AZ67:BC67)</f>
        <v>2069.5542326317636</v>
      </c>
      <c r="BE67" s="94">
        <f>BE63+(BE65*BE64)</f>
        <v>535.22056212032635</v>
      </c>
      <c r="BF67" s="94">
        <f t="shared" ref="BF67:BH67" si="192">BF63+(BF65*BF64)</f>
        <v>551.63696783807416</v>
      </c>
      <c r="BG67" s="94">
        <f t="shared" si="192"/>
        <v>589.76297558586555</v>
      </c>
      <c r="BH67" s="94">
        <f t="shared" si="192"/>
        <v>604.56346124198728</v>
      </c>
      <c r="BI67" s="197">
        <f>SUM(BE67:BH67)</f>
        <v>2281.1839667862532</v>
      </c>
    </row>
    <row r="68" spans="1:61" s="69" customFormat="1" outlineLevel="2" x14ac:dyDescent="0.2">
      <c r="F68" s="74"/>
      <c r="K68" s="74"/>
      <c r="P68" s="74"/>
      <c r="U68" s="74"/>
      <c r="Z68" s="74"/>
      <c r="AA68" s="94"/>
      <c r="AB68" s="94"/>
      <c r="AC68" s="94"/>
      <c r="AD68" s="94"/>
      <c r="AE68" s="95"/>
      <c r="AF68" s="94"/>
      <c r="AG68" s="94"/>
      <c r="AH68" s="94"/>
      <c r="AI68" s="94"/>
      <c r="AJ68" s="95"/>
      <c r="AK68" s="94"/>
      <c r="AL68" s="94"/>
      <c r="AM68" s="94"/>
      <c r="AN68" s="94"/>
      <c r="AO68" s="74"/>
      <c r="AP68" s="94"/>
      <c r="AQ68" s="94"/>
      <c r="AR68" s="94"/>
      <c r="AS68" s="94"/>
      <c r="AT68" s="74"/>
      <c r="AU68" s="219"/>
      <c r="AV68" s="94"/>
      <c r="AW68" s="94"/>
      <c r="AX68" s="94"/>
      <c r="AY68" s="74"/>
      <c r="AZ68" s="219"/>
      <c r="BA68" s="94"/>
      <c r="BB68" s="94"/>
      <c r="BC68" s="94"/>
      <c r="BD68" s="74"/>
      <c r="BE68" s="94"/>
      <c r="BF68" s="94"/>
      <c r="BG68" s="94"/>
      <c r="BH68" s="94"/>
      <c r="BI68" s="74"/>
    </row>
    <row r="69" spans="1:61" s="69" customFormat="1" outlineLevel="2" x14ac:dyDescent="0.2">
      <c r="A69" s="70" t="s">
        <v>207</v>
      </c>
      <c r="F69" s="74"/>
      <c r="K69" s="74"/>
      <c r="P69" s="74"/>
      <c r="U69" s="74"/>
      <c r="Z69" s="74"/>
      <c r="AA69" s="94"/>
      <c r="AB69" s="94"/>
      <c r="AC69" s="94"/>
      <c r="AD69" s="94"/>
      <c r="AE69" s="95"/>
      <c r="AF69" s="94"/>
      <c r="AG69" s="94"/>
      <c r="AH69" s="94"/>
      <c r="AI69" s="94"/>
      <c r="AJ69" s="95"/>
      <c r="AK69" s="94"/>
      <c r="AL69" s="94"/>
      <c r="AM69" s="187"/>
      <c r="AN69" s="187"/>
      <c r="AO69" s="74"/>
      <c r="AP69" s="94"/>
      <c r="AQ69" s="94"/>
      <c r="AR69" s="94"/>
      <c r="AS69" s="94"/>
      <c r="AT69" s="74"/>
      <c r="AU69" s="219"/>
      <c r="AV69" s="94"/>
      <c r="AW69" s="94"/>
      <c r="AX69" s="94"/>
      <c r="AY69" s="74"/>
      <c r="AZ69" s="219"/>
      <c r="BA69" s="94"/>
      <c r="BB69" s="94"/>
      <c r="BC69" s="94"/>
      <c r="BD69" s="74"/>
      <c r="BE69" s="94"/>
      <c r="BF69" s="94"/>
      <c r="BG69" s="94"/>
      <c r="BH69" s="94"/>
      <c r="BI69" s="74"/>
    </row>
    <row r="70" spans="1:61" outlineLevel="2" x14ac:dyDescent="0.2">
      <c r="A70" s="67" t="s">
        <v>223</v>
      </c>
      <c r="F70" s="68"/>
      <c r="K70" s="68"/>
      <c r="P70" s="68"/>
      <c r="U70" s="68"/>
      <c r="Z70" s="68"/>
      <c r="AA70" s="96">
        <f>AA88-AA72</f>
        <v>156.07632093933464</v>
      </c>
      <c r="AB70" s="96">
        <f>AB88-AB72</f>
        <v>165.46511627906975</v>
      </c>
      <c r="AC70" s="96">
        <f>AC88-AC72</f>
        <v>163.00127469725942</v>
      </c>
      <c r="AD70" s="96">
        <f>AD88-AD72</f>
        <v>144.20658720200754</v>
      </c>
      <c r="AE70" s="97"/>
      <c r="AF70" s="96">
        <f>AF88-AF72</f>
        <v>73.563119266055054</v>
      </c>
      <c r="AG70" s="96">
        <f>AG88-AG72</f>
        <v>65.152498494882593</v>
      </c>
      <c r="AH70" s="96">
        <f>AH88-AH72</f>
        <v>89.233609467455636</v>
      </c>
      <c r="AI70" s="96">
        <f>AI88-AI72</f>
        <v>89.385714285714243</v>
      </c>
      <c r="AJ70" s="144">
        <f>SUM(AF70:AI70)</f>
        <v>317.33494151410753</v>
      </c>
      <c r="AK70" s="96">
        <f>AK88-AK72</f>
        <v>85.869415807560131</v>
      </c>
      <c r="AL70" s="96">
        <f>AL88-AL72</f>
        <v>90.47445255474446</v>
      </c>
      <c r="AM70" s="96">
        <f>AM88-AM72</f>
        <v>115.15321507760535</v>
      </c>
      <c r="AN70" s="96">
        <f>AN88-AN72</f>
        <v>107.51749460043197</v>
      </c>
      <c r="AO70" s="144">
        <f>SUM(AK70:AN70)</f>
        <v>399.01457804034192</v>
      </c>
      <c r="AP70" s="96">
        <f>AP88-AP72</f>
        <v>103.72566137566136</v>
      </c>
      <c r="AQ70" s="96">
        <f>AQ88-AQ72</f>
        <v>113.13584024896267</v>
      </c>
      <c r="AR70" s="96">
        <f>AR88-AR72</f>
        <v>132.4154003059663</v>
      </c>
      <c r="AS70" s="96">
        <f>AS88-AS72</f>
        <v>125.57611940298506</v>
      </c>
      <c r="AT70" s="144">
        <f>SUM(AP70:AS70)</f>
        <v>474.85302133357538</v>
      </c>
      <c r="AU70" s="218">
        <f>AU88-AU72</f>
        <v>112.4482151589242</v>
      </c>
      <c r="AV70" s="218">
        <f>AV88-AV72</f>
        <v>124.69412897016366</v>
      </c>
      <c r="AW70" s="218">
        <f>AW88-AW72</f>
        <v>150.31224105461393</v>
      </c>
      <c r="AX70" s="218">
        <f>AX88-AX72</f>
        <v>151.72495412844034</v>
      </c>
      <c r="AY70" s="144">
        <f>SUM(AU70:AX70)</f>
        <v>539.1795393121422</v>
      </c>
      <c r="AZ70" s="218">
        <f>AZ88-AZ72</f>
        <v>174.8284033613445</v>
      </c>
      <c r="BA70" s="96">
        <f t="shared" ref="BA70:BC70" si="193">BA71*BA63</f>
        <v>162.17424757872902</v>
      </c>
      <c r="BB70" s="96">
        <f t="shared" si="193"/>
        <v>185.31049671528856</v>
      </c>
      <c r="BC70" s="96">
        <f t="shared" si="193"/>
        <v>186.14938328248678</v>
      </c>
      <c r="BD70" s="144">
        <f>SUM(AZ70:BC70)</f>
        <v>708.4625309378489</v>
      </c>
      <c r="BE70" s="96">
        <f>BE71*BE63</f>
        <v>166.40065517914229</v>
      </c>
      <c r="BF70" s="96">
        <f t="shared" ref="BF70:BH70" si="194">BF71*BF63</f>
        <v>174.57181416142751</v>
      </c>
      <c r="BG70" s="96">
        <f t="shared" si="194"/>
        <v>203.2071483880014</v>
      </c>
      <c r="BH70" s="96">
        <f t="shared" si="194"/>
        <v>205.25014396294765</v>
      </c>
      <c r="BI70" s="144">
        <f>SUM(BE70:BH70)</f>
        <v>749.42976169151882</v>
      </c>
    </row>
    <row r="71" spans="1:61" outlineLevel="2" x14ac:dyDescent="0.2">
      <c r="A71" s="67" t="s">
        <v>224</v>
      </c>
      <c r="F71" s="68"/>
      <c r="K71" s="68"/>
      <c r="P71" s="68"/>
      <c r="U71" s="68"/>
      <c r="Z71" s="68"/>
      <c r="AA71" s="98">
        <f t="shared" ref="AA71" si="195">AA70/AA63</f>
        <v>0.85720273857761631</v>
      </c>
      <c r="AB71" s="98">
        <f t="shared" ref="AB71" si="196">AB70/AB63</f>
        <v>0.81323579837695736</v>
      </c>
      <c r="AC71" s="98">
        <f t="shared" ref="AC71" si="197">AC70/AC63</f>
        <v>0.69658284942312099</v>
      </c>
      <c r="AD71" s="98">
        <f>AD70/AD63</f>
        <v>0.57635008260426202</v>
      </c>
      <c r="AE71" s="97"/>
      <c r="AF71" s="98">
        <f t="shared" ref="AF71:AH71" si="198">AF70/AF63</f>
        <v>0.29583445861686791</v>
      </c>
      <c r="AG71" s="98">
        <f t="shared" si="198"/>
        <v>0.25665494285531332</v>
      </c>
      <c r="AH71" s="98">
        <f t="shared" si="198"/>
        <v>0.320024582538249</v>
      </c>
      <c r="AI71" s="98">
        <f t="shared" ref="AI71:AP71" si="199">AI70/AI63</f>
        <v>0.30229973910522745</v>
      </c>
      <c r="AJ71" s="99">
        <f t="shared" si="199"/>
        <v>0.29463755471850767</v>
      </c>
      <c r="AK71" s="98">
        <f t="shared" si="199"/>
        <v>0.28635603126217596</v>
      </c>
      <c r="AL71" s="98">
        <f t="shared" si="199"/>
        <v>0.29348670253068632</v>
      </c>
      <c r="AM71" s="98">
        <f t="shared" si="199"/>
        <v>0.33803648396910596</v>
      </c>
      <c r="AN71" s="98">
        <f t="shared" si="199"/>
        <v>0.30788118081956761</v>
      </c>
      <c r="AO71" s="99">
        <f t="shared" si="199"/>
        <v>0.30740377249286999</v>
      </c>
      <c r="AP71" s="98">
        <f t="shared" si="199"/>
        <v>0.30300288023641586</v>
      </c>
      <c r="AQ71" s="98">
        <f t="shared" ref="AQ71:AS71" si="200">AQ70/AQ63</f>
        <v>0.31812271836764816</v>
      </c>
      <c r="AR71" s="98">
        <f t="shared" si="200"/>
        <v>0.3427650054879815</v>
      </c>
      <c r="AS71" s="98">
        <f t="shared" si="200"/>
        <v>0.32135054617676262</v>
      </c>
      <c r="AT71" s="99">
        <f>AT70/AT63</f>
        <v>0.32192267970426391</v>
      </c>
      <c r="AU71" s="220">
        <f t="shared" ref="AU71:AV71" si="201">AU70/AU63</f>
        <v>0.30078574833137045</v>
      </c>
      <c r="AV71" s="220">
        <f t="shared" si="201"/>
        <v>0.33040823743185954</v>
      </c>
      <c r="AW71" s="220">
        <f t="shared" ref="AW71:AX71" si="202">AW70/AW63</f>
        <v>0.36509053184715706</v>
      </c>
      <c r="AX71" s="220">
        <f t="shared" si="202"/>
        <v>0.35447688894071161</v>
      </c>
      <c r="AY71" s="99">
        <f>AY70/AY63</f>
        <v>0.33889784625719055</v>
      </c>
      <c r="AZ71" s="220">
        <f t="shared" ref="AZ71" si="203">AZ70/AZ63</f>
        <v>0.37668111258692533</v>
      </c>
      <c r="BA71" s="196">
        <v>0.34</v>
      </c>
      <c r="BB71" s="196">
        <v>0.36199999999999999</v>
      </c>
      <c r="BC71" s="196">
        <v>0.35199999999999998</v>
      </c>
      <c r="BD71" s="99">
        <f>BD70/BD63</f>
        <v>0.35747491975149925</v>
      </c>
      <c r="BE71" s="196">
        <v>0.33100000000000002</v>
      </c>
      <c r="BF71" s="196">
        <v>0.33700000000000002</v>
      </c>
      <c r="BG71" s="196">
        <v>0.36599999999999999</v>
      </c>
      <c r="BH71" s="196">
        <v>0.36099999999999999</v>
      </c>
      <c r="BI71" s="99">
        <f>BI70/BI63</f>
        <v>0.3494644968140273</v>
      </c>
    </row>
    <row r="72" spans="1:61" outlineLevel="2" x14ac:dyDescent="0.2">
      <c r="A72" s="67" t="s">
        <v>222</v>
      </c>
      <c r="F72" s="68"/>
      <c r="K72" s="68"/>
      <c r="P72" s="68"/>
      <c r="U72" s="68"/>
      <c r="Z72" s="68"/>
      <c r="AA72" s="96">
        <f>AA66</f>
        <v>71.923679060665364</v>
      </c>
      <c r="AB72" s="96">
        <f t="shared" ref="AB72:AD72" si="204">AB66</f>
        <v>81.534883720930253</v>
      </c>
      <c r="AC72" s="96">
        <f t="shared" si="204"/>
        <v>95.998725302740581</v>
      </c>
      <c r="AD72" s="96">
        <f t="shared" si="204"/>
        <v>101.79341279799246</v>
      </c>
      <c r="AE72" s="97"/>
      <c r="AF72" s="96">
        <f>AF66</f>
        <v>38.636880733944963</v>
      </c>
      <c r="AG72" s="96">
        <f t="shared" ref="AG72:AI72" si="205">AG66</f>
        <v>42.147501505117418</v>
      </c>
      <c r="AH72" s="96">
        <f t="shared" si="205"/>
        <v>38.566390532544347</v>
      </c>
      <c r="AI72" s="96">
        <f t="shared" si="205"/>
        <v>39.714285714285722</v>
      </c>
      <c r="AJ72" s="144">
        <f>SUM(AF72:AI72)</f>
        <v>159.06505848589245</v>
      </c>
      <c r="AK72" s="96">
        <f>AK66</f>
        <v>32.930584192439881</v>
      </c>
      <c r="AL72" s="96">
        <f t="shared" ref="AL72" si="206">AL66</f>
        <v>36.225547445255529</v>
      </c>
      <c r="AM72" s="96">
        <f>AM66</f>
        <v>35.546784922394636</v>
      </c>
      <c r="AN72" s="96">
        <f>AN66</f>
        <v>40.782505399568038</v>
      </c>
      <c r="AO72" s="144">
        <f>SUM(AK72:AN72)</f>
        <v>145.48542195965808</v>
      </c>
      <c r="AP72" s="96">
        <f>AP66</f>
        <v>31.074338624338623</v>
      </c>
      <c r="AQ72" s="96">
        <f>AQ66</f>
        <v>33.064159751037323</v>
      </c>
      <c r="AR72" s="96">
        <f t="shared" ref="AR72:AS72" si="207">AR66</f>
        <v>35.08459969403367</v>
      </c>
      <c r="AS72" s="96">
        <f t="shared" si="207"/>
        <v>44.723880597014954</v>
      </c>
      <c r="AT72" s="144">
        <f>SUM(AP72:AS72)</f>
        <v>143.94697866642457</v>
      </c>
      <c r="AU72" s="218">
        <f>AU66</f>
        <v>40.451784841075835</v>
      </c>
      <c r="AV72" s="218">
        <f>AV66</f>
        <v>25.805871029836339</v>
      </c>
      <c r="AW72" s="218">
        <f>AW66</f>
        <v>27.287758945386088</v>
      </c>
      <c r="AX72" s="218">
        <f>AX66</f>
        <v>25.775045871559655</v>
      </c>
      <c r="AY72" s="144">
        <f>SUM(AU72:AX72)</f>
        <v>119.32046068785792</v>
      </c>
      <c r="AZ72" s="218">
        <f>AZ66</f>
        <v>-2.328403361344499</v>
      </c>
      <c r="BA72" s="96">
        <f t="shared" ref="BA72:BC72" si="208">BA66</f>
        <v>28.737937169261624</v>
      </c>
      <c r="BB72" s="96">
        <f t="shared" si="208"/>
        <v>29.862092214517855</v>
      </c>
      <c r="BC72" s="96">
        <f t="shared" si="208"/>
        <v>31.430197409990384</v>
      </c>
      <c r="BD72" s="144">
        <f>SUM(AZ72:BC72)</f>
        <v>87.701823432425357</v>
      </c>
      <c r="BE72" s="96">
        <f>BE66</f>
        <v>32.499549494518774</v>
      </c>
      <c r="BF72" s="96">
        <f t="shared" ref="BF72:BH72" si="209">BF66</f>
        <v>33.619715133541504</v>
      </c>
      <c r="BG72" s="96">
        <f t="shared" si="209"/>
        <v>34.552187640506524</v>
      </c>
      <c r="BH72" s="96">
        <f t="shared" si="209"/>
        <v>36.003505665955011</v>
      </c>
      <c r="BI72" s="144">
        <f>SUM(BE72:BH72)</f>
        <v>136.67495793452181</v>
      </c>
    </row>
    <row r="73" spans="1:61" outlineLevel="2" x14ac:dyDescent="0.2">
      <c r="A73" s="67" t="s">
        <v>225</v>
      </c>
      <c r="F73" s="68"/>
      <c r="K73" s="68"/>
      <c r="P73" s="68"/>
      <c r="U73" s="68"/>
      <c r="Z73" s="68"/>
      <c r="AA73" s="96">
        <f>AA72+AA70</f>
        <v>228</v>
      </c>
      <c r="AB73" s="96">
        <f t="shared" ref="AB73:AD73" si="210">AB72+AB70</f>
        <v>247</v>
      </c>
      <c r="AC73" s="96">
        <f t="shared" si="210"/>
        <v>259</v>
      </c>
      <c r="AD73" s="96">
        <f t="shared" si="210"/>
        <v>246</v>
      </c>
      <c r="AE73" s="97"/>
      <c r="AF73" s="96">
        <f>AF72+AF70</f>
        <v>112.20000000000002</v>
      </c>
      <c r="AG73" s="96">
        <f t="shared" ref="AG73" si="211">AG72+AG70</f>
        <v>107.30000000000001</v>
      </c>
      <c r="AH73" s="96">
        <f t="shared" ref="AH73" si="212">AH72+AH70</f>
        <v>127.79999999999998</v>
      </c>
      <c r="AI73" s="96">
        <f t="shared" ref="AI73" si="213">AI72+AI70</f>
        <v>129.09999999999997</v>
      </c>
      <c r="AJ73" s="144">
        <f>SUM(AF73:AI73)</f>
        <v>476.4</v>
      </c>
      <c r="AK73" s="96">
        <f>AK72+AK70</f>
        <v>118.80000000000001</v>
      </c>
      <c r="AL73" s="96">
        <f t="shared" ref="AL73" si="214">AL72+AL70</f>
        <v>126.69999999999999</v>
      </c>
      <c r="AM73" s="96">
        <f t="shared" ref="AM73" si="215">AM72+AM70</f>
        <v>150.69999999999999</v>
      </c>
      <c r="AN73" s="96">
        <f t="shared" ref="AN73" si="216">AN72+AN70</f>
        <v>148.30000000000001</v>
      </c>
      <c r="AO73" s="144">
        <f>SUM(AK73:AN73)</f>
        <v>544.5</v>
      </c>
      <c r="AP73" s="96">
        <f>AP72+AP70</f>
        <v>134.79999999999998</v>
      </c>
      <c r="AQ73" s="96">
        <f>AQ72+AQ70</f>
        <v>146.19999999999999</v>
      </c>
      <c r="AR73" s="96">
        <f t="shared" ref="AR73" si="217">AR72+AR70</f>
        <v>167.49999999999997</v>
      </c>
      <c r="AS73" s="96">
        <f t="shared" ref="AS73" si="218">AS72+AS70</f>
        <v>170.3</v>
      </c>
      <c r="AT73" s="144">
        <f>SUM(AP73:AS73)</f>
        <v>618.79999999999995</v>
      </c>
      <c r="AU73" s="218">
        <f>AU72+AU70</f>
        <v>152.90000000000003</v>
      </c>
      <c r="AV73" s="218">
        <f>AV72+AV70</f>
        <v>150.5</v>
      </c>
      <c r="AW73" s="218">
        <f>AW72+AW70</f>
        <v>177.60000000000002</v>
      </c>
      <c r="AX73" s="218">
        <f>AX72+AX70</f>
        <v>177.5</v>
      </c>
      <c r="AY73" s="144">
        <f>SUM(AU73:AX73)</f>
        <v>658.5</v>
      </c>
      <c r="AZ73" s="218">
        <f>AZ72+AZ70</f>
        <v>172.5</v>
      </c>
      <c r="BA73" s="96">
        <f>BA72+BA70</f>
        <v>190.91218474799064</v>
      </c>
      <c r="BB73" s="96">
        <f t="shared" ref="BB73:BC73" si="219">BB72+BB70</f>
        <v>215.17258892980641</v>
      </c>
      <c r="BC73" s="96">
        <f t="shared" si="219"/>
        <v>217.57958069247718</v>
      </c>
      <c r="BD73" s="144">
        <f>SUM(AZ73:BC73)</f>
        <v>796.16435437027428</v>
      </c>
      <c r="BE73" s="96">
        <f>BE72+BE70</f>
        <v>198.90020467366105</v>
      </c>
      <c r="BF73" s="96">
        <f t="shared" ref="BF73:BH73" si="220">BF72+BF70</f>
        <v>208.19152929496903</v>
      </c>
      <c r="BG73" s="96">
        <f t="shared" si="220"/>
        <v>237.75933602850793</v>
      </c>
      <c r="BH73" s="96">
        <f t="shared" si="220"/>
        <v>241.25364962890265</v>
      </c>
      <c r="BI73" s="144">
        <f>SUM(BE73:BH73)</f>
        <v>886.10471962604061</v>
      </c>
    </row>
    <row r="74" spans="1:61" outlineLevel="2" x14ac:dyDescent="0.2">
      <c r="A74" s="67" t="s">
        <v>226</v>
      </c>
      <c r="F74" s="68"/>
      <c r="K74" s="68"/>
      <c r="P74" s="68"/>
      <c r="U74" s="68"/>
      <c r="Z74" s="68"/>
      <c r="AA74" s="98">
        <f>AA73/AA86</f>
        <v>0.34915773353751917</v>
      </c>
      <c r="AB74" s="98">
        <f>AB73/AB86</f>
        <v>0.35235378031383735</v>
      </c>
      <c r="AC74" s="98">
        <f>AC73/AC86</f>
        <v>0.32702020202020204</v>
      </c>
      <c r="AD74" s="98">
        <f>AD73/AD86</f>
        <v>0.29461077844311379</v>
      </c>
      <c r="AE74" s="97"/>
      <c r="AF74" s="98">
        <f t="shared" ref="AF74:AT74" si="221">AF73/AF86</f>
        <v>0.39053254437869828</v>
      </c>
      <c r="AG74" s="98">
        <f t="shared" si="221"/>
        <v>0.36250000000000004</v>
      </c>
      <c r="AH74" s="98">
        <f t="shared" si="221"/>
        <v>0.40264650283553871</v>
      </c>
      <c r="AI74" s="98">
        <f t="shared" si="221"/>
        <v>0.38491353607632672</v>
      </c>
      <c r="AJ74" s="99">
        <f t="shared" si="221"/>
        <v>0.38540571151201358</v>
      </c>
      <c r="AK74" s="98">
        <f t="shared" si="221"/>
        <v>0.35697115384615385</v>
      </c>
      <c r="AL74" s="98">
        <f t="shared" si="221"/>
        <v>0.3677793904208998</v>
      </c>
      <c r="AM74" s="98">
        <f t="shared" si="221"/>
        <v>0.40058479532163743</v>
      </c>
      <c r="AN74" s="98">
        <f t="shared" si="221"/>
        <v>0.38025641025641027</v>
      </c>
      <c r="AO74" s="99">
        <f t="shared" si="221"/>
        <v>0.37720817457568412</v>
      </c>
      <c r="AP74" s="98">
        <f t="shared" si="221"/>
        <v>0.36100696304231383</v>
      </c>
      <c r="AQ74" s="98">
        <f t="shared" ref="AQ74" si="222">AQ73/AQ86</f>
        <v>0.37612554669410853</v>
      </c>
      <c r="AR74" s="98">
        <f t="shared" si="221"/>
        <v>0.39748457522543895</v>
      </c>
      <c r="AS74" s="98">
        <f t="shared" si="221"/>
        <v>0.39104477611940303</v>
      </c>
      <c r="AT74" s="99">
        <f t="shared" si="221"/>
        <v>0.38221124150710312</v>
      </c>
      <c r="AU74" s="220">
        <f t="shared" ref="AU74:AV74" si="223">AU73/AU86</f>
        <v>0.36905623944001936</v>
      </c>
      <c r="AV74" s="220">
        <f t="shared" si="223"/>
        <v>0.3732638888888889</v>
      </c>
      <c r="AW74" s="220">
        <f t="shared" ref="AW74:AX74" si="224">AW73/AW86</f>
        <v>0.40455580865603652</v>
      </c>
      <c r="AX74" s="220">
        <f t="shared" si="224"/>
        <v>0.3911414720141031</v>
      </c>
      <c r="AY74" s="99">
        <f t="shared" ref="AY74:AZ74" si="225">AY73/AY86</f>
        <v>0.38502017189966675</v>
      </c>
      <c r="AZ74" s="220">
        <f t="shared" si="225"/>
        <v>0.37353832828064099</v>
      </c>
      <c r="BA74" s="98">
        <f>BA73/BA86</f>
        <v>0.37750494412137009</v>
      </c>
      <c r="BB74" s="98">
        <f t="shared" ref="BB74:BD74" si="226">BB73/BB86</f>
        <v>0.39716627157172718</v>
      </c>
      <c r="BC74" s="98">
        <f t="shared" si="226"/>
        <v>0.38835211225733574</v>
      </c>
      <c r="BD74" s="99">
        <f t="shared" si="226"/>
        <v>0.38470330557988136</v>
      </c>
      <c r="BE74" s="98">
        <f t="shared" ref="BE74:BI74" si="227">BE73/BE86</f>
        <v>0.37162287615725986</v>
      </c>
      <c r="BF74" s="98">
        <f t="shared" si="227"/>
        <v>0.37740677553009999</v>
      </c>
      <c r="BG74" s="98">
        <f t="shared" si="227"/>
        <v>0.4031438830020142</v>
      </c>
      <c r="BH74" s="98">
        <f t="shared" si="227"/>
        <v>0.39905430131897535</v>
      </c>
      <c r="BI74" s="99">
        <f t="shared" si="227"/>
        <v>0.3884407099679868</v>
      </c>
    </row>
    <row r="75" spans="1:61" outlineLevel="2" x14ac:dyDescent="0.2">
      <c r="F75" s="68"/>
      <c r="K75" s="68"/>
      <c r="P75" s="68"/>
      <c r="U75" s="68"/>
      <c r="Z75" s="68"/>
      <c r="AA75" s="96"/>
      <c r="AB75" s="96"/>
      <c r="AC75" s="96"/>
      <c r="AD75" s="96"/>
      <c r="AE75" s="97"/>
      <c r="AF75" s="96"/>
      <c r="AG75" s="96"/>
      <c r="AH75" s="96"/>
      <c r="AI75" s="96"/>
      <c r="AJ75" s="97"/>
      <c r="AK75" s="96"/>
      <c r="AL75" s="96"/>
      <c r="AM75" s="96"/>
      <c r="AN75" s="96"/>
      <c r="AO75" s="68"/>
      <c r="AP75" s="96"/>
      <c r="AQ75" s="96"/>
      <c r="AR75" s="96"/>
      <c r="AS75" s="218"/>
      <c r="AT75" s="68"/>
      <c r="AU75" s="218"/>
      <c r="AV75" s="96"/>
      <c r="AW75" s="96"/>
      <c r="AX75" s="96"/>
      <c r="AY75" s="68"/>
      <c r="AZ75" s="218"/>
      <c r="BA75" s="96"/>
      <c r="BB75" s="96"/>
      <c r="BC75" s="96"/>
      <c r="BD75" s="68"/>
      <c r="BE75" s="96"/>
      <c r="BF75" s="96"/>
      <c r="BG75" s="96"/>
      <c r="BH75" s="96"/>
      <c r="BI75" s="68"/>
    </row>
    <row r="76" spans="1:61" s="69" customFormat="1" outlineLevel="2" x14ac:dyDescent="0.2">
      <c r="A76" s="70" t="s">
        <v>208</v>
      </c>
      <c r="F76" s="74"/>
      <c r="K76" s="74"/>
      <c r="P76" s="74"/>
      <c r="U76" s="74"/>
      <c r="Z76" s="74"/>
      <c r="AA76" s="94"/>
      <c r="AB76" s="94"/>
      <c r="AC76" s="94"/>
      <c r="AD76" s="94"/>
      <c r="AE76" s="95"/>
      <c r="AF76" s="94"/>
      <c r="AG76" s="94"/>
      <c r="AH76" s="94"/>
      <c r="AI76" s="94"/>
      <c r="AJ76" s="95"/>
      <c r="AK76" s="94"/>
      <c r="AL76" s="94"/>
      <c r="AM76" s="94"/>
      <c r="AN76" s="94"/>
      <c r="AO76" s="74"/>
      <c r="AP76" s="94"/>
      <c r="AQ76" s="94"/>
      <c r="AR76" s="94"/>
      <c r="AS76" s="219"/>
      <c r="AT76" s="74"/>
      <c r="AU76" s="219"/>
      <c r="AV76" s="94"/>
      <c r="AW76" s="94"/>
      <c r="AX76" s="94"/>
      <c r="AY76" s="74"/>
      <c r="AZ76" s="219"/>
      <c r="BA76" s="94"/>
      <c r="BB76" s="94"/>
      <c r="BC76" s="94"/>
      <c r="BD76" s="74"/>
      <c r="BE76" s="94"/>
      <c r="BF76" s="94"/>
      <c r="BG76" s="94"/>
      <c r="BH76" s="94"/>
      <c r="BI76" s="74"/>
    </row>
    <row r="77" spans="1:61" outlineLevel="2" x14ac:dyDescent="0.2">
      <c r="A77" s="67" t="s">
        <v>235</v>
      </c>
      <c r="F77" s="68"/>
      <c r="K77" s="68"/>
      <c r="P77" s="68"/>
      <c r="U77" s="68"/>
      <c r="Z77" s="68"/>
      <c r="AA77" s="191"/>
      <c r="AB77" s="191"/>
      <c r="AC77" s="191"/>
      <c r="AD77" s="191"/>
      <c r="AE77" s="97"/>
      <c r="AF77" s="96">
        <f>(AF89/AF43)*1000</f>
        <v>81.571815718157197</v>
      </c>
      <c r="AG77" s="96">
        <f t="shared" ref="AG77:AI77" si="228">(AG89/AG43)*1000</f>
        <v>83.48745046235139</v>
      </c>
      <c r="AH77" s="96">
        <f t="shared" si="228"/>
        <v>76.683937823834199</v>
      </c>
      <c r="AI77" s="96">
        <f t="shared" si="228"/>
        <v>78.607594936708864</v>
      </c>
      <c r="AJ77" s="144">
        <f>SUM(AF77:AI77)</f>
        <v>320.35079894105161</v>
      </c>
      <c r="AK77" s="96">
        <f>(AK89/AK43)*1000</f>
        <v>81.180811808118079</v>
      </c>
      <c r="AL77" s="96">
        <f t="shared" ref="AL77:AS77" si="229">(AL89/AL43)*1000</f>
        <v>75.240384615384613</v>
      </c>
      <c r="AM77" s="96">
        <f t="shared" si="229"/>
        <v>76.814988290398119</v>
      </c>
      <c r="AN77" s="96">
        <f t="shared" si="229"/>
        <v>80.251141552511413</v>
      </c>
      <c r="AO77" s="144">
        <f t="shared" ref="AO77" si="230">SUM(AK77:AN77)</f>
        <v>313.4873262664122</v>
      </c>
      <c r="AP77" s="96">
        <f>(AP89/AP43)*1000</f>
        <v>83.240223463687144</v>
      </c>
      <c r="AQ77" s="96">
        <f>(AQ89/AQ43)*1000</f>
        <v>78.672470076169745</v>
      </c>
      <c r="AR77" s="96">
        <f t="shared" si="229"/>
        <v>82.390608324439697</v>
      </c>
      <c r="AS77" s="218">
        <f t="shared" si="229"/>
        <v>85.368421052631575</v>
      </c>
      <c r="AT77" s="144">
        <f t="shared" ref="AT77" si="231">SUM(AP77:AS77)</f>
        <v>329.67172291692816</v>
      </c>
      <c r="AU77" s="218">
        <f t="shared" ref="AU77:AX77" si="232">(AU89/AU43)*1000</f>
        <v>88.841201716738198</v>
      </c>
      <c r="AV77" s="96">
        <f t="shared" si="232"/>
        <v>90.84210526315789</v>
      </c>
      <c r="AW77" s="96">
        <f t="shared" si="232"/>
        <v>86.978636826042731</v>
      </c>
      <c r="AX77" s="96">
        <f t="shared" si="232"/>
        <v>93.799212598425186</v>
      </c>
      <c r="AY77" s="144">
        <f t="shared" ref="AY77" si="233">SUM(AU77:AX77)</f>
        <v>360.46115640436398</v>
      </c>
      <c r="AZ77" s="218">
        <f t="shared" ref="AZ77" si="234">(AZ89/AZ43)*1000</f>
        <v>89.297658862876261</v>
      </c>
      <c r="BA77" s="96">
        <f t="shared" ref="BA77:BC77" si="235">(BA89/BA43)*1000</f>
        <v>87.536615962058235</v>
      </c>
      <c r="BB77" s="96">
        <f t="shared" si="235"/>
        <v>87.2414720940846</v>
      </c>
      <c r="BC77" s="96">
        <f t="shared" si="235"/>
        <v>86.024737138302299</v>
      </c>
      <c r="BD77" s="144">
        <f>SUM(AZ77:BC77)</f>
        <v>350.10048405732141</v>
      </c>
      <c r="BE77" s="96">
        <f t="shared" ref="BE77:BH77" si="236">(BE89/BE43)*1000</f>
        <v>86.299129396145645</v>
      </c>
      <c r="BF77" s="96">
        <f t="shared" si="236"/>
        <v>86.324869012828387</v>
      </c>
      <c r="BG77" s="96">
        <f t="shared" si="236"/>
        <v>85.389538100579188</v>
      </c>
      <c r="BH77" s="96">
        <f t="shared" si="236"/>
        <v>84.843219028081975</v>
      </c>
      <c r="BI77" s="144">
        <f t="shared" ref="BI77" si="237">SUM(BE77:BH77)</f>
        <v>342.85675553763519</v>
      </c>
    </row>
    <row r="78" spans="1:61" outlineLevel="2" x14ac:dyDescent="0.2">
      <c r="A78" s="67" t="s">
        <v>237</v>
      </c>
      <c r="F78" s="68"/>
      <c r="K78" s="68"/>
      <c r="P78" s="68"/>
      <c r="U78" s="68"/>
      <c r="Z78" s="68"/>
      <c r="AA78" s="191"/>
      <c r="AB78" s="191"/>
      <c r="AC78" s="191"/>
      <c r="AD78" s="191"/>
      <c r="AE78" s="97"/>
      <c r="AF78" s="96"/>
      <c r="AG78" s="96"/>
      <c r="AH78" s="96"/>
      <c r="AI78" s="96"/>
      <c r="AJ78" s="144"/>
      <c r="AK78" s="98">
        <f>AK77/AF77-1</f>
        <v>-4.7933701928383199E-3</v>
      </c>
      <c r="AL78" s="98">
        <f t="shared" ref="AL78:AN78" si="238">AL77/AG77-1</f>
        <v>-9.8782101996105265E-2</v>
      </c>
      <c r="AM78" s="98">
        <f t="shared" si="238"/>
        <v>1.708968922083498E-3</v>
      </c>
      <c r="AN78" s="98">
        <f t="shared" si="238"/>
        <v>2.0908241972367403E-2</v>
      </c>
      <c r="AO78" s="99">
        <f>AO77/AJ77-1</f>
        <v>-2.1424865170704188E-2</v>
      </c>
      <c r="AP78" s="98">
        <f>AP77/AK77-1</f>
        <v>2.5368207211782678E-2</v>
      </c>
      <c r="AQ78" s="98">
        <f>AQ77/AL77-1</f>
        <v>4.5614937753565954E-2</v>
      </c>
      <c r="AR78" s="98">
        <f t="shared" ref="AR78" si="239">AR77/AM77-1</f>
        <v>7.2585053491943663E-2</v>
      </c>
      <c r="AS78" s="220">
        <f t="shared" ref="AS78" si="240">AS77/AN77-1</f>
        <v>6.3765815677172988E-2</v>
      </c>
      <c r="AT78" s="99">
        <f>AT77/AO77-1</f>
        <v>5.1626956800039592E-2</v>
      </c>
      <c r="AU78" s="220">
        <f>AU77/AP77-1</f>
        <v>6.7286919952761037E-2</v>
      </c>
      <c r="AV78" s="98">
        <f t="shared" ref="AV78" si="241">AV77/AQ77-1</f>
        <v>0.15468734075853541</v>
      </c>
      <c r="AW78" s="98">
        <f t="shared" ref="AW78" si="242">AW77/AR77-1</f>
        <v>5.5686304481891824E-2</v>
      </c>
      <c r="AX78" s="98">
        <f t="shared" ref="AX78" si="243">AX77/AS77-1</f>
        <v>9.8757730807693456E-2</v>
      </c>
      <c r="AY78" s="99">
        <f>AY77/AT77-1</f>
        <v>9.3394220210977208E-2</v>
      </c>
      <c r="AZ78" s="220">
        <f>AZ77/AU77-1</f>
        <v>5.1378992777859622E-3</v>
      </c>
      <c r="BA78" s="98">
        <f t="shared" ref="BA78" si="244">BA77/AV77-1</f>
        <v>-3.6387193928675177E-2</v>
      </c>
      <c r="BB78" s="98">
        <f t="shared" ref="BB78" si="245">BB77/AW77-1</f>
        <v>3.0218370583059428E-3</v>
      </c>
      <c r="BC78" s="98">
        <f t="shared" ref="BC78" si="246">BC77/AX77-1</f>
        <v>-8.2884229459442293E-2</v>
      </c>
      <c r="BD78" s="99">
        <f>BD77/AY77-1</f>
        <v>-2.8742826135252142E-2</v>
      </c>
      <c r="BE78" s="98">
        <f>BE77/AZ77-1</f>
        <v>-3.3579037848406545E-2</v>
      </c>
      <c r="BF78" s="98">
        <f t="shared" ref="BF78" si="247">BF77/BA77-1</f>
        <v>-1.3842743815400294E-2</v>
      </c>
      <c r="BG78" s="98">
        <f t="shared" ref="BG78" si="248">BG77/BB77-1</f>
        <v>-2.1227679325587445E-2</v>
      </c>
      <c r="BH78" s="98">
        <f t="shared" ref="BH78" si="249">BH77/BC77-1</f>
        <v>-1.3734632031723537E-2</v>
      </c>
      <c r="BI78" s="99">
        <f>BI77/BD77-1</f>
        <v>-2.0690427033229097E-2</v>
      </c>
    </row>
    <row r="79" spans="1:61" outlineLevel="1" x14ac:dyDescent="0.2">
      <c r="F79" s="68"/>
      <c r="K79" s="68"/>
      <c r="P79" s="68"/>
      <c r="U79" s="68"/>
      <c r="Z79" s="68"/>
      <c r="AA79" s="173"/>
      <c r="AB79" s="173"/>
      <c r="AC79" s="173"/>
      <c r="AD79" s="173"/>
      <c r="AE79" s="68"/>
      <c r="AF79" s="173"/>
      <c r="AG79" s="173"/>
      <c r="AH79" s="173"/>
      <c r="AI79" s="173"/>
      <c r="AJ79" s="68"/>
      <c r="AK79" s="173"/>
      <c r="AL79" s="173"/>
      <c r="AM79" s="173"/>
      <c r="AN79" s="173"/>
      <c r="AO79" s="68"/>
      <c r="AS79" s="205"/>
      <c r="AT79" s="68"/>
      <c r="AY79" s="68"/>
      <c r="BD79" s="68"/>
      <c r="BI79" s="68"/>
    </row>
    <row r="80" spans="1:61" x14ac:dyDescent="0.2">
      <c r="F80" s="68"/>
      <c r="K80" s="68"/>
      <c r="P80" s="68"/>
      <c r="U80" s="68"/>
      <c r="Z80" s="68"/>
      <c r="AE80" s="68"/>
      <c r="AJ80" s="68"/>
      <c r="AO80" s="68"/>
      <c r="AS80" s="205"/>
      <c r="AT80" s="68"/>
      <c r="AX80" s="205"/>
      <c r="AY80" s="68"/>
      <c r="BD80" s="68"/>
      <c r="BI80" s="68"/>
    </row>
    <row r="81" spans="1:61" hidden="1" outlineLevel="1" x14ac:dyDescent="0.2">
      <c r="A81" s="67" t="s">
        <v>182</v>
      </c>
      <c r="B81" s="146">
        <v>5.6</v>
      </c>
      <c r="C81" s="146">
        <v>7.1</v>
      </c>
      <c r="D81" s="146">
        <v>6.8</v>
      </c>
      <c r="E81" s="146">
        <v>5.4</v>
      </c>
      <c r="F81" s="148">
        <v>6.2</v>
      </c>
      <c r="G81" s="146">
        <v>9.5</v>
      </c>
      <c r="H81" s="146">
        <v>2.1</v>
      </c>
      <c r="I81" s="146">
        <v>6.9</v>
      </c>
      <c r="J81" s="146">
        <v>9.8000000000000007</v>
      </c>
      <c r="K81" s="148">
        <v>7</v>
      </c>
      <c r="L81" s="146">
        <v>8.1999999999999993</v>
      </c>
      <c r="M81" s="146">
        <v>11.2</v>
      </c>
      <c r="N81" s="146">
        <v>8.6999999999999993</v>
      </c>
      <c r="O81" s="146">
        <v>6.9</v>
      </c>
      <c r="P81" s="148">
        <v>8.6999999999999993</v>
      </c>
      <c r="Q81" s="146">
        <v>9.9</v>
      </c>
      <c r="R81" s="146">
        <v>10.199999999999999</v>
      </c>
      <c r="S81" s="146">
        <v>9.1999999999999993</v>
      </c>
      <c r="T81" s="146">
        <v>9.5</v>
      </c>
      <c r="U81" s="148">
        <v>9.6999999999999993</v>
      </c>
      <c r="V81" s="146">
        <v>6.2</v>
      </c>
      <c r="W81" s="146">
        <v>0.5</v>
      </c>
      <c r="X81" s="146">
        <v>-5</v>
      </c>
      <c r="Y81" s="146">
        <v>8.9</v>
      </c>
      <c r="Z81" s="148">
        <v>2.6</v>
      </c>
      <c r="AA81" s="146">
        <v>6.1</v>
      </c>
      <c r="AB81" s="146">
        <v>19.8</v>
      </c>
      <c r="AC81" s="146">
        <v>36.1</v>
      </c>
      <c r="AD81" s="146">
        <v>17.3</v>
      </c>
      <c r="AE81" s="148">
        <v>19.600000000000001</v>
      </c>
      <c r="AF81" s="146">
        <v>22.1</v>
      </c>
      <c r="AG81" s="146">
        <v>10</v>
      </c>
      <c r="AH81" s="146">
        <v>7.1</v>
      </c>
      <c r="AI81" s="146">
        <v>8.5</v>
      </c>
      <c r="AJ81" s="148">
        <v>11.4</v>
      </c>
      <c r="AK81" s="83">
        <v>12.7</v>
      </c>
      <c r="AL81" s="150">
        <v>14.2</v>
      </c>
      <c r="AM81" s="150">
        <v>12.1</v>
      </c>
      <c r="AN81" s="150">
        <v>9.1</v>
      </c>
      <c r="AO81" s="84">
        <f>AK86/AO86*AK81+AL86/AO86*AL81+AM86/AO86*AM81+AN86/AO86*AN81</f>
        <v>11.928978178039486</v>
      </c>
      <c r="AP81" s="150">
        <v>6.1</v>
      </c>
      <c r="AQ81" s="150">
        <v>7.4</v>
      </c>
      <c r="AR81" s="150">
        <v>6.7</v>
      </c>
      <c r="AS81" s="150">
        <v>5.9</v>
      </c>
      <c r="AT81" s="84">
        <f>AP86/AT86*AP81+AQ86/AT86*AQ81+AR86/AT86*AR81+AS86/AT86*AS81</f>
        <v>6.5144842495367508</v>
      </c>
      <c r="AU81" s="150">
        <v>8.1999999999999993</v>
      </c>
      <c r="AV81" s="150">
        <v>4.8</v>
      </c>
      <c r="AW81" s="150">
        <v>4.2</v>
      </c>
      <c r="AX81" s="150">
        <v>5.4</v>
      </c>
      <c r="AY81" s="84">
        <f>AU86/AY86*AU81+AV86/AY86*AV81+AW86/AY86*AW81+AX86/AY86*AX81</f>
        <v>5.6288019645676197</v>
      </c>
      <c r="AZ81" s="177">
        <v>5.6</v>
      </c>
      <c r="BA81" s="177">
        <v>5.4</v>
      </c>
      <c r="BB81" s="177">
        <v>6</v>
      </c>
      <c r="BC81" s="177">
        <v>5.3</v>
      </c>
      <c r="BD81" s="84">
        <f>AZ86/BD86*AZ81+BA86/BD86*BA81+BB86/BD86*BB81+BC86/BD86*BC81</f>
        <v>5.5746247341866253</v>
      </c>
      <c r="BE81" s="177">
        <v>3.8</v>
      </c>
      <c r="BF81" s="177">
        <v>3.9</v>
      </c>
      <c r="BG81" s="177">
        <v>3.6</v>
      </c>
      <c r="BH81" s="177">
        <v>4.3</v>
      </c>
      <c r="BI81" s="84">
        <f>BE86/BI86*BE81+BF86/BI86*BF81+BG86/BI86*BG81+BH86/BI86*BH81</f>
        <v>3.9049861982964167</v>
      </c>
    </row>
    <row r="82" spans="1:61" hidden="1" outlineLevel="1" x14ac:dyDescent="0.2">
      <c r="A82" s="67" t="s">
        <v>183</v>
      </c>
      <c r="B82" s="146">
        <v>7.8</v>
      </c>
      <c r="C82" s="146">
        <v>8.4</v>
      </c>
      <c r="D82" s="146">
        <v>8.5</v>
      </c>
      <c r="E82" s="146">
        <v>7.4</v>
      </c>
      <c r="F82" s="148">
        <v>8</v>
      </c>
      <c r="G82" s="146">
        <v>8.9</v>
      </c>
      <c r="H82" s="146">
        <v>4.7</v>
      </c>
      <c r="I82" s="146">
        <v>8.3000000000000007</v>
      </c>
      <c r="J82" s="146">
        <v>8.1</v>
      </c>
      <c r="K82" s="148">
        <v>7.5</v>
      </c>
      <c r="L82" s="146">
        <v>7.7</v>
      </c>
      <c r="M82" s="146">
        <v>8.5</v>
      </c>
      <c r="N82" s="146">
        <v>7.4</v>
      </c>
      <c r="O82" s="146">
        <v>8.1</v>
      </c>
      <c r="P82" s="148">
        <v>8</v>
      </c>
      <c r="Q82" s="146">
        <v>9.8000000000000007</v>
      </c>
      <c r="R82" s="146">
        <v>11.2</v>
      </c>
      <c r="S82" s="146">
        <v>10</v>
      </c>
      <c r="T82" s="146">
        <v>10.4</v>
      </c>
      <c r="U82" s="148">
        <v>10.4</v>
      </c>
      <c r="V82" s="146">
        <v>9.8000000000000007</v>
      </c>
      <c r="W82" s="146">
        <v>0.8</v>
      </c>
      <c r="X82" s="146">
        <v>-10</v>
      </c>
      <c r="Y82" s="146">
        <v>7.9</v>
      </c>
      <c r="Z82" s="148">
        <v>2.1</v>
      </c>
      <c r="AA82" s="146">
        <v>6</v>
      </c>
      <c r="AB82" s="146">
        <v>20.399999999999999</v>
      </c>
      <c r="AC82" s="146">
        <v>43.9</v>
      </c>
      <c r="AD82" s="146">
        <v>22.1</v>
      </c>
      <c r="AE82" s="148">
        <v>22.4</v>
      </c>
      <c r="AF82" s="146">
        <v>26.8</v>
      </c>
      <c r="AG82" s="146">
        <v>15.5</v>
      </c>
      <c r="AH82" s="146">
        <v>12.1</v>
      </c>
      <c r="AI82" s="146">
        <v>9.8000000000000007</v>
      </c>
      <c r="AJ82" s="148">
        <v>15.5</v>
      </c>
      <c r="AK82" s="83">
        <v>11.2</v>
      </c>
      <c r="AL82" s="150">
        <v>12.9</v>
      </c>
      <c r="AM82" s="150">
        <v>12.8</v>
      </c>
      <c r="AN82" s="150">
        <v>10.8</v>
      </c>
      <c r="AO82" s="84">
        <f>AK86/AO86*AK82+AL86/AO86*AL82+AM86/AO86*AM82+AN86/AO86*AN82</f>
        <v>11.914631104953239</v>
      </c>
      <c r="AP82" s="150">
        <v>8</v>
      </c>
      <c r="AQ82" s="150">
        <v>8</v>
      </c>
      <c r="AR82" s="150">
        <v>6.4</v>
      </c>
      <c r="AS82" s="150">
        <v>5.0999999999999996</v>
      </c>
      <c r="AT82" s="84">
        <f>AP86/AT86*AP82+AQ86/AT86*AQ82+AR86/AT86*AR82+AS86/AT86*AS82</f>
        <v>6.8034651019147621</v>
      </c>
      <c r="AU82" s="150">
        <v>7.8</v>
      </c>
      <c r="AV82" s="150">
        <v>6.6</v>
      </c>
      <c r="AW82" s="150">
        <v>5.44</v>
      </c>
      <c r="AX82" s="150">
        <v>6.5</v>
      </c>
      <c r="AY82" s="84">
        <f>AU86/AY86*AU82+AV86/AY86*AV82+AW86/AY86*AW82+AX86/AY86*AX82</f>
        <v>6.5664035549318829</v>
      </c>
      <c r="AZ82" s="177">
        <v>6.1</v>
      </c>
      <c r="BA82" s="177">
        <v>5.3</v>
      </c>
      <c r="BB82" s="177">
        <v>5.5</v>
      </c>
      <c r="BC82" s="177">
        <v>4.8</v>
      </c>
      <c r="BD82" s="84">
        <f>AZ86/BD86*AZ82+BA86/BD86*BA82+BB86/BD86*BB82+BC86/BD86*BC82</f>
        <v>5.3955094913204231</v>
      </c>
      <c r="BE82" s="177">
        <v>3.3</v>
      </c>
      <c r="BF82" s="177">
        <v>4.2</v>
      </c>
      <c r="BG82" s="177">
        <v>3.9</v>
      </c>
      <c r="BH82" s="177">
        <v>3.9</v>
      </c>
      <c r="BI82" s="84">
        <f>BE86/BI86*BE82+BF86/BI86*BF82+BG86/BI86*BG82+BH86/BI86*BH82</f>
        <v>3.8317717250397649</v>
      </c>
    </row>
    <row r="83" spans="1:61" s="69" customFormat="1" collapsed="1" x14ac:dyDescent="0.2">
      <c r="A83" s="69" t="s">
        <v>184</v>
      </c>
      <c r="B83" s="78"/>
      <c r="C83" s="78"/>
      <c r="D83" s="78"/>
      <c r="E83" s="78"/>
      <c r="F83" s="79"/>
      <c r="G83" s="78">
        <v>9</v>
      </c>
      <c r="H83" s="78">
        <v>3.9</v>
      </c>
      <c r="I83" s="78">
        <v>7.9</v>
      </c>
      <c r="J83" s="78">
        <v>8.6</v>
      </c>
      <c r="K83" s="79">
        <v>7.4</v>
      </c>
      <c r="L83" s="78">
        <v>7.9</v>
      </c>
      <c r="M83" s="78">
        <v>9.6</v>
      </c>
      <c r="N83" s="78">
        <v>7.9</v>
      </c>
      <c r="O83" s="78">
        <v>7.6</v>
      </c>
      <c r="P83" s="79">
        <v>8.3000000000000007</v>
      </c>
      <c r="Q83" s="78">
        <v>9.8000000000000007</v>
      </c>
      <c r="R83" s="78">
        <v>10.8</v>
      </c>
      <c r="S83" s="78">
        <v>9.6999999999999993</v>
      </c>
      <c r="T83" s="78">
        <v>10</v>
      </c>
      <c r="U83" s="79">
        <v>10.1</v>
      </c>
      <c r="V83" s="78">
        <v>8.3000000000000007</v>
      </c>
      <c r="W83" s="78">
        <v>0.7</v>
      </c>
      <c r="X83" s="78">
        <v>-8</v>
      </c>
      <c r="Y83" s="78">
        <v>8.3000000000000007</v>
      </c>
      <c r="Z83" s="79">
        <v>2.2999999999999998</v>
      </c>
      <c r="AA83" s="78">
        <v>6</v>
      </c>
      <c r="AB83" s="78">
        <v>20.2</v>
      </c>
      <c r="AC83" s="78">
        <v>40.5</v>
      </c>
      <c r="AD83" s="78">
        <v>20.100000000000001</v>
      </c>
      <c r="AE83" s="79">
        <v>21.2</v>
      </c>
      <c r="AF83" s="78">
        <v>24.7</v>
      </c>
      <c r="AG83" s="78">
        <v>13.1</v>
      </c>
      <c r="AH83" s="78">
        <v>9.9</v>
      </c>
      <c r="AI83" s="78">
        <v>9.1999999999999993</v>
      </c>
      <c r="AJ83" s="79">
        <v>13.7</v>
      </c>
      <c r="AK83" s="78">
        <v>11.9</v>
      </c>
      <c r="AL83" s="78">
        <v>13.5</v>
      </c>
      <c r="AM83" s="200">
        <v>12.5</v>
      </c>
      <c r="AN83" s="200">
        <v>10</v>
      </c>
      <c r="AO83" s="79">
        <f>AK86/AO86*AK83+AL86/AO86*AL83+AM86/AO86*AM83+AN86/AO86*AN83</f>
        <v>11.924883962590926</v>
      </c>
      <c r="AP83" s="200">
        <v>7.1</v>
      </c>
      <c r="AQ83" s="200">
        <v>7.7</v>
      </c>
      <c r="AR83" s="78">
        <v>6.5</v>
      </c>
      <c r="AS83" s="200">
        <v>5.4</v>
      </c>
      <c r="AT83" s="79">
        <f>AP86/AT86*AP83+AQ86/AT86*AQ83+AR86/AT86*AR83+AS86/AT86*AS83</f>
        <v>6.6305929586164298</v>
      </c>
      <c r="AU83" s="200">
        <f>((AU43/AU52)*AU81)+((AU50/AU52)*AU82)</f>
        <v>7.9822982885085558</v>
      </c>
      <c r="AV83" s="78">
        <f>((AV43/AV52)*AV81)+((AV50/AV52)*AV82)</f>
        <v>5.7770933589990374</v>
      </c>
      <c r="AW83" s="78">
        <f>((AW43/AW52)*AW81)+((AW50/AW52)*AW82)</f>
        <v>4.8661205273069683</v>
      </c>
      <c r="AX83" s="200">
        <f>((AX43/AX52)*AX81)+((AX50/AX52)*AX82)</f>
        <v>5.9873394495412846</v>
      </c>
      <c r="AY83" s="79">
        <f>AU86/AY86*AU83+AV86/AY86*AV83+AW86/AY86*AW83+AX86/AY86*AX83</f>
        <v>6.1332349745466299</v>
      </c>
      <c r="AZ83" s="78">
        <v>5.8</v>
      </c>
      <c r="BA83" s="78">
        <f>((BA43/BA52)*BA81)+((BA50/BA52)*BA82)</f>
        <v>5.350309533635988</v>
      </c>
      <c r="BB83" s="78">
        <f>((BB43/BB52)*BB81)+((BB50/BB52)*BB82)</f>
        <v>5.7514170040485819</v>
      </c>
      <c r="BC83" s="78">
        <f>((BC43/BC52)*BC81)+((BC50/BC52)*BC82)</f>
        <v>5.0511867088607598</v>
      </c>
      <c r="BD83" s="79">
        <f>AZ86/BD86*AZ83+BA86/BD86*BA83+BB86/BD86*BB83+BC86/BD86*BC83</f>
        <v>5.4746779659040641</v>
      </c>
      <c r="BE83" s="78">
        <f>((BE43/BE52)*BE81)+((BE50/BE52)*BE82)</f>
        <v>3.5506801399144963</v>
      </c>
      <c r="BF83" s="78">
        <f>((BF43/BF52)*BF81)+((BF50/BF52)*BF82)</f>
        <v>4.0498854087089384</v>
      </c>
      <c r="BG83" s="78">
        <f>((BG43/BG52)*BG81)+((BG50/BG52)*BG82)</f>
        <v>3.7502807937102212</v>
      </c>
      <c r="BH83" s="78">
        <f>((BH43/BH52)*BH81)+((BH50/BH52)*BH82)</f>
        <v>4.0994869915720047</v>
      </c>
      <c r="BI83" s="79">
        <f>BE86/BI86*BE83+BF86/BI86*BF83+BG86/BI86*BG83+BH86/BI86*BH83</f>
        <v>3.868447464542248</v>
      </c>
    </row>
    <row r="84" spans="1:61" x14ac:dyDescent="0.2">
      <c r="F84" s="68"/>
      <c r="K84" s="68"/>
      <c r="P84" s="68"/>
      <c r="U84" s="68"/>
      <c r="Z84" s="68"/>
      <c r="AE84" s="68"/>
      <c r="AJ84" s="68"/>
      <c r="AO84" s="68"/>
      <c r="AS84" s="205"/>
      <c r="AT84" s="68"/>
      <c r="AY84" s="68"/>
      <c r="BD84" s="68"/>
      <c r="BI84" s="68"/>
    </row>
    <row r="85" spans="1:61" x14ac:dyDescent="0.2">
      <c r="A85" s="77" t="s">
        <v>105</v>
      </c>
      <c r="F85" s="68"/>
      <c r="K85" s="68"/>
      <c r="P85" s="68"/>
      <c r="U85" s="68"/>
      <c r="Z85" s="68"/>
      <c r="AA85" s="173"/>
      <c r="AB85" s="173"/>
      <c r="AC85" s="173"/>
      <c r="AD85" s="173"/>
      <c r="AE85" s="68"/>
      <c r="AH85" s="173"/>
      <c r="AJ85" s="183"/>
      <c r="AO85" s="68"/>
      <c r="AS85" s="205"/>
      <c r="AT85" s="68"/>
      <c r="AY85" s="68"/>
      <c r="BD85" s="68"/>
      <c r="BI85" s="68"/>
    </row>
    <row r="86" spans="1:61" s="69" customFormat="1" x14ac:dyDescent="0.2">
      <c r="A86" s="69" t="s">
        <v>103</v>
      </c>
      <c r="B86" s="78">
        <v>456</v>
      </c>
      <c r="C86" s="78">
        <v>480</v>
      </c>
      <c r="D86" s="78">
        <v>499</v>
      </c>
      <c r="E86" s="78">
        <v>494</v>
      </c>
      <c r="F86" s="79">
        <f>SUM(B86:E86)</f>
        <v>1929</v>
      </c>
      <c r="G86" s="78">
        <v>489</v>
      </c>
      <c r="H86" s="78">
        <v>514</v>
      </c>
      <c r="I86" s="78">
        <v>534</v>
      </c>
      <c r="J86" s="78">
        <v>547</v>
      </c>
      <c r="K86" s="79">
        <f>SUM(G86:J86)</f>
        <v>2084</v>
      </c>
      <c r="L86" s="78">
        <v>545</v>
      </c>
      <c r="M86" s="78">
        <v>569</v>
      </c>
      <c r="N86" s="78">
        <v>577</v>
      </c>
      <c r="O86" s="78">
        <v>594</v>
      </c>
      <c r="P86" s="79">
        <f>SUM(L86:O86)</f>
        <v>2285</v>
      </c>
      <c r="Q86" s="78">
        <v>557</v>
      </c>
      <c r="R86" s="78">
        <v>591</v>
      </c>
      <c r="S86" s="78">
        <v>613</v>
      </c>
      <c r="T86" s="78">
        <v>629</v>
      </c>
      <c r="U86" s="79">
        <f>SUM(Q86:T86)</f>
        <v>2390</v>
      </c>
      <c r="V86" s="78">
        <v>607</v>
      </c>
      <c r="W86" s="78">
        <v>578</v>
      </c>
      <c r="X86" s="78">
        <v>516</v>
      </c>
      <c r="Y86" s="78">
        <v>652</v>
      </c>
      <c r="Z86" s="79">
        <f>SUM(V86:Y86)</f>
        <v>2353</v>
      </c>
      <c r="AA86" s="78">
        <v>653</v>
      </c>
      <c r="AB86" s="78">
        <v>701</v>
      </c>
      <c r="AC86" s="78">
        <v>792</v>
      </c>
      <c r="AD86" s="78">
        <v>835</v>
      </c>
      <c r="AE86" s="79">
        <f>SUM(AA86:AD86)</f>
        <v>2981</v>
      </c>
      <c r="AF86" s="78">
        <v>287.3</v>
      </c>
      <c r="AG86" s="78">
        <v>296</v>
      </c>
      <c r="AH86" s="78">
        <v>317.39999999999998</v>
      </c>
      <c r="AI86" s="78">
        <v>335.4</v>
      </c>
      <c r="AJ86" s="79">
        <f>SUM(AF86:AI86)</f>
        <v>1236.0999999999999</v>
      </c>
      <c r="AK86" s="78">
        <v>332.8</v>
      </c>
      <c r="AL86" s="78">
        <v>344.5</v>
      </c>
      <c r="AM86" s="200">
        <v>376.2</v>
      </c>
      <c r="AN86" s="200">
        <v>390</v>
      </c>
      <c r="AO86" s="79">
        <f>SUM(AK86:AN86)</f>
        <v>1443.5</v>
      </c>
      <c r="AP86" s="200">
        <v>373.4</v>
      </c>
      <c r="AQ86" s="78">
        <v>388.7</v>
      </c>
      <c r="AR86" s="200">
        <v>421.4</v>
      </c>
      <c r="AS86" s="200">
        <v>435.5</v>
      </c>
      <c r="AT86" s="79">
        <f>SUM(AP86:AS86)</f>
        <v>1619</v>
      </c>
      <c r="AU86" s="200">
        <v>414.3</v>
      </c>
      <c r="AV86" s="200">
        <v>403.2</v>
      </c>
      <c r="AW86" s="200">
        <v>439</v>
      </c>
      <c r="AX86" s="200">
        <v>453.8</v>
      </c>
      <c r="AY86" s="79">
        <f>SUM(AU86:AX86)</f>
        <v>1710.3</v>
      </c>
      <c r="AZ86" s="200">
        <v>461.8</v>
      </c>
      <c r="BA86" s="78">
        <f>BA67</f>
        <v>505.72101828317045</v>
      </c>
      <c r="BB86" s="78">
        <f>BB67</f>
        <v>541.76954170426529</v>
      </c>
      <c r="BC86" s="78">
        <f>BC67</f>
        <v>560.26367264432781</v>
      </c>
      <c r="BD86" s="79">
        <f>SUM(AZ86:BC86)</f>
        <v>2069.5542326317636</v>
      </c>
      <c r="BE86" s="78">
        <f>BE67</f>
        <v>535.22056212032635</v>
      </c>
      <c r="BF86" s="78">
        <f>BF67</f>
        <v>551.63696783807416</v>
      </c>
      <c r="BG86" s="78">
        <f>BG67</f>
        <v>589.76297558586555</v>
      </c>
      <c r="BH86" s="78">
        <f>BH67</f>
        <v>604.56346124198728</v>
      </c>
      <c r="BI86" s="79">
        <f>SUM(BE86:BH86)</f>
        <v>2281.1839667862532</v>
      </c>
    </row>
    <row r="87" spans="1:61" x14ac:dyDescent="0.2">
      <c r="A87" s="80" t="s">
        <v>104</v>
      </c>
      <c r="B87" s="81">
        <v>280</v>
      </c>
      <c r="C87" s="81">
        <v>288</v>
      </c>
      <c r="D87" s="81">
        <v>300</v>
      </c>
      <c r="E87" s="81">
        <v>300</v>
      </c>
      <c r="F87" s="82">
        <f>SUM(B87:E87)</f>
        <v>1168</v>
      </c>
      <c r="G87" s="81">
        <v>304</v>
      </c>
      <c r="H87" s="81">
        <v>316</v>
      </c>
      <c r="I87" s="81">
        <v>337</v>
      </c>
      <c r="J87" s="81">
        <v>349</v>
      </c>
      <c r="K87" s="82">
        <f>SUM(G87:J87)</f>
        <v>1306</v>
      </c>
      <c r="L87" s="81">
        <v>350</v>
      </c>
      <c r="M87" s="81">
        <v>362</v>
      </c>
      <c r="N87" s="81">
        <v>376</v>
      </c>
      <c r="O87" s="81">
        <v>391</v>
      </c>
      <c r="P87" s="82">
        <f>SUM(L87:O87)</f>
        <v>1479</v>
      </c>
      <c r="Q87" s="81">
        <v>374</v>
      </c>
      <c r="R87" s="81">
        <v>388</v>
      </c>
      <c r="S87" s="81">
        <v>406</v>
      </c>
      <c r="T87" s="81">
        <v>412</v>
      </c>
      <c r="U87" s="82">
        <f>SUM(Q87:T87)</f>
        <v>1580</v>
      </c>
      <c r="V87" s="81">
        <v>396</v>
      </c>
      <c r="W87" s="81">
        <v>371</v>
      </c>
      <c r="X87" s="81">
        <v>329</v>
      </c>
      <c r="Y87" s="81">
        <v>394</v>
      </c>
      <c r="Z87" s="82">
        <f>SUM(V87:Y87)</f>
        <v>1490</v>
      </c>
      <c r="AA87" s="81">
        <v>425</v>
      </c>
      <c r="AB87" s="81">
        <v>454</v>
      </c>
      <c r="AC87" s="81">
        <v>533</v>
      </c>
      <c r="AD87" s="81">
        <v>589</v>
      </c>
      <c r="AE87" s="82">
        <f>SUM(AA87:AD87)</f>
        <v>2001</v>
      </c>
      <c r="AF87" s="81">
        <v>175.1</v>
      </c>
      <c r="AG87" s="81">
        <v>188.7</v>
      </c>
      <c r="AH87" s="81">
        <v>189.6</v>
      </c>
      <c r="AI87" s="81">
        <v>206.3</v>
      </c>
      <c r="AJ87" s="82">
        <f>SUM(AF87:AI87)</f>
        <v>759.7</v>
      </c>
      <c r="AK87" s="81">
        <v>214</v>
      </c>
      <c r="AL87" s="81">
        <v>217.8</v>
      </c>
      <c r="AM87" s="201">
        <v>225.5</v>
      </c>
      <c r="AN87" s="201">
        <v>241.7</v>
      </c>
      <c r="AO87" s="82">
        <f>SUM(AK87:AN87)</f>
        <v>899</v>
      </c>
      <c r="AP87" s="201">
        <v>238.6</v>
      </c>
      <c r="AQ87" s="81">
        <v>242.5</v>
      </c>
      <c r="AR87" s="201">
        <v>253.9</v>
      </c>
      <c r="AS87" s="201">
        <v>265.2</v>
      </c>
      <c r="AT87" s="82">
        <f>SUM(AP87:AS87)</f>
        <v>1000.2</v>
      </c>
      <c r="AU87" s="201">
        <v>261.39999999999998</v>
      </c>
      <c r="AV87" s="201">
        <v>252.7</v>
      </c>
      <c r="AW87" s="201">
        <v>261.39999999999998</v>
      </c>
      <c r="AX87" s="201">
        <v>276.3</v>
      </c>
      <c r="AY87" s="82">
        <f>SUM(AU87:AX87)</f>
        <v>1051.8</v>
      </c>
      <c r="AZ87" s="201">
        <v>289.3</v>
      </c>
      <c r="BA87" s="81">
        <f t="shared" ref="BA87:BC87" si="250">BA86-BA88</f>
        <v>314.80883353517982</v>
      </c>
      <c r="BB87" s="81">
        <f t="shared" si="250"/>
        <v>326.59695277445888</v>
      </c>
      <c r="BC87" s="81">
        <f t="shared" si="250"/>
        <v>342.68409195185063</v>
      </c>
      <c r="BD87" s="82">
        <f>SUM(AZ87:BC87)</f>
        <v>1273.3898782614895</v>
      </c>
      <c r="BE87" s="81">
        <f>BE86-BE88</f>
        <v>336.3203574466653</v>
      </c>
      <c r="BF87" s="81">
        <f t="shared" ref="BF87:BH87" si="251">BF86-BF88</f>
        <v>343.44543854310513</v>
      </c>
      <c r="BG87" s="81">
        <f t="shared" si="251"/>
        <v>352.00363955735759</v>
      </c>
      <c r="BH87" s="81">
        <f t="shared" si="251"/>
        <v>363.30981161308466</v>
      </c>
      <c r="BI87" s="82">
        <f>SUM(BE87:BH87)</f>
        <v>1395.0792471602126</v>
      </c>
    </row>
    <row r="88" spans="1:61" s="69" customFormat="1" x14ac:dyDescent="0.2">
      <c r="A88" s="69" t="s">
        <v>47</v>
      </c>
      <c r="B88" s="78">
        <f>B86-B87</f>
        <v>176</v>
      </c>
      <c r="C88" s="78">
        <f t="shared" ref="C88:E88" si="252">C86-C87</f>
        <v>192</v>
      </c>
      <c r="D88" s="78">
        <f t="shared" si="252"/>
        <v>199</v>
      </c>
      <c r="E88" s="78">
        <f t="shared" si="252"/>
        <v>194</v>
      </c>
      <c r="F88" s="79">
        <f>F86-F87</f>
        <v>761</v>
      </c>
      <c r="G88" s="78">
        <f>G86-G87</f>
        <v>185</v>
      </c>
      <c r="H88" s="78">
        <f t="shared" ref="H88:J88" si="253">H86-H87</f>
        <v>198</v>
      </c>
      <c r="I88" s="78">
        <f t="shared" si="253"/>
        <v>197</v>
      </c>
      <c r="J88" s="78">
        <f t="shared" si="253"/>
        <v>198</v>
      </c>
      <c r="K88" s="79">
        <f>K86-K87</f>
        <v>778</v>
      </c>
      <c r="L88" s="78">
        <f>L86-L87</f>
        <v>195</v>
      </c>
      <c r="M88" s="78">
        <f t="shared" ref="M88" si="254">M86-M87</f>
        <v>207</v>
      </c>
      <c r="N88" s="78">
        <f t="shared" ref="N88" si="255">N86-N87</f>
        <v>201</v>
      </c>
      <c r="O88" s="78">
        <f t="shared" ref="O88" si="256">O86-O87</f>
        <v>203</v>
      </c>
      <c r="P88" s="79">
        <f>P86-P87</f>
        <v>806</v>
      </c>
      <c r="Q88" s="78">
        <f>Q86-Q87</f>
        <v>183</v>
      </c>
      <c r="R88" s="78">
        <f t="shared" ref="R88" si="257">R86-R87</f>
        <v>203</v>
      </c>
      <c r="S88" s="78">
        <f t="shared" ref="S88" si="258">S86-S87</f>
        <v>207</v>
      </c>
      <c r="T88" s="78">
        <f t="shared" ref="T88" si="259">T86-T87</f>
        <v>217</v>
      </c>
      <c r="U88" s="79">
        <f>U86-U87</f>
        <v>810</v>
      </c>
      <c r="V88" s="78">
        <f>V86-V87</f>
        <v>211</v>
      </c>
      <c r="W88" s="78">
        <f t="shared" ref="W88" si="260">W86-W87</f>
        <v>207</v>
      </c>
      <c r="X88" s="78">
        <f t="shared" ref="X88" si="261">X86-X87</f>
        <v>187</v>
      </c>
      <c r="Y88" s="78">
        <f t="shared" ref="Y88" si="262">Y86-Y87</f>
        <v>258</v>
      </c>
      <c r="Z88" s="79">
        <f>Z86-Z87</f>
        <v>863</v>
      </c>
      <c r="AA88" s="78">
        <f>AA86-AA87</f>
        <v>228</v>
      </c>
      <c r="AB88" s="78">
        <f t="shared" ref="AB88" si="263">AB86-AB87</f>
        <v>247</v>
      </c>
      <c r="AC88" s="78">
        <f t="shared" ref="AC88" si="264">AC86-AC87</f>
        <v>259</v>
      </c>
      <c r="AD88" s="78">
        <f t="shared" ref="AD88" si="265">AD86-AD87</f>
        <v>246</v>
      </c>
      <c r="AE88" s="79">
        <f>AE86-AE87</f>
        <v>980</v>
      </c>
      <c r="AF88" s="78">
        <f>AF86-AF87</f>
        <v>112.20000000000002</v>
      </c>
      <c r="AG88" s="78">
        <f t="shared" ref="AG88:AI88" si="266">AG86-AG87</f>
        <v>107.30000000000001</v>
      </c>
      <c r="AH88" s="78">
        <f t="shared" si="266"/>
        <v>127.79999999999998</v>
      </c>
      <c r="AI88" s="78">
        <f t="shared" si="266"/>
        <v>129.09999999999997</v>
      </c>
      <c r="AJ88" s="79">
        <f t="shared" ref="AJ88:AZ88" si="267">AJ86-AJ87</f>
        <v>476.39999999999986</v>
      </c>
      <c r="AK88" s="78">
        <f t="shared" si="267"/>
        <v>118.80000000000001</v>
      </c>
      <c r="AL88" s="78">
        <f t="shared" si="267"/>
        <v>126.69999999999999</v>
      </c>
      <c r="AM88" s="200">
        <f t="shared" si="267"/>
        <v>150.69999999999999</v>
      </c>
      <c r="AN88" s="200">
        <f t="shared" si="267"/>
        <v>148.30000000000001</v>
      </c>
      <c r="AO88" s="79">
        <f t="shared" si="267"/>
        <v>544.5</v>
      </c>
      <c r="AP88" s="200">
        <f t="shared" si="267"/>
        <v>134.79999999999998</v>
      </c>
      <c r="AQ88" s="200">
        <f t="shared" si="267"/>
        <v>146.19999999999999</v>
      </c>
      <c r="AR88" s="200">
        <f t="shared" si="267"/>
        <v>167.49999999999997</v>
      </c>
      <c r="AS88" s="200">
        <f t="shared" si="267"/>
        <v>170.3</v>
      </c>
      <c r="AT88" s="79">
        <f>AT86-AT87</f>
        <v>618.79999999999995</v>
      </c>
      <c r="AU88" s="200">
        <f t="shared" si="267"/>
        <v>152.90000000000003</v>
      </c>
      <c r="AV88" s="200">
        <f t="shared" si="267"/>
        <v>150.5</v>
      </c>
      <c r="AW88" s="200">
        <f t="shared" si="267"/>
        <v>177.60000000000002</v>
      </c>
      <c r="AX88" s="200">
        <f t="shared" si="267"/>
        <v>177.5</v>
      </c>
      <c r="AY88" s="79">
        <f>AY86-AY87</f>
        <v>658.5</v>
      </c>
      <c r="AZ88" s="200">
        <f t="shared" si="267"/>
        <v>172.5</v>
      </c>
      <c r="BA88" s="78">
        <f t="shared" ref="BA88:BC88" si="268">BA73</f>
        <v>190.91218474799064</v>
      </c>
      <c r="BB88" s="78">
        <f t="shared" si="268"/>
        <v>215.17258892980641</v>
      </c>
      <c r="BC88" s="78">
        <f t="shared" si="268"/>
        <v>217.57958069247718</v>
      </c>
      <c r="BD88" s="79">
        <f>BD86-BD87</f>
        <v>796.16435437027417</v>
      </c>
      <c r="BE88" s="78">
        <f>BE73</f>
        <v>198.90020467366105</v>
      </c>
      <c r="BF88" s="78">
        <f t="shared" ref="BF88:BH88" si="269">BF73</f>
        <v>208.19152929496903</v>
      </c>
      <c r="BG88" s="78">
        <f t="shared" si="269"/>
        <v>237.75933602850793</v>
      </c>
      <c r="BH88" s="78">
        <f t="shared" si="269"/>
        <v>241.25364962890265</v>
      </c>
      <c r="BI88" s="79">
        <f>BI86-BI87</f>
        <v>886.10471962604061</v>
      </c>
    </row>
    <row r="89" spans="1:61" x14ac:dyDescent="0.2">
      <c r="A89" s="67" t="s">
        <v>106</v>
      </c>
      <c r="B89" s="83">
        <v>87</v>
      </c>
      <c r="C89" s="83">
        <v>93</v>
      </c>
      <c r="D89" s="83">
        <v>93</v>
      </c>
      <c r="E89" s="83">
        <v>92</v>
      </c>
      <c r="F89" s="84">
        <f>SUM(B89:E89)</f>
        <v>365</v>
      </c>
      <c r="G89" s="83">
        <v>95</v>
      </c>
      <c r="H89" s="83">
        <v>97</v>
      </c>
      <c r="I89" s="83">
        <v>100</v>
      </c>
      <c r="J89" s="83">
        <v>83</v>
      </c>
      <c r="K89" s="84">
        <f>SUM(G89:J89)</f>
        <v>375</v>
      </c>
      <c r="L89" s="83">
        <v>107</v>
      </c>
      <c r="M89" s="83">
        <v>111</v>
      </c>
      <c r="N89" s="83">
        <v>110</v>
      </c>
      <c r="O89" s="83">
        <v>102</v>
      </c>
      <c r="P89" s="84">
        <f>SUM(L89:O89)</f>
        <v>430</v>
      </c>
      <c r="Q89" s="83">
        <v>105</v>
      </c>
      <c r="R89" s="83">
        <v>113</v>
      </c>
      <c r="S89" s="83">
        <v>116</v>
      </c>
      <c r="T89" s="83">
        <v>115</v>
      </c>
      <c r="U89" s="84">
        <f>SUM(Q89:T89)</f>
        <v>449</v>
      </c>
      <c r="V89" s="83">
        <v>117</v>
      </c>
      <c r="W89" s="83">
        <v>96</v>
      </c>
      <c r="X89" s="83">
        <v>106</v>
      </c>
      <c r="Y89" s="83">
        <v>123</v>
      </c>
      <c r="Z89" s="84">
        <f>SUM(V89:Y89)</f>
        <v>442</v>
      </c>
      <c r="AA89" s="83">
        <v>117</v>
      </c>
      <c r="AB89" s="83">
        <v>129</v>
      </c>
      <c r="AC89" s="83">
        <v>136</v>
      </c>
      <c r="AD89" s="83">
        <v>138</v>
      </c>
      <c r="AE89" s="84">
        <f>SUM(AA89:AD89)</f>
        <v>520</v>
      </c>
      <c r="AF89" s="83">
        <v>60.2</v>
      </c>
      <c r="AG89" s="83">
        <v>63.2</v>
      </c>
      <c r="AH89" s="83">
        <v>59.2</v>
      </c>
      <c r="AI89" s="83">
        <v>62.1</v>
      </c>
      <c r="AJ89" s="84">
        <f>SUM(AF89:AI89)</f>
        <v>244.70000000000002</v>
      </c>
      <c r="AK89" s="83">
        <v>66</v>
      </c>
      <c r="AL89" s="83">
        <v>62.6</v>
      </c>
      <c r="AM89" s="150">
        <v>65.599999999999994</v>
      </c>
      <c r="AN89" s="150">
        <v>70.3</v>
      </c>
      <c r="AO89" s="84">
        <f>SUM(AK89:AN89)</f>
        <v>264.5</v>
      </c>
      <c r="AP89" s="150">
        <v>74.5</v>
      </c>
      <c r="AQ89" s="83">
        <v>72.3</v>
      </c>
      <c r="AR89" s="150">
        <v>77.2</v>
      </c>
      <c r="AS89" s="150">
        <v>81.099999999999994</v>
      </c>
      <c r="AT89" s="84">
        <f>SUM(AP89:AS89)</f>
        <v>305.10000000000002</v>
      </c>
      <c r="AU89" s="150">
        <v>82.8</v>
      </c>
      <c r="AV89" s="150">
        <v>86.3</v>
      </c>
      <c r="AW89" s="150">
        <v>85.5</v>
      </c>
      <c r="AX89" s="150">
        <v>95.3</v>
      </c>
      <c r="AY89" s="84">
        <f>SUM(AU89:AX89)</f>
        <v>349.9</v>
      </c>
      <c r="AZ89" s="150">
        <v>106.8</v>
      </c>
      <c r="BA89" s="83">
        <f>BA86*(BA136/100)</f>
        <v>106.70713485774898</v>
      </c>
      <c r="BB89" s="83">
        <f>BB86*(BB136/100)</f>
        <v>108.35390834085307</v>
      </c>
      <c r="BC89" s="83">
        <f>BC86*(BC136/100)</f>
        <v>109.25141616564393</v>
      </c>
      <c r="BD89" s="84">
        <f>SUM(AZ89:BC89)</f>
        <v>431.11245936424598</v>
      </c>
      <c r="BE89" s="83">
        <f>BE86*(BE136/100)</f>
        <v>111.32587692102788</v>
      </c>
      <c r="BF89" s="83">
        <f>BF86*(BF136/100)</f>
        <v>113.0855784068052</v>
      </c>
      <c r="BG89" s="83">
        <f>BG86*(BG136/100)</f>
        <v>113.82425428807205</v>
      </c>
      <c r="BH89" s="83">
        <f>BH86*(BH136/100)</f>
        <v>115.47162109721957</v>
      </c>
      <c r="BI89" s="84">
        <f>SUM(BE89:BH89)</f>
        <v>453.70733071312469</v>
      </c>
    </row>
    <row r="90" spans="1:61" x14ac:dyDescent="0.2">
      <c r="A90" s="80" t="s">
        <v>107</v>
      </c>
      <c r="B90" s="81">
        <f>-5</f>
        <v>-5</v>
      </c>
      <c r="C90" s="81">
        <f>-6+1</f>
        <v>-5</v>
      </c>
      <c r="D90" s="81">
        <v>-5</v>
      </c>
      <c r="E90" s="81">
        <f>6-3</f>
        <v>3</v>
      </c>
      <c r="F90" s="82">
        <f>SUM(B90:E90)</f>
        <v>-12</v>
      </c>
      <c r="G90" s="81">
        <f>6-10</f>
        <v>-4</v>
      </c>
      <c r="H90" s="81">
        <f>6-5</f>
        <v>1</v>
      </c>
      <c r="I90" s="81">
        <f>15-5</f>
        <v>10</v>
      </c>
      <c r="J90" s="81">
        <f>5-5</f>
        <v>0</v>
      </c>
      <c r="K90" s="82">
        <f>SUM(G90:J90)</f>
        <v>7</v>
      </c>
      <c r="L90" s="81">
        <f>9-9</f>
        <v>0</v>
      </c>
      <c r="M90" s="81">
        <f>8-12</f>
        <v>-4</v>
      </c>
      <c r="N90" s="81">
        <f>-3-8</f>
        <v>-11</v>
      </c>
      <c r="O90" s="81">
        <v>-4</v>
      </c>
      <c r="P90" s="82">
        <f>SUM(L90:O90)</f>
        <v>-19</v>
      </c>
      <c r="Q90" s="81">
        <v>-9</v>
      </c>
      <c r="R90" s="81">
        <f>3-9</f>
        <v>-6</v>
      </c>
      <c r="S90" s="81">
        <v>-11</v>
      </c>
      <c r="T90" s="81">
        <v>-11</v>
      </c>
      <c r="U90" s="82">
        <f>SUM(Q90:T90)</f>
        <v>-37</v>
      </c>
      <c r="V90" s="81">
        <f>-1-9</f>
        <v>-10</v>
      </c>
      <c r="W90" s="81">
        <v>-6</v>
      </c>
      <c r="X90" s="81">
        <f>1-8</f>
        <v>-7</v>
      </c>
      <c r="Y90" s="81">
        <f>-30-11</f>
        <v>-41</v>
      </c>
      <c r="Z90" s="82">
        <f>SUM(V90:Y90)</f>
        <v>-64</v>
      </c>
      <c r="AA90" s="81">
        <f>1-14</f>
        <v>-13</v>
      </c>
      <c r="AB90" s="81">
        <v>-13</v>
      </c>
      <c r="AC90" s="81">
        <f>1-9</f>
        <v>-8</v>
      </c>
      <c r="AD90" s="81">
        <f>-26-8</f>
        <v>-34</v>
      </c>
      <c r="AE90" s="82">
        <f>SUM(AA90:AD90)</f>
        <v>-68</v>
      </c>
      <c r="AF90" s="81">
        <f>2.8-2.8</f>
        <v>0</v>
      </c>
      <c r="AG90" s="81">
        <f>6.2-2.1</f>
        <v>4.0999999999999996</v>
      </c>
      <c r="AH90" s="81">
        <v>7.5</v>
      </c>
      <c r="AI90" s="81">
        <f>1.6-1.8</f>
        <v>-0.19999999999999996</v>
      </c>
      <c r="AJ90" s="82">
        <f>SUM(AF90:AI90)</f>
        <v>11.4</v>
      </c>
      <c r="AK90" s="81">
        <f>25.4-1.9</f>
        <v>23.5</v>
      </c>
      <c r="AL90" s="81">
        <f>3.8-0.9</f>
        <v>2.9</v>
      </c>
      <c r="AM90" s="201">
        <f>1.6-3</f>
        <v>-1.4</v>
      </c>
      <c r="AN90" s="201">
        <f>5.8+2</f>
        <v>7.8</v>
      </c>
      <c r="AO90" s="82">
        <f>SUM(AK90:AN90)</f>
        <v>32.799999999999997</v>
      </c>
      <c r="AP90" s="201">
        <f>0.1-2.6</f>
        <v>-2.5</v>
      </c>
      <c r="AQ90" s="201">
        <f>0-2.5</f>
        <v>-2.5</v>
      </c>
      <c r="AR90" s="201">
        <f>0.1-3.2</f>
        <v>-3.1</v>
      </c>
      <c r="AS90" s="201">
        <f>-0.9-44.5</f>
        <v>-45.4</v>
      </c>
      <c r="AT90" s="82">
        <f>SUM(AP90:AS90)</f>
        <v>-53.5</v>
      </c>
      <c r="AU90" s="201">
        <f>0.4-74.1</f>
        <v>-73.699999999999989</v>
      </c>
      <c r="AV90" s="201">
        <f>0.8-3.5</f>
        <v>-2.7</v>
      </c>
      <c r="AW90" s="201">
        <f>-3+0.4</f>
        <v>-2.6</v>
      </c>
      <c r="AX90" s="201">
        <f>-2.1-0.2</f>
        <v>-2.3000000000000003</v>
      </c>
      <c r="AY90" s="82">
        <f>SUM(AU90:AX90)</f>
        <v>-81.299999999999983</v>
      </c>
      <c r="AZ90" s="201">
        <f>5.2+42.2</f>
        <v>47.400000000000006</v>
      </c>
      <c r="BA90" s="180">
        <v>-5</v>
      </c>
      <c r="BB90" s="180">
        <v>-5</v>
      </c>
      <c r="BC90" s="180">
        <v>-5</v>
      </c>
      <c r="BD90" s="82">
        <f>SUM(AZ90:BC90)</f>
        <v>32.400000000000006</v>
      </c>
      <c r="BE90" s="180">
        <v>-5</v>
      </c>
      <c r="BF90" s="180">
        <v>-5</v>
      </c>
      <c r="BG90" s="180">
        <v>-5</v>
      </c>
      <c r="BH90" s="180">
        <v>-5</v>
      </c>
      <c r="BI90" s="82">
        <f>SUM(BE90:BH90)</f>
        <v>-20</v>
      </c>
    </row>
    <row r="91" spans="1:61" s="69" customFormat="1" x14ac:dyDescent="0.2">
      <c r="A91" s="69" t="s">
        <v>108</v>
      </c>
      <c r="B91" s="78">
        <f t="shared" ref="B91:D91" si="270">B88-(B89+B90)</f>
        <v>94</v>
      </c>
      <c r="C91" s="78">
        <f t="shared" si="270"/>
        <v>104</v>
      </c>
      <c r="D91" s="78">
        <f t="shared" si="270"/>
        <v>111</v>
      </c>
      <c r="E91" s="78">
        <f>E88-(E89+E90)</f>
        <v>99</v>
      </c>
      <c r="F91" s="79">
        <f>F88-SUM(F89:F90)</f>
        <v>408</v>
      </c>
      <c r="G91" s="78">
        <f t="shared" ref="G91:I91" si="271">G88-(G89+G90)</f>
        <v>94</v>
      </c>
      <c r="H91" s="78">
        <f t="shared" si="271"/>
        <v>100</v>
      </c>
      <c r="I91" s="78">
        <f t="shared" si="271"/>
        <v>87</v>
      </c>
      <c r="J91" s="78">
        <f>J88-(J89+J90)</f>
        <v>115</v>
      </c>
      <c r="K91" s="79">
        <f>K88-SUM(K89:K90)</f>
        <v>396</v>
      </c>
      <c r="L91" s="78">
        <f t="shared" ref="L91" si="272">L88-(L89+L90)</f>
        <v>88</v>
      </c>
      <c r="M91" s="78">
        <f t="shared" ref="M91" si="273">M88-(M89+M90)</f>
        <v>100</v>
      </c>
      <c r="N91" s="78">
        <f t="shared" ref="N91" si="274">N88-(N89+N90)</f>
        <v>102</v>
      </c>
      <c r="O91" s="78">
        <f>O88-(O89+O90)</f>
        <v>105</v>
      </c>
      <c r="P91" s="79">
        <f>P88-SUM(P89:P90)</f>
        <v>395</v>
      </c>
      <c r="Q91" s="78">
        <f t="shared" ref="Q91" si="275">Q88-(Q89+Q90)</f>
        <v>87</v>
      </c>
      <c r="R91" s="78">
        <f t="shared" ref="R91" si="276">R88-(R89+R90)</f>
        <v>96</v>
      </c>
      <c r="S91" s="78">
        <f t="shared" ref="S91" si="277">S88-(S89+S90)</f>
        <v>102</v>
      </c>
      <c r="T91" s="78">
        <f>T88-(T89+T90)</f>
        <v>113</v>
      </c>
      <c r="U91" s="79">
        <f>U88-SUM(U89:U90)</f>
        <v>398</v>
      </c>
      <c r="V91" s="78">
        <f t="shared" ref="V91" si="278">V88-(V89+V90)</f>
        <v>104</v>
      </c>
      <c r="W91" s="78">
        <f t="shared" ref="W91" si="279">W88-(W89+W90)</f>
        <v>117</v>
      </c>
      <c r="X91" s="78">
        <f t="shared" ref="X91" si="280">X88-(X89+X90)</f>
        <v>88</v>
      </c>
      <c r="Y91" s="78">
        <f>Y88-(Y89+Y90)</f>
        <v>176</v>
      </c>
      <c r="Z91" s="79">
        <f>Z88-SUM(Z89:Z90)</f>
        <v>485</v>
      </c>
      <c r="AA91" s="78">
        <f t="shared" ref="AA91" si="281">AA88-(AA89+AA90)</f>
        <v>124</v>
      </c>
      <c r="AB91" s="78">
        <f t="shared" ref="AB91" si="282">AB88-(AB89+AB90)</f>
        <v>131</v>
      </c>
      <c r="AC91" s="78">
        <f t="shared" ref="AC91" si="283">AC88-(AC89+AC90)</f>
        <v>131</v>
      </c>
      <c r="AD91" s="78">
        <f>AD88-(AD89+AD90)</f>
        <v>142</v>
      </c>
      <c r="AE91" s="79">
        <f>AE88-SUM(AE89:AE90)</f>
        <v>528</v>
      </c>
      <c r="AF91" s="78">
        <f t="shared" ref="AF91:AG91" si="284">AF88-(AF89+AF90)</f>
        <v>52.000000000000014</v>
      </c>
      <c r="AG91" s="78">
        <f t="shared" si="284"/>
        <v>40.000000000000014</v>
      </c>
      <c r="AH91" s="78">
        <f>AH88-(AH89+AH90)</f>
        <v>61.09999999999998</v>
      </c>
      <c r="AI91" s="78">
        <f>AI88-(AI89+AI90)</f>
        <v>67.19999999999996</v>
      </c>
      <c r="AJ91" s="79">
        <f>AJ88-SUM(AJ89:AJ90)</f>
        <v>220.29999999999984</v>
      </c>
      <c r="AK91" s="78">
        <f>AK88-(AK89+AK90)</f>
        <v>29.300000000000011</v>
      </c>
      <c r="AL91" s="78">
        <f>AL88-(AL89+AL90)</f>
        <v>61.199999999999989</v>
      </c>
      <c r="AM91" s="200">
        <f t="shared" ref="AM91:AP91" si="285">AM88-(AM89+AM90)</f>
        <v>86.5</v>
      </c>
      <c r="AN91" s="200">
        <f t="shared" si="285"/>
        <v>70.200000000000017</v>
      </c>
      <c r="AO91" s="79">
        <f>AO88-SUM(AO89:AO90)</f>
        <v>247.2</v>
      </c>
      <c r="AP91" s="200">
        <f t="shared" si="285"/>
        <v>62.799999999999983</v>
      </c>
      <c r="AQ91" s="78">
        <f t="shared" ref="AQ91" si="286">AQ88-(AQ89+AQ90)</f>
        <v>76.399999999999991</v>
      </c>
      <c r="AR91" s="200">
        <f t="shared" ref="AR91" si="287">AR88-(AR89+AR90)</f>
        <v>93.399999999999963</v>
      </c>
      <c r="AS91" s="200">
        <f t="shared" ref="AS91" si="288">AS88-(AS89+AS90)</f>
        <v>134.60000000000002</v>
      </c>
      <c r="AT91" s="79">
        <f>AT88-SUM(AT89:AT90)</f>
        <v>367.19999999999993</v>
      </c>
      <c r="AU91" s="200">
        <f t="shared" ref="AU91:AX91" si="289">AU88-(AU89+AU90)</f>
        <v>143.80000000000001</v>
      </c>
      <c r="AV91" s="200">
        <f t="shared" si="289"/>
        <v>66.900000000000006</v>
      </c>
      <c r="AW91" s="200">
        <f t="shared" si="289"/>
        <v>94.700000000000017</v>
      </c>
      <c r="AX91" s="200">
        <f t="shared" si="289"/>
        <v>84.5</v>
      </c>
      <c r="AY91" s="79">
        <f>AY88-SUM(AY89:AY90)</f>
        <v>389.9</v>
      </c>
      <c r="AZ91" s="200">
        <f t="shared" ref="AZ91:BC91" si="290">AZ88-(AZ89+AZ90)</f>
        <v>18.300000000000011</v>
      </c>
      <c r="BA91" s="78">
        <f t="shared" si="290"/>
        <v>89.205049890241654</v>
      </c>
      <c r="BB91" s="78">
        <f t="shared" si="290"/>
        <v>111.81868058895334</v>
      </c>
      <c r="BC91" s="78">
        <f t="shared" si="290"/>
        <v>113.32816452683325</v>
      </c>
      <c r="BD91" s="79">
        <f>BD88-SUM(BD89:BD90)</f>
        <v>332.65189500602821</v>
      </c>
      <c r="BE91" s="78">
        <f t="shared" ref="BE91:BH91" si="291">BE88-(BE89+BE90)</f>
        <v>92.574327752633167</v>
      </c>
      <c r="BF91" s="78">
        <f t="shared" si="291"/>
        <v>100.10595088816383</v>
      </c>
      <c r="BG91" s="78">
        <f t="shared" si="291"/>
        <v>128.93508174043586</v>
      </c>
      <c r="BH91" s="78">
        <f t="shared" si="291"/>
        <v>130.78202853168307</v>
      </c>
      <c r="BI91" s="79">
        <f>BI88-SUM(BI89:BI90)</f>
        <v>452.39738891291591</v>
      </c>
    </row>
    <row r="92" spans="1:61" x14ac:dyDescent="0.2">
      <c r="A92" s="67" t="s">
        <v>134</v>
      </c>
      <c r="B92" s="83">
        <v>-2</v>
      </c>
      <c r="C92" s="83">
        <v>1</v>
      </c>
      <c r="D92" s="83">
        <v>-2</v>
      </c>
      <c r="E92" s="83">
        <v>-19</v>
      </c>
      <c r="F92" s="84">
        <f>SUM(B92:E92)</f>
        <v>-22</v>
      </c>
      <c r="G92" s="83">
        <v>-26</v>
      </c>
      <c r="H92" s="83">
        <v>-17</v>
      </c>
      <c r="I92" s="83">
        <v>-17</v>
      </c>
      <c r="J92" s="83">
        <v>-76</v>
      </c>
      <c r="K92" s="84">
        <f>SUM(G92:J92)</f>
        <v>-136</v>
      </c>
      <c r="L92" s="83">
        <v>-10</v>
      </c>
      <c r="M92" s="83">
        <v>-10</v>
      </c>
      <c r="N92" s="83">
        <v>-10</v>
      </c>
      <c r="O92" s="83">
        <v>30</v>
      </c>
      <c r="P92" s="84">
        <f>SUM(L92:O92)</f>
        <v>0</v>
      </c>
      <c r="Q92" s="83">
        <v>-2</v>
      </c>
      <c r="R92" s="83">
        <v>-3</v>
      </c>
      <c r="S92" s="83">
        <v>-2</v>
      </c>
      <c r="T92" s="83">
        <v>67</v>
      </c>
      <c r="U92" s="84">
        <f>SUM(Q92:T92)</f>
        <v>60</v>
      </c>
      <c r="V92" s="83">
        <v>-9</v>
      </c>
      <c r="W92" s="83">
        <v>-9</v>
      </c>
      <c r="X92" s="83">
        <v>-9</v>
      </c>
      <c r="Y92" s="83">
        <v>-32</v>
      </c>
      <c r="Z92" s="84">
        <f>SUM(V92:Y92)</f>
        <v>-59</v>
      </c>
      <c r="AA92" s="83">
        <v>-13</v>
      </c>
      <c r="AB92" s="83">
        <v>-14</v>
      </c>
      <c r="AC92" s="83">
        <v>-14</v>
      </c>
      <c r="AD92" s="83">
        <v>-85</v>
      </c>
      <c r="AE92" s="84">
        <f>SUM(AA92:AD92)</f>
        <v>-126</v>
      </c>
      <c r="AF92" s="83">
        <v>-9.3000000000000007</v>
      </c>
      <c r="AG92" s="83">
        <v>-9.1999999999999993</v>
      </c>
      <c r="AH92" s="83">
        <v>-9.1999999999999993</v>
      </c>
      <c r="AI92" s="83">
        <v>34.6</v>
      </c>
      <c r="AJ92" s="84">
        <f>SUM(AF92:AI92)</f>
        <v>6.9000000000000021</v>
      </c>
      <c r="AK92" s="83">
        <v>3.7</v>
      </c>
      <c r="AL92" s="83">
        <v>3.6</v>
      </c>
      <c r="AM92" s="150">
        <v>3.7</v>
      </c>
      <c r="AN92" s="150">
        <v>-38.6</v>
      </c>
      <c r="AO92" s="84">
        <f>SUM(AK92:AN92)</f>
        <v>-27.6</v>
      </c>
      <c r="AP92" s="150">
        <v>3.4</v>
      </c>
      <c r="AQ92" s="150">
        <v>3.6</v>
      </c>
      <c r="AR92" s="150">
        <v>3.4</v>
      </c>
      <c r="AS92" s="150">
        <v>1.3</v>
      </c>
      <c r="AT92" s="84">
        <f>SUM(AP92:AS92)</f>
        <v>11.700000000000001</v>
      </c>
      <c r="AU92" s="150">
        <v>-0.9</v>
      </c>
      <c r="AV92" s="150">
        <v>-0.9</v>
      </c>
      <c r="AW92" s="150">
        <v>-0.9</v>
      </c>
      <c r="AX92" s="150">
        <v>26.3</v>
      </c>
      <c r="AY92" s="84">
        <f>SUM(AU92:AX92)</f>
        <v>23.6</v>
      </c>
      <c r="AZ92" s="150">
        <v>-1.2</v>
      </c>
      <c r="BA92" s="177">
        <v>3</v>
      </c>
      <c r="BB92" s="177">
        <v>3</v>
      </c>
      <c r="BC92" s="177">
        <v>3</v>
      </c>
      <c r="BD92" s="84">
        <f>SUM(AZ92:BC92)</f>
        <v>7.8</v>
      </c>
      <c r="BE92" s="177">
        <v>3</v>
      </c>
      <c r="BF92" s="177">
        <v>3</v>
      </c>
      <c r="BG92" s="177">
        <v>3</v>
      </c>
      <c r="BH92" s="177">
        <v>3</v>
      </c>
      <c r="BI92" s="84">
        <f>SUM(BE92:BH92)</f>
        <v>12</v>
      </c>
    </row>
    <row r="93" spans="1:61" x14ac:dyDescent="0.2">
      <c r="A93" s="80" t="s">
        <v>109</v>
      </c>
      <c r="B93" s="81">
        <v>0</v>
      </c>
      <c r="C93" s="81">
        <v>0</v>
      </c>
      <c r="D93" s="81">
        <v>0</v>
      </c>
      <c r="E93" s="81">
        <v>9</v>
      </c>
      <c r="F93" s="82">
        <f>SUM(B93:E93)</f>
        <v>9</v>
      </c>
      <c r="G93" s="81">
        <v>10</v>
      </c>
      <c r="H93" s="81">
        <v>8</v>
      </c>
      <c r="I93" s="81">
        <v>10</v>
      </c>
      <c r="J93" s="81">
        <v>14</v>
      </c>
      <c r="K93" s="82">
        <f>SUM(G93:J93)</f>
        <v>42</v>
      </c>
      <c r="L93" s="81">
        <v>14</v>
      </c>
      <c r="M93" s="81">
        <v>16</v>
      </c>
      <c r="N93" s="81">
        <v>15</v>
      </c>
      <c r="O93" s="81">
        <v>18</v>
      </c>
      <c r="P93" s="82">
        <f>SUM(L93:O93)</f>
        <v>63</v>
      </c>
      <c r="Q93" s="81">
        <v>17</v>
      </c>
      <c r="R93" s="81">
        <v>19</v>
      </c>
      <c r="S93" s="81">
        <v>19</v>
      </c>
      <c r="T93" s="81">
        <v>18</v>
      </c>
      <c r="U93" s="82">
        <f>SUM(Q93:T93)</f>
        <v>73</v>
      </c>
      <c r="V93" s="81">
        <v>16</v>
      </c>
      <c r="W93" s="81">
        <v>38</v>
      </c>
      <c r="X93" s="81">
        <v>19</v>
      </c>
      <c r="Y93" s="81">
        <v>20</v>
      </c>
      <c r="Z93" s="82">
        <f>SUM(V93:Y93)</f>
        <v>93</v>
      </c>
      <c r="AA93" s="81">
        <v>20</v>
      </c>
      <c r="AB93" s="81">
        <v>55</v>
      </c>
      <c r="AC93" s="81">
        <v>17</v>
      </c>
      <c r="AD93" s="81">
        <v>19</v>
      </c>
      <c r="AE93" s="82">
        <f>SUM(AA93:AD93)</f>
        <v>111</v>
      </c>
      <c r="AF93" s="81">
        <v>17</v>
      </c>
      <c r="AG93" s="81">
        <v>16.899999999999999</v>
      </c>
      <c r="AH93" s="81">
        <v>17.3</v>
      </c>
      <c r="AI93" s="81">
        <v>18.100000000000001</v>
      </c>
      <c r="AJ93" s="82">
        <f>SUM(AF93:AI93)</f>
        <v>69.300000000000011</v>
      </c>
      <c r="AK93" s="81">
        <v>18.7</v>
      </c>
      <c r="AL93" s="81">
        <v>13.3</v>
      </c>
      <c r="AM93" s="201">
        <v>-4.5999999999999996</v>
      </c>
      <c r="AN93" s="201">
        <v>10.9</v>
      </c>
      <c r="AO93" s="82">
        <f>SUM(AK93:AN93)</f>
        <v>38.299999999999997</v>
      </c>
      <c r="AP93" s="201">
        <v>13.6</v>
      </c>
      <c r="AQ93" s="201">
        <v>15.5</v>
      </c>
      <c r="AR93" s="201">
        <v>24.8</v>
      </c>
      <c r="AS93" s="201">
        <v>18</v>
      </c>
      <c r="AT93" s="82">
        <f>SUM(AP93:AS93)</f>
        <v>71.900000000000006</v>
      </c>
      <c r="AU93" s="201">
        <v>17.5</v>
      </c>
      <c r="AV93" s="201">
        <v>16.899999999999999</v>
      </c>
      <c r="AW93" s="201">
        <v>18.600000000000001</v>
      </c>
      <c r="AX93" s="201">
        <v>21</v>
      </c>
      <c r="AY93" s="82">
        <f>SUM(AU93:AX93)</f>
        <v>74</v>
      </c>
      <c r="AZ93" s="201">
        <v>25.5</v>
      </c>
      <c r="BA93" s="180">
        <v>33</v>
      </c>
      <c r="BB93" s="180">
        <v>33</v>
      </c>
      <c r="BC93" s="180">
        <v>33</v>
      </c>
      <c r="BD93" s="82">
        <f>SUM(AZ93:BC93)</f>
        <v>124.5</v>
      </c>
      <c r="BE93" s="180">
        <v>33</v>
      </c>
      <c r="BF93" s="180">
        <v>33</v>
      </c>
      <c r="BG93" s="180">
        <v>32</v>
      </c>
      <c r="BH93" s="180">
        <v>32</v>
      </c>
      <c r="BI93" s="82">
        <f>SUM(BE93:BH93)</f>
        <v>130</v>
      </c>
    </row>
    <row r="94" spans="1:61" s="69" customFormat="1" x14ac:dyDescent="0.2">
      <c r="A94" s="69" t="s">
        <v>49</v>
      </c>
      <c r="B94" s="78">
        <f t="shared" ref="B94:D94" si="292">B91-(B92+B93)</f>
        <v>96</v>
      </c>
      <c r="C94" s="78">
        <f t="shared" si="292"/>
        <v>103</v>
      </c>
      <c r="D94" s="78">
        <f t="shared" si="292"/>
        <v>113</v>
      </c>
      <c r="E94" s="78">
        <f>E91-(E92+E93)</f>
        <v>109</v>
      </c>
      <c r="F94" s="79">
        <f>F91-SUM(F92:F93)</f>
        <v>421</v>
      </c>
      <c r="G94" s="78">
        <f t="shared" ref="G94:I94" si="293">G91-(G92+G93)</f>
        <v>110</v>
      </c>
      <c r="H94" s="78">
        <f t="shared" si="293"/>
        <v>109</v>
      </c>
      <c r="I94" s="78">
        <f t="shared" si="293"/>
        <v>94</v>
      </c>
      <c r="J94" s="78">
        <f>J91-(J92+J93)</f>
        <v>177</v>
      </c>
      <c r="K94" s="79">
        <f>K91-SUM(K92:K93)</f>
        <v>490</v>
      </c>
      <c r="L94" s="78">
        <f t="shared" ref="L94" si="294">L91-(L92+L93)</f>
        <v>84</v>
      </c>
      <c r="M94" s="78">
        <f t="shared" ref="M94" si="295">M91-(M92+M93)</f>
        <v>94</v>
      </c>
      <c r="N94" s="78">
        <f t="shared" ref="N94" si="296">N91-(N92+N93)</f>
        <v>97</v>
      </c>
      <c r="O94" s="78">
        <f>O91-(O92+O93)</f>
        <v>57</v>
      </c>
      <c r="P94" s="79">
        <f>P91-SUM(P92:P93)</f>
        <v>332</v>
      </c>
      <c r="Q94" s="78">
        <f t="shared" ref="Q94" si="297">Q91-(Q92+Q93)</f>
        <v>72</v>
      </c>
      <c r="R94" s="78">
        <f t="shared" ref="R94" si="298">R91-(R92+R93)</f>
        <v>80</v>
      </c>
      <c r="S94" s="78">
        <f t="shared" ref="S94" si="299">S91-(S92+S93)</f>
        <v>85</v>
      </c>
      <c r="T94" s="78">
        <f>T91-(T92+T93)</f>
        <v>28</v>
      </c>
      <c r="U94" s="79">
        <f>U91-SUM(U92:U93)</f>
        <v>265</v>
      </c>
      <c r="V94" s="78">
        <f t="shared" ref="V94" si="300">V91-(V92+V93)</f>
        <v>97</v>
      </c>
      <c r="W94" s="78">
        <f t="shared" ref="W94" si="301">W91-(W92+W93)</f>
        <v>88</v>
      </c>
      <c r="X94" s="78">
        <f t="shared" ref="X94" si="302">X91-(X92+X93)</f>
        <v>78</v>
      </c>
      <c r="Y94" s="78">
        <f>Y91-(Y92+Y93)</f>
        <v>188</v>
      </c>
      <c r="Z94" s="79">
        <f>Z91-SUM(Z92:Z93)</f>
        <v>451</v>
      </c>
      <c r="AA94" s="78">
        <f t="shared" ref="AA94" si="303">AA91-(AA92+AA93)</f>
        <v>117</v>
      </c>
      <c r="AB94" s="78">
        <f t="shared" ref="AB94" si="304">AB91-(AB92+AB93)</f>
        <v>90</v>
      </c>
      <c r="AC94" s="78">
        <f t="shared" ref="AC94" si="305">AC91-(AC92+AC93)</f>
        <v>128</v>
      </c>
      <c r="AD94" s="78">
        <f>AD91-(AD92+AD93)</f>
        <v>208</v>
      </c>
      <c r="AE94" s="79">
        <f>AE91-SUM(AE92:AE93)</f>
        <v>543</v>
      </c>
      <c r="AF94" s="78">
        <f t="shared" ref="AF94:AH94" si="306">AF91-(AF92+AF93)</f>
        <v>44.300000000000011</v>
      </c>
      <c r="AG94" s="78">
        <f t="shared" si="306"/>
        <v>32.300000000000011</v>
      </c>
      <c r="AH94" s="78">
        <f t="shared" si="306"/>
        <v>52.999999999999979</v>
      </c>
      <c r="AI94" s="78">
        <f>AI91-(AI92+AI93)</f>
        <v>14.499999999999957</v>
      </c>
      <c r="AJ94" s="79">
        <f>AJ91-SUM(AJ92:AJ93)</f>
        <v>144.09999999999982</v>
      </c>
      <c r="AK94" s="78">
        <f>AK91-(AK92+AK93)</f>
        <v>6.9000000000000128</v>
      </c>
      <c r="AL94" s="78">
        <f>AL91-(AL92+AL93)</f>
        <v>44.299999999999983</v>
      </c>
      <c r="AM94" s="200">
        <f t="shared" ref="AM94:AP94" si="307">AM91-(AM92+AM93)</f>
        <v>87.4</v>
      </c>
      <c r="AN94" s="200">
        <f>AN91-(AN92+AN93)</f>
        <v>97.90000000000002</v>
      </c>
      <c r="AO94" s="79">
        <f>AO91-SUM(AO92:AO93)</f>
        <v>236.5</v>
      </c>
      <c r="AP94" s="200">
        <f t="shared" si="307"/>
        <v>45.799999999999983</v>
      </c>
      <c r="AQ94" s="78">
        <f t="shared" ref="AQ94" si="308">AQ91-(AQ92+AQ93)</f>
        <v>57.29999999999999</v>
      </c>
      <c r="AR94" s="78">
        <f t="shared" ref="AR94" si="309">AR91-(AR92+AR93)</f>
        <v>65.19999999999996</v>
      </c>
      <c r="AS94" s="200">
        <f t="shared" ref="AS94" si="310">AS91-(AS92+AS93)</f>
        <v>115.30000000000003</v>
      </c>
      <c r="AT94" s="79">
        <f>AT91-SUM(AT92:AT93)</f>
        <v>283.59999999999991</v>
      </c>
      <c r="AU94" s="200">
        <f t="shared" ref="AU94:AX94" si="311">AU91-(AU92+AU93)</f>
        <v>127.20000000000002</v>
      </c>
      <c r="AV94" s="200">
        <f t="shared" si="311"/>
        <v>50.900000000000006</v>
      </c>
      <c r="AW94" s="200">
        <f t="shared" si="311"/>
        <v>77.000000000000014</v>
      </c>
      <c r="AX94" s="200">
        <f t="shared" si="311"/>
        <v>37.200000000000003</v>
      </c>
      <c r="AY94" s="79">
        <f>AY91-SUM(AY92:AY93)</f>
        <v>292.29999999999995</v>
      </c>
      <c r="AZ94" s="200">
        <f t="shared" ref="AZ94:BC94" si="312">AZ91-(AZ92+AZ93)</f>
        <v>-5.9999999999999893</v>
      </c>
      <c r="BA94" s="78">
        <f t="shared" si="312"/>
        <v>53.205049890241654</v>
      </c>
      <c r="BB94" s="78">
        <f t="shared" si="312"/>
        <v>75.818680588953342</v>
      </c>
      <c r="BC94" s="78">
        <f t="shared" si="312"/>
        <v>77.328164526833248</v>
      </c>
      <c r="BD94" s="79">
        <f>BD91-SUM(BD92:BD93)</f>
        <v>200.3518950060282</v>
      </c>
      <c r="BE94" s="78">
        <f t="shared" ref="BE94:BH94" si="313">BE91-(BE92+BE93)</f>
        <v>56.574327752633167</v>
      </c>
      <c r="BF94" s="78">
        <f t="shared" si="313"/>
        <v>64.105950888163832</v>
      </c>
      <c r="BG94" s="78">
        <f t="shared" si="313"/>
        <v>93.935081740435862</v>
      </c>
      <c r="BH94" s="78">
        <f t="shared" si="313"/>
        <v>95.782028531683068</v>
      </c>
      <c r="BI94" s="79">
        <f>BI91-SUM(BI92:BI93)</f>
        <v>310.39738891291591</v>
      </c>
    </row>
    <row r="95" spans="1:61" x14ac:dyDescent="0.2">
      <c r="A95" s="80" t="s">
        <v>110</v>
      </c>
      <c r="B95" s="81">
        <v>31</v>
      </c>
      <c r="C95" s="81">
        <v>35</v>
      </c>
      <c r="D95" s="81">
        <v>38</v>
      </c>
      <c r="E95" s="81">
        <v>44</v>
      </c>
      <c r="F95" s="82">
        <f>SUM(B95:E95)</f>
        <v>148</v>
      </c>
      <c r="G95" s="81">
        <v>38</v>
      </c>
      <c r="H95" s="81">
        <v>38</v>
      </c>
      <c r="I95" s="81">
        <v>38</v>
      </c>
      <c r="J95" s="81">
        <v>72</v>
      </c>
      <c r="K95" s="82">
        <f>SUM(G95:J95)</f>
        <v>186</v>
      </c>
      <c r="L95" s="81">
        <v>94</v>
      </c>
      <c r="M95" s="81">
        <v>27</v>
      </c>
      <c r="N95" s="81">
        <v>33</v>
      </c>
      <c r="O95" s="81">
        <v>12</v>
      </c>
      <c r="P95" s="82">
        <f>SUM(L95:O95)</f>
        <v>166</v>
      </c>
      <c r="Q95" s="81">
        <v>19</v>
      </c>
      <c r="R95" s="81">
        <v>17</v>
      </c>
      <c r="S95" s="81">
        <v>20</v>
      </c>
      <c r="T95" s="81">
        <v>1</v>
      </c>
      <c r="U95" s="82">
        <f>SUM(Q95:T95)</f>
        <v>57</v>
      </c>
      <c r="V95" s="81">
        <v>24</v>
      </c>
      <c r="W95" s="81">
        <v>25</v>
      </c>
      <c r="X95" s="81">
        <v>19</v>
      </c>
      <c r="Y95" s="81">
        <v>66</v>
      </c>
      <c r="Z95" s="82">
        <f>SUM(V95:Y95)</f>
        <v>134</v>
      </c>
      <c r="AA95" s="81">
        <v>30</v>
      </c>
      <c r="AB95" s="81">
        <v>22</v>
      </c>
      <c r="AC95" s="81">
        <v>31</v>
      </c>
      <c r="AD95" s="81">
        <v>40</v>
      </c>
      <c r="AE95" s="82">
        <f>SUM(AA95:AD95)</f>
        <v>123</v>
      </c>
      <c r="AF95" s="81">
        <v>10.1</v>
      </c>
      <c r="AG95" s="81">
        <v>9.3000000000000007</v>
      </c>
      <c r="AH95" s="81">
        <v>13.2</v>
      </c>
      <c r="AI95" s="81">
        <v>2.1</v>
      </c>
      <c r="AJ95" s="82">
        <f>SUM(AF95:AI95)</f>
        <v>34.699999999999996</v>
      </c>
      <c r="AK95" s="81">
        <v>-20.100000000000001</v>
      </c>
      <c r="AL95" s="81">
        <v>11.4</v>
      </c>
      <c r="AM95" s="201">
        <v>22.9</v>
      </c>
      <c r="AN95" s="201">
        <v>22.9</v>
      </c>
      <c r="AO95" s="82">
        <f>SUM(AK95:AN95)</f>
        <v>37.099999999999994</v>
      </c>
      <c r="AP95" s="201">
        <v>11.9</v>
      </c>
      <c r="AQ95" s="81">
        <v>14</v>
      </c>
      <c r="AR95" s="81">
        <v>17</v>
      </c>
      <c r="AS95" s="201">
        <v>26.2</v>
      </c>
      <c r="AT95" s="82">
        <f>SUM(AP95:AS95)</f>
        <v>69.099999999999994</v>
      </c>
      <c r="AU95" s="201">
        <v>33.299999999999997</v>
      </c>
      <c r="AV95" s="201">
        <v>12.6</v>
      </c>
      <c r="AW95" s="201">
        <v>20</v>
      </c>
      <c r="AX95" s="201">
        <v>11.6</v>
      </c>
      <c r="AY95" s="82">
        <f>SUM(AU95:AX95)</f>
        <v>77.5</v>
      </c>
      <c r="AZ95" s="201">
        <v>26.2</v>
      </c>
      <c r="BA95" s="81">
        <f>BA94*(BA143/100)</f>
        <v>12.769211973657997</v>
      </c>
      <c r="BB95" s="81">
        <f>BB94*(BB143/100)</f>
        <v>18.196483341348802</v>
      </c>
      <c r="BC95" s="81">
        <f>BC94*(BC143/100)</f>
        <v>18.558759486439978</v>
      </c>
      <c r="BD95" s="82">
        <f>SUM(AZ95:BC95)</f>
        <v>75.724454801446782</v>
      </c>
      <c r="BE95" s="81">
        <f>BE94*(BE143/100)</f>
        <v>13.57783866063196</v>
      </c>
      <c r="BF95" s="81">
        <f>BF94*(BF143/100)</f>
        <v>15.385428213159319</v>
      </c>
      <c r="BG95" s="81">
        <f>BG94*(BG143/100)</f>
        <v>22.544419617704605</v>
      </c>
      <c r="BH95" s="81">
        <f>BH94*(BH143/100)</f>
        <v>22.987686847603936</v>
      </c>
      <c r="BI95" s="82">
        <f>SUM(BE95:BH95)</f>
        <v>74.495373339099814</v>
      </c>
    </row>
    <row r="96" spans="1:61" s="69" customFormat="1" x14ac:dyDescent="0.2">
      <c r="A96" s="69" t="s">
        <v>111</v>
      </c>
      <c r="B96" s="78">
        <f t="shared" ref="B96:D96" si="314">B94-B95</f>
        <v>65</v>
      </c>
      <c r="C96" s="78">
        <f t="shared" si="314"/>
        <v>68</v>
      </c>
      <c r="D96" s="78">
        <f t="shared" si="314"/>
        <v>75</v>
      </c>
      <c r="E96" s="78">
        <f>E94-E95</f>
        <v>65</v>
      </c>
      <c r="F96" s="79">
        <f>F94-F95</f>
        <v>273</v>
      </c>
      <c r="G96" s="78">
        <f t="shared" ref="G96:I96" si="315">G94-G95</f>
        <v>72</v>
      </c>
      <c r="H96" s="78">
        <f t="shared" si="315"/>
        <v>71</v>
      </c>
      <c r="I96" s="78">
        <f t="shared" si="315"/>
        <v>56</v>
      </c>
      <c r="J96" s="78">
        <f>J94-J95</f>
        <v>105</v>
      </c>
      <c r="K96" s="79">
        <f>K94-K95</f>
        <v>304</v>
      </c>
      <c r="L96" s="78">
        <f t="shared" ref="L96" si="316">L94-L95</f>
        <v>-10</v>
      </c>
      <c r="M96" s="78">
        <f t="shared" ref="M96" si="317">M94-M95</f>
        <v>67</v>
      </c>
      <c r="N96" s="78">
        <f t="shared" ref="N96" si="318">N94-N95</f>
        <v>64</v>
      </c>
      <c r="O96" s="78">
        <f>O94-O95</f>
        <v>45</v>
      </c>
      <c r="P96" s="79">
        <f>P94-P95</f>
        <v>166</v>
      </c>
      <c r="Q96" s="78">
        <f t="shared" ref="Q96" si="319">Q94-Q95</f>
        <v>53</v>
      </c>
      <c r="R96" s="78">
        <f t="shared" ref="R96" si="320">R94-R95</f>
        <v>63</v>
      </c>
      <c r="S96" s="78">
        <f t="shared" ref="S96" si="321">S94-S95</f>
        <v>65</v>
      </c>
      <c r="T96" s="78">
        <f>T94-T95</f>
        <v>27</v>
      </c>
      <c r="U96" s="79">
        <f>U94-U95</f>
        <v>208</v>
      </c>
      <c r="V96" s="78">
        <f t="shared" ref="V96" si="322">V94-V95</f>
        <v>73</v>
      </c>
      <c r="W96" s="78">
        <f t="shared" ref="W96" si="323">W94-W95</f>
        <v>63</v>
      </c>
      <c r="X96" s="78">
        <f t="shared" ref="X96" si="324">X94-X95</f>
        <v>59</v>
      </c>
      <c r="Y96" s="78">
        <f>Y94-Y95</f>
        <v>122</v>
      </c>
      <c r="Z96" s="79">
        <f>Z94-Z95</f>
        <v>317</v>
      </c>
      <c r="AA96" s="78">
        <f t="shared" ref="AA96" si="325">AA94-AA95</f>
        <v>87</v>
      </c>
      <c r="AB96" s="78">
        <f t="shared" ref="AB96" si="326">AB94-AB95</f>
        <v>68</v>
      </c>
      <c r="AC96" s="78">
        <f t="shared" ref="AC96" si="327">AC94-AC95</f>
        <v>97</v>
      </c>
      <c r="AD96" s="78">
        <f>AD94-AD95</f>
        <v>168</v>
      </c>
      <c r="AE96" s="79">
        <f>AE94-AE95</f>
        <v>420</v>
      </c>
      <c r="AF96" s="78">
        <f t="shared" ref="AF96:AH96" si="328">AF94-AF95</f>
        <v>34.20000000000001</v>
      </c>
      <c r="AG96" s="78">
        <f t="shared" si="328"/>
        <v>23.000000000000011</v>
      </c>
      <c r="AH96" s="78">
        <f t="shared" si="328"/>
        <v>39.799999999999983</v>
      </c>
      <c r="AI96" s="78">
        <f>AI94-AI95</f>
        <v>12.399999999999958</v>
      </c>
      <c r="AJ96" s="79">
        <f>AJ94-AJ95</f>
        <v>109.39999999999984</v>
      </c>
      <c r="AK96" s="78">
        <f>AK94-AK95</f>
        <v>27.000000000000014</v>
      </c>
      <c r="AL96" s="78">
        <f>AL94-AL95</f>
        <v>32.899999999999984</v>
      </c>
      <c r="AM96" s="200">
        <f t="shared" ref="AM96:AP96" si="329">AM94-AM95</f>
        <v>64.5</v>
      </c>
      <c r="AN96" s="200">
        <f t="shared" si="329"/>
        <v>75.000000000000028</v>
      </c>
      <c r="AO96" s="79">
        <f>AO94-AO95</f>
        <v>199.4</v>
      </c>
      <c r="AP96" s="200">
        <f t="shared" si="329"/>
        <v>33.899999999999984</v>
      </c>
      <c r="AQ96" s="78">
        <f t="shared" ref="AQ96" si="330">AQ94-AQ95</f>
        <v>43.29999999999999</v>
      </c>
      <c r="AR96" s="78">
        <f t="shared" ref="AR96" si="331">AR94-AR95</f>
        <v>48.19999999999996</v>
      </c>
      <c r="AS96" s="200">
        <f t="shared" ref="AS96" si="332">AS94-AS95</f>
        <v>89.100000000000023</v>
      </c>
      <c r="AT96" s="79">
        <f>AT94-AT95</f>
        <v>214.49999999999991</v>
      </c>
      <c r="AU96" s="200">
        <f t="shared" ref="AU96:AX96" si="333">AU94-AU95</f>
        <v>93.90000000000002</v>
      </c>
      <c r="AV96" s="200">
        <f t="shared" si="333"/>
        <v>38.300000000000004</v>
      </c>
      <c r="AW96" s="200">
        <f t="shared" si="333"/>
        <v>57.000000000000014</v>
      </c>
      <c r="AX96" s="200">
        <f t="shared" si="333"/>
        <v>25.6</v>
      </c>
      <c r="AY96" s="79">
        <f>AY94-AY95</f>
        <v>214.79999999999995</v>
      </c>
      <c r="AZ96" s="200">
        <f t="shared" ref="AZ96:BC96" si="334">AZ94-AZ95</f>
        <v>-32.199999999999989</v>
      </c>
      <c r="BA96" s="78">
        <f t="shared" si="334"/>
        <v>40.435837916583658</v>
      </c>
      <c r="BB96" s="78">
        <f t="shared" si="334"/>
        <v>57.622197247604539</v>
      </c>
      <c r="BC96" s="78">
        <f t="shared" si="334"/>
        <v>58.769405040393266</v>
      </c>
      <c r="BD96" s="79">
        <f>BD94-BD95</f>
        <v>124.62744020458142</v>
      </c>
      <c r="BE96" s="78">
        <f t="shared" ref="BE96:BH96" si="335">BE94-BE95</f>
        <v>42.996489092001205</v>
      </c>
      <c r="BF96" s="78">
        <f t="shared" si="335"/>
        <v>48.720522675004517</v>
      </c>
      <c r="BG96" s="78">
        <f t="shared" si="335"/>
        <v>71.390662122731257</v>
      </c>
      <c r="BH96" s="78">
        <f t="shared" si="335"/>
        <v>72.794341684079129</v>
      </c>
      <c r="BI96" s="79">
        <f>BI94-BI95</f>
        <v>235.9020155738161</v>
      </c>
    </row>
    <row r="97" spans="1:61" hidden="1" outlineLevel="1" x14ac:dyDescent="0.2">
      <c r="A97" s="67" t="s">
        <v>116</v>
      </c>
      <c r="B97" s="83">
        <v>0</v>
      </c>
      <c r="C97" s="83">
        <v>0</v>
      </c>
      <c r="D97" s="83">
        <v>0</v>
      </c>
      <c r="E97" s="83">
        <v>0</v>
      </c>
      <c r="F97" s="84">
        <f>SUM(B97:E97)</f>
        <v>0</v>
      </c>
      <c r="G97" s="83">
        <v>0</v>
      </c>
      <c r="H97" s="83">
        <v>0</v>
      </c>
      <c r="I97" s="83">
        <v>0</v>
      </c>
      <c r="J97" s="83">
        <v>0</v>
      </c>
      <c r="K97" s="84">
        <f>SUM(G97:J97)</f>
        <v>0</v>
      </c>
      <c r="L97" s="83">
        <v>0</v>
      </c>
      <c r="M97" s="83">
        <v>0</v>
      </c>
      <c r="N97" s="83">
        <v>0</v>
      </c>
      <c r="O97" s="83">
        <v>0</v>
      </c>
      <c r="P97" s="84">
        <f>SUM(L97:O97)</f>
        <v>0</v>
      </c>
      <c r="Q97" s="83">
        <v>0</v>
      </c>
      <c r="R97" s="83">
        <v>0</v>
      </c>
      <c r="S97" s="83">
        <v>0</v>
      </c>
      <c r="T97" s="83">
        <v>0</v>
      </c>
      <c r="U97" s="84">
        <f>SUM(Q97:T97)</f>
        <v>0</v>
      </c>
      <c r="V97" s="83">
        <v>0</v>
      </c>
      <c r="W97" s="83">
        <v>0</v>
      </c>
      <c r="X97" s="83">
        <v>0</v>
      </c>
      <c r="Y97" s="83">
        <v>0</v>
      </c>
      <c r="Z97" s="84">
        <f>SUM(V97:Y97)</f>
        <v>0</v>
      </c>
      <c r="AA97" s="83">
        <v>0</v>
      </c>
      <c r="AB97" s="83">
        <v>0</v>
      </c>
      <c r="AC97" s="83">
        <v>0</v>
      </c>
      <c r="AD97" s="83">
        <v>0</v>
      </c>
      <c r="AE97" s="84">
        <f>SUM(AA97:AD97)</f>
        <v>0</v>
      </c>
      <c r="AF97" s="83">
        <v>52.8</v>
      </c>
      <c r="AG97" s="83">
        <v>58.4</v>
      </c>
      <c r="AH97" s="83">
        <v>58.4</v>
      </c>
      <c r="AI97" s="83">
        <v>145.30000000000001</v>
      </c>
      <c r="AJ97" s="84">
        <f>SUM(AF97:AI97)</f>
        <v>314.89999999999998</v>
      </c>
      <c r="AK97" s="83">
        <v>54.9</v>
      </c>
      <c r="AL97" s="83">
        <v>1194.4000000000001</v>
      </c>
      <c r="AM97" s="150">
        <v>-2.9</v>
      </c>
      <c r="AN97" s="150">
        <v>-29.8</v>
      </c>
      <c r="AO97" s="84">
        <f>SUM(AK97:AN97)</f>
        <v>1216.6000000000001</v>
      </c>
      <c r="AP97" s="150">
        <v>-2</v>
      </c>
      <c r="AQ97" s="83">
        <v>-1.9</v>
      </c>
      <c r="AR97" s="83">
        <v>-2.2999999999999998</v>
      </c>
      <c r="AS97" s="150">
        <v>3.2</v>
      </c>
      <c r="AT97" s="84">
        <f>SUM(AP97:AS97)</f>
        <v>-2.9999999999999991</v>
      </c>
      <c r="AU97" s="150">
        <v>-2.2999999999999998</v>
      </c>
      <c r="AV97" s="150">
        <v>-0.7</v>
      </c>
      <c r="AW97" s="150">
        <v>-0.5</v>
      </c>
      <c r="AX97" s="150">
        <v>-0.6</v>
      </c>
      <c r="AY97" s="84">
        <f>SUM(AU97:AX97)</f>
        <v>-4.0999999999999996</v>
      </c>
      <c r="AZ97" s="150">
        <v>-0.6</v>
      </c>
      <c r="BA97" s="83">
        <v>0</v>
      </c>
      <c r="BB97" s="83">
        <v>0</v>
      </c>
      <c r="BC97" s="83">
        <v>0</v>
      </c>
      <c r="BD97" s="84">
        <f>SUM(AZ97:BC97)</f>
        <v>-0.6</v>
      </c>
      <c r="BE97" s="83">
        <v>0</v>
      </c>
      <c r="BF97" s="83">
        <v>0</v>
      </c>
      <c r="BG97" s="83">
        <v>0</v>
      </c>
      <c r="BH97" s="83">
        <v>0</v>
      </c>
      <c r="BI97" s="84">
        <f>SUM(BE97:BH97)</f>
        <v>0</v>
      </c>
    </row>
    <row r="98" spans="1:61" hidden="1" outlineLevel="1" x14ac:dyDescent="0.2">
      <c r="A98" s="69" t="s">
        <v>117</v>
      </c>
      <c r="B98" s="83">
        <f>SUM(B96:B97)</f>
        <v>65</v>
      </c>
      <c r="C98" s="83">
        <f>SUM(C96:C97)</f>
        <v>68</v>
      </c>
      <c r="D98" s="83">
        <f>SUM(D96:D97)</f>
        <v>75</v>
      </c>
      <c r="E98" s="83">
        <f>SUM(E96:E97)</f>
        <v>65</v>
      </c>
      <c r="F98" s="84">
        <f>SUM(B98:E98)</f>
        <v>273</v>
      </c>
      <c r="G98" s="83">
        <f>SUM(G96:G97)</f>
        <v>72</v>
      </c>
      <c r="H98" s="83">
        <f>SUM(H96:H97)</f>
        <v>71</v>
      </c>
      <c r="I98" s="83">
        <f>SUM(I96:I97)</f>
        <v>56</v>
      </c>
      <c r="J98" s="83">
        <f>SUM(J96:J97)</f>
        <v>105</v>
      </c>
      <c r="K98" s="84">
        <f>SUM(G98:J98)</f>
        <v>304</v>
      </c>
      <c r="L98" s="83">
        <f>SUM(L96:L97)</f>
        <v>-10</v>
      </c>
      <c r="M98" s="83">
        <f>SUM(M96:M97)</f>
        <v>67</v>
      </c>
      <c r="N98" s="83">
        <f>SUM(N96:N97)</f>
        <v>64</v>
      </c>
      <c r="O98" s="83">
        <f>SUM(O96:O97)</f>
        <v>45</v>
      </c>
      <c r="P98" s="84">
        <f>SUM(L98:O98)</f>
        <v>166</v>
      </c>
      <c r="Q98" s="83">
        <f>SUM(Q96:Q97)</f>
        <v>53</v>
      </c>
      <c r="R98" s="83">
        <f>SUM(R96:R97)</f>
        <v>63</v>
      </c>
      <c r="S98" s="83">
        <f>SUM(S96:S97)</f>
        <v>65</v>
      </c>
      <c r="T98" s="83">
        <f>SUM(T96:T97)</f>
        <v>27</v>
      </c>
      <c r="U98" s="84">
        <f>SUM(Q98:T98)</f>
        <v>208</v>
      </c>
      <c r="V98" s="83">
        <f>SUM(V96:V97)</f>
        <v>73</v>
      </c>
      <c r="W98" s="83">
        <f>SUM(W96:W97)</f>
        <v>63</v>
      </c>
      <c r="X98" s="83">
        <f>SUM(X96:X97)</f>
        <v>59</v>
      </c>
      <c r="Y98" s="83">
        <f>SUM(Y96:Y97)</f>
        <v>122</v>
      </c>
      <c r="Z98" s="84">
        <f>SUM(V98:Y98)</f>
        <v>317</v>
      </c>
      <c r="AA98" s="83">
        <f>SUM(AA96:AA97)</f>
        <v>87</v>
      </c>
      <c r="AB98" s="83">
        <f>SUM(AB96:AB97)</f>
        <v>68</v>
      </c>
      <c r="AC98" s="83">
        <f>SUM(AC96:AC97)</f>
        <v>97</v>
      </c>
      <c r="AD98" s="83">
        <f>SUM(AD96:AD97)</f>
        <v>168</v>
      </c>
      <c r="AE98" s="84">
        <f>SUM(AA98:AD98)</f>
        <v>420</v>
      </c>
      <c r="AF98" s="83">
        <f>SUM(AF96:AF97)</f>
        <v>87</v>
      </c>
      <c r="AG98" s="83">
        <f>SUM(AG96:AG97)</f>
        <v>81.400000000000006</v>
      </c>
      <c r="AH98" s="83">
        <f>SUM(AH96:AH97)</f>
        <v>98.199999999999989</v>
      </c>
      <c r="AI98" s="83">
        <f>SUM(AI96:AI97)</f>
        <v>157.69999999999996</v>
      </c>
      <c r="AJ98" s="84">
        <f>SUM(AF98:AI98)</f>
        <v>424.29999999999995</v>
      </c>
      <c r="AK98" s="83">
        <f>SUM(AK96:AK97)</f>
        <v>81.900000000000006</v>
      </c>
      <c r="AL98" s="83">
        <f>SUM(AL96:AL97)</f>
        <v>1227.3000000000002</v>
      </c>
      <c r="AM98" s="150">
        <f t="shared" ref="AM98:AP98" si="336">SUM(AM96:AM97)</f>
        <v>61.6</v>
      </c>
      <c r="AN98" s="150">
        <f t="shared" si="336"/>
        <v>45.200000000000031</v>
      </c>
      <c r="AO98" s="84">
        <f>SUM(AK98:AN98)</f>
        <v>1416.0000000000002</v>
      </c>
      <c r="AP98" s="150">
        <f t="shared" si="336"/>
        <v>31.899999999999984</v>
      </c>
      <c r="AQ98" s="83">
        <f t="shared" ref="AQ98" si="337">SUM(AQ96:AQ97)</f>
        <v>41.399999999999991</v>
      </c>
      <c r="AR98" s="83">
        <f t="shared" ref="AR98" si="338">SUM(AR96:AR97)</f>
        <v>45.899999999999963</v>
      </c>
      <c r="AS98" s="83">
        <f t="shared" ref="AS98" si="339">SUM(AS96:AS97)</f>
        <v>92.300000000000026</v>
      </c>
      <c r="AT98" s="84">
        <f>SUM(AP98:AS98)</f>
        <v>211.49999999999997</v>
      </c>
      <c r="AU98" s="150">
        <f t="shared" ref="AU98:AX98" si="340">SUM(AU96:AU97)</f>
        <v>91.600000000000023</v>
      </c>
      <c r="AV98" s="150">
        <f t="shared" si="340"/>
        <v>37.6</v>
      </c>
      <c r="AW98" s="150">
        <f t="shared" si="340"/>
        <v>56.500000000000014</v>
      </c>
      <c r="AX98" s="150">
        <f t="shared" si="340"/>
        <v>25</v>
      </c>
      <c r="AY98" s="84">
        <f>SUM(AU98:AX98)</f>
        <v>210.70000000000005</v>
      </c>
      <c r="AZ98" s="150">
        <f t="shared" ref="AZ98:BC98" si="341">SUM(AZ96:AZ97)</f>
        <v>-32.79999999999999</v>
      </c>
      <c r="BA98" s="83">
        <f t="shared" si="341"/>
        <v>40.435837916583658</v>
      </c>
      <c r="BB98" s="83">
        <f t="shared" si="341"/>
        <v>57.622197247604539</v>
      </c>
      <c r="BC98" s="83">
        <f t="shared" si="341"/>
        <v>58.769405040393266</v>
      </c>
      <c r="BD98" s="84">
        <f>SUM(AZ98:BC98)</f>
        <v>124.02744020458148</v>
      </c>
      <c r="BE98" s="83">
        <f t="shared" ref="BE98:BH98" si="342">SUM(BE96:BE97)</f>
        <v>42.996489092001205</v>
      </c>
      <c r="BF98" s="83">
        <f t="shared" si="342"/>
        <v>48.720522675004517</v>
      </c>
      <c r="BG98" s="83">
        <f t="shared" si="342"/>
        <v>71.390662122731257</v>
      </c>
      <c r="BH98" s="83">
        <f t="shared" si="342"/>
        <v>72.794341684079129</v>
      </c>
      <c r="BI98" s="84">
        <f>SUM(BE98:BH98)</f>
        <v>235.90201557381613</v>
      </c>
    </row>
    <row r="99" spans="1:61" collapsed="1" x14ac:dyDescent="0.2">
      <c r="B99" s="83"/>
      <c r="C99" s="83"/>
      <c r="D99" s="83"/>
      <c r="E99" s="83"/>
      <c r="F99" s="68"/>
      <c r="G99" s="83"/>
      <c r="H99" s="83"/>
      <c r="I99" s="83"/>
      <c r="J99" s="83"/>
      <c r="K99" s="68"/>
      <c r="L99" s="83"/>
      <c r="M99" s="83"/>
      <c r="N99" s="83"/>
      <c r="O99" s="83"/>
      <c r="P99" s="68"/>
      <c r="Q99" s="83"/>
      <c r="R99" s="83"/>
      <c r="S99" s="83"/>
      <c r="T99" s="83"/>
      <c r="U99" s="68"/>
      <c r="V99" s="83"/>
      <c r="W99" s="83"/>
      <c r="X99" s="83"/>
      <c r="Y99" s="83"/>
      <c r="Z99" s="68"/>
      <c r="AA99" s="83"/>
      <c r="AB99" s="83"/>
      <c r="AC99" s="83"/>
      <c r="AD99" s="83"/>
      <c r="AE99" s="68"/>
      <c r="AF99" s="83"/>
      <c r="AG99" s="83"/>
      <c r="AH99" s="83"/>
      <c r="AI99" s="83"/>
      <c r="AJ99" s="183"/>
      <c r="AK99" s="83"/>
      <c r="AL99" s="83"/>
      <c r="AM99" s="150"/>
      <c r="AN99" s="150"/>
      <c r="AO99" s="68"/>
      <c r="AP99" s="205"/>
      <c r="AT99" s="68"/>
      <c r="AV99" s="205"/>
      <c r="AW99" s="205"/>
      <c r="AX99" s="205"/>
      <c r="AY99" s="68"/>
      <c r="BD99" s="68"/>
      <c r="BI99" s="68"/>
    </row>
    <row r="100" spans="1:61" hidden="1" outlineLevel="1" x14ac:dyDescent="0.2">
      <c r="A100" s="67" t="s">
        <v>121</v>
      </c>
      <c r="B100" s="83">
        <v>0</v>
      </c>
      <c r="C100" s="83">
        <v>5</v>
      </c>
      <c r="D100" s="83">
        <v>0</v>
      </c>
      <c r="E100" s="83">
        <v>-23</v>
      </c>
      <c r="F100" s="84">
        <f>SUM(B100:E100)</f>
        <v>-18</v>
      </c>
      <c r="G100" s="83">
        <v>0</v>
      </c>
      <c r="H100" s="83">
        <v>0</v>
      </c>
      <c r="I100" s="83">
        <v>0</v>
      </c>
      <c r="J100" s="83">
        <v>-60</v>
      </c>
      <c r="K100" s="84">
        <f>SUM(G100:J100)</f>
        <v>-60</v>
      </c>
      <c r="L100" s="83">
        <f t="shared" ref="L100:N100" si="343">L92</f>
        <v>-10</v>
      </c>
      <c r="M100" s="83">
        <f t="shared" si="343"/>
        <v>-10</v>
      </c>
      <c r="N100" s="83">
        <f t="shared" si="343"/>
        <v>-10</v>
      </c>
      <c r="O100" s="83">
        <f>O92</f>
        <v>30</v>
      </c>
      <c r="P100" s="84">
        <f>SUM(L100:O100)</f>
        <v>0</v>
      </c>
      <c r="Q100" s="83">
        <f t="shared" ref="Q100:S100" si="344">Q92</f>
        <v>-2</v>
      </c>
      <c r="R100" s="83">
        <f t="shared" si="344"/>
        <v>-3</v>
      </c>
      <c r="S100" s="83">
        <f t="shared" si="344"/>
        <v>-2</v>
      </c>
      <c r="T100" s="83">
        <f>T92</f>
        <v>67</v>
      </c>
      <c r="U100" s="84">
        <f>SUM(Q100:T100)</f>
        <v>60</v>
      </c>
      <c r="V100" s="83">
        <f t="shared" ref="V100:X100" si="345">V92</f>
        <v>-9</v>
      </c>
      <c r="W100" s="83">
        <f t="shared" si="345"/>
        <v>-9</v>
      </c>
      <c r="X100" s="83">
        <f t="shared" si="345"/>
        <v>-9</v>
      </c>
      <c r="Y100" s="83">
        <f>Y92</f>
        <v>-32</v>
      </c>
      <c r="Z100" s="84">
        <f>SUM(V100:Y100)</f>
        <v>-59</v>
      </c>
      <c r="AA100" s="83">
        <f t="shared" ref="AA100:AC100" si="346">AA92</f>
        <v>-13</v>
      </c>
      <c r="AB100" s="83">
        <f t="shared" si="346"/>
        <v>-14</v>
      </c>
      <c r="AC100" s="83">
        <f t="shared" si="346"/>
        <v>-14</v>
      </c>
      <c r="AD100" s="83">
        <f>AD92</f>
        <v>-85</v>
      </c>
      <c r="AE100" s="84">
        <f>SUM(AA100:AD100)</f>
        <v>-126</v>
      </c>
      <c r="AF100" s="83">
        <v>-9.3000000000000007</v>
      </c>
      <c r="AG100" s="83">
        <v>-9.1999999999999993</v>
      </c>
      <c r="AH100" s="83">
        <v>-9.1999999999999993</v>
      </c>
      <c r="AI100" s="83">
        <v>34.6</v>
      </c>
      <c r="AJ100" s="84">
        <f>SUM(AF100:AI100)</f>
        <v>6.9000000000000021</v>
      </c>
      <c r="AK100" s="83">
        <v>3.7</v>
      </c>
      <c r="AL100" s="83">
        <f>AL92</f>
        <v>3.6</v>
      </c>
      <c r="AM100" s="150">
        <f>AM92</f>
        <v>3.7</v>
      </c>
      <c r="AN100" s="150">
        <f t="shared" ref="AN100:AS100" si="347">AN92</f>
        <v>-38.6</v>
      </c>
      <c r="AO100" s="84">
        <f>SUM(AK100:AN100)</f>
        <v>-27.6</v>
      </c>
      <c r="AP100" s="150">
        <f t="shared" si="347"/>
        <v>3.4</v>
      </c>
      <c r="AQ100" s="211">
        <f t="shared" si="347"/>
        <v>3.6</v>
      </c>
      <c r="AR100" s="150">
        <f t="shared" si="347"/>
        <v>3.4</v>
      </c>
      <c r="AS100" s="83">
        <f t="shared" si="347"/>
        <v>1.3</v>
      </c>
      <c r="AT100" s="84">
        <f>SUM(AP100:AS100)</f>
        <v>11.700000000000001</v>
      </c>
      <c r="AU100" s="150">
        <f t="shared" ref="AU100:AX100" si="348">AU92</f>
        <v>-0.9</v>
      </c>
      <c r="AV100" s="150">
        <f t="shared" si="348"/>
        <v>-0.9</v>
      </c>
      <c r="AW100" s="150">
        <f t="shared" si="348"/>
        <v>-0.9</v>
      </c>
      <c r="AX100" s="150">
        <f t="shared" si="348"/>
        <v>26.3</v>
      </c>
      <c r="AY100" s="84">
        <f>SUM(AU100:AX100)</f>
        <v>23.6</v>
      </c>
      <c r="AZ100" s="150">
        <f t="shared" ref="AZ100:BC100" si="349">AZ92</f>
        <v>-1.2</v>
      </c>
      <c r="BA100" s="83">
        <f t="shared" si="349"/>
        <v>3</v>
      </c>
      <c r="BB100" s="83">
        <f t="shared" si="349"/>
        <v>3</v>
      </c>
      <c r="BC100" s="83">
        <f t="shared" si="349"/>
        <v>3</v>
      </c>
      <c r="BD100" s="84">
        <f>SUM(AZ100:BC100)</f>
        <v>7.8</v>
      </c>
      <c r="BE100" s="83">
        <f t="shared" ref="BE100:BH100" si="350">BE92</f>
        <v>3</v>
      </c>
      <c r="BF100" s="83">
        <f t="shared" si="350"/>
        <v>3</v>
      </c>
      <c r="BG100" s="83">
        <f t="shared" si="350"/>
        <v>3</v>
      </c>
      <c r="BH100" s="83">
        <f t="shared" si="350"/>
        <v>3</v>
      </c>
      <c r="BI100" s="84">
        <f>SUM(BE100:BH100)</f>
        <v>12</v>
      </c>
    </row>
    <row r="101" spans="1:61" hidden="1" outlineLevel="1" x14ac:dyDescent="0.2">
      <c r="A101" s="67" t="s">
        <v>122</v>
      </c>
      <c r="B101" s="83">
        <v>0</v>
      </c>
      <c r="C101" s="83">
        <v>0</v>
      </c>
      <c r="D101" s="83">
        <v>0</v>
      </c>
      <c r="E101" s="83">
        <v>6</v>
      </c>
      <c r="F101" s="84">
        <f t="shared" ref="F101:F110" si="351">SUM(B101:E101)</f>
        <v>6</v>
      </c>
      <c r="G101" s="83">
        <v>0</v>
      </c>
      <c r="H101" s="83">
        <v>-6</v>
      </c>
      <c r="I101" s="83">
        <v>15</v>
      </c>
      <c r="J101" s="83">
        <v>5</v>
      </c>
      <c r="K101" s="84">
        <f t="shared" ref="K101:K110" si="352">SUM(G101:J101)</f>
        <v>14</v>
      </c>
      <c r="L101" s="83">
        <v>9</v>
      </c>
      <c r="M101" s="83">
        <v>8</v>
      </c>
      <c r="N101" s="83">
        <v>-3</v>
      </c>
      <c r="O101" s="83">
        <v>0</v>
      </c>
      <c r="P101" s="84">
        <f t="shared" ref="P101:P110" si="353">SUM(L101:O101)</f>
        <v>14</v>
      </c>
      <c r="Q101" s="83">
        <v>0</v>
      </c>
      <c r="R101" s="83">
        <v>3</v>
      </c>
      <c r="S101" s="83">
        <v>0</v>
      </c>
      <c r="T101" s="83">
        <v>0</v>
      </c>
      <c r="U101" s="84">
        <f t="shared" ref="U101:U110" si="354">SUM(Q101:T101)</f>
        <v>3</v>
      </c>
      <c r="V101" s="83">
        <v>-1</v>
      </c>
      <c r="W101" s="83">
        <v>0</v>
      </c>
      <c r="X101" s="83">
        <v>1</v>
      </c>
      <c r="Y101" s="83">
        <v>-30</v>
      </c>
      <c r="Z101" s="84">
        <f t="shared" ref="Z101:Z110" si="355">SUM(V101:Y101)</f>
        <v>-30</v>
      </c>
      <c r="AA101" s="83">
        <v>1</v>
      </c>
      <c r="AB101" s="83">
        <v>0</v>
      </c>
      <c r="AC101" s="83">
        <v>1</v>
      </c>
      <c r="AD101" s="83">
        <v>-26</v>
      </c>
      <c r="AE101" s="84">
        <f t="shared" ref="AE101:AE110" si="356">SUM(AA101:AD101)</f>
        <v>-24</v>
      </c>
      <c r="AF101" s="83">
        <v>2.8</v>
      </c>
      <c r="AG101" s="83">
        <v>6.2</v>
      </c>
      <c r="AH101" s="83">
        <v>9.9</v>
      </c>
      <c r="AI101" s="83">
        <v>1.6</v>
      </c>
      <c r="AJ101" s="84">
        <f t="shared" ref="AJ101:AJ110" si="357">SUM(AF101:AI101)</f>
        <v>20.5</v>
      </c>
      <c r="AK101" s="83">
        <v>25.4</v>
      </c>
      <c r="AL101" s="83">
        <v>3.8</v>
      </c>
      <c r="AM101" s="150">
        <v>1.6</v>
      </c>
      <c r="AN101" s="150">
        <v>2</v>
      </c>
      <c r="AO101" s="84">
        <f t="shared" ref="AO101:AO110" si="358">SUM(AK101:AN101)</f>
        <v>32.799999999999997</v>
      </c>
      <c r="AP101" s="150">
        <v>0.1</v>
      </c>
      <c r="AQ101" s="83">
        <v>0</v>
      </c>
      <c r="AR101" s="150">
        <v>0.1</v>
      </c>
      <c r="AS101" s="83">
        <v>-0.9</v>
      </c>
      <c r="AT101" s="84">
        <f t="shared" ref="AT101:AT110" si="359">SUM(AP101:AS101)</f>
        <v>-0.7</v>
      </c>
      <c r="AU101" s="150">
        <v>0.4</v>
      </c>
      <c r="AV101" s="150">
        <v>0.8</v>
      </c>
      <c r="AW101" s="150">
        <v>0.4</v>
      </c>
      <c r="AX101" s="150">
        <v>-0.2</v>
      </c>
      <c r="AY101" s="84">
        <f t="shared" ref="AY101:AY108" si="360">SUM(AU101:AX101)</f>
        <v>1.4000000000000001</v>
      </c>
      <c r="AZ101" s="150">
        <v>5.2</v>
      </c>
      <c r="BA101" s="83">
        <v>0</v>
      </c>
      <c r="BB101" s="83">
        <v>0</v>
      </c>
      <c r="BC101" s="83">
        <v>0</v>
      </c>
      <c r="BD101" s="84">
        <f t="shared" ref="BD101:BD108" si="361">SUM(AZ101:BC101)</f>
        <v>5.2</v>
      </c>
      <c r="BE101" s="83">
        <v>0</v>
      </c>
      <c r="BF101" s="83">
        <v>0</v>
      </c>
      <c r="BG101" s="83">
        <v>0</v>
      </c>
      <c r="BH101" s="83">
        <v>0</v>
      </c>
      <c r="BI101" s="84">
        <f t="shared" ref="BI101:BI108" si="362">SUM(BE101:BH101)</f>
        <v>0</v>
      </c>
    </row>
    <row r="102" spans="1:61" hidden="1" outlineLevel="1" x14ac:dyDescent="0.2">
      <c r="A102" s="67" t="s">
        <v>124</v>
      </c>
      <c r="B102" s="83">
        <v>0</v>
      </c>
      <c r="C102" s="83">
        <v>0</v>
      </c>
      <c r="D102" s="83">
        <v>0</v>
      </c>
      <c r="E102" s="83">
        <v>0</v>
      </c>
      <c r="F102" s="84">
        <f t="shared" si="351"/>
        <v>0</v>
      </c>
      <c r="G102" s="83">
        <v>0</v>
      </c>
      <c r="H102" s="83">
        <v>0</v>
      </c>
      <c r="I102" s="83">
        <v>0</v>
      </c>
      <c r="J102" s="83">
        <v>0</v>
      </c>
      <c r="K102" s="84">
        <f t="shared" si="352"/>
        <v>0</v>
      </c>
      <c r="L102" s="83">
        <v>0</v>
      </c>
      <c r="M102" s="83">
        <v>0</v>
      </c>
      <c r="N102" s="83">
        <v>0</v>
      </c>
      <c r="O102" s="83">
        <v>0</v>
      </c>
      <c r="P102" s="84">
        <f t="shared" si="353"/>
        <v>0</v>
      </c>
      <c r="Q102" s="83">
        <v>0</v>
      </c>
      <c r="R102" s="83">
        <v>0</v>
      </c>
      <c r="S102" s="83">
        <v>0</v>
      </c>
      <c r="T102" s="83">
        <v>0</v>
      </c>
      <c r="U102" s="84">
        <f t="shared" si="354"/>
        <v>0</v>
      </c>
      <c r="V102" s="83">
        <v>0</v>
      </c>
      <c r="W102" s="83">
        <v>0</v>
      </c>
      <c r="X102" s="83">
        <v>0</v>
      </c>
      <c r="Y102" s="83">
        <v>0</v>
      </c>
      <c r="Z102" s="84">
        <f t="shared" si="355"/>
        <v>0</v>
      </c>
      <c r="AA102" s="83">
        <v>0</v>
      </c>
      <c r="AB102" s="83">
        <v>0</v>
      </c>
      <c r="AC102" s="83">
        <v>0</v>
      </c>
      <c r="AD102" s="83">
        <v>0</v>
      </c>
      <c r="AE102" s="84">
        <f t="shared" si="356"/>
        <v>0</v>
      </c>
      <c r="AF102" s="83">
        <v>1</v>
      </c>
      <c r="AG102" s="83">
        <v>1.6</v>
      </c>
      <c r="AH102" s="83">
        <v>0</v>
      </c>
      <c r="AI102" s="83">
        <v>0</v>
      </c>
      <c r="AJ102" s="84">
        <f t="shared" si="357"/>
        <v>2.6</v>
      </c>
      <c r="AK102" s="83">
        <v>-0.2</v>
      </c>
      <c r="AL102" s="83">
        <v>0.4</v>
      </c>
      <c r="AM102" s="150">
        <v>1.1000000000000001</v>
      </c>
      <c r="AN102" s="150">
        <v>1.2</v>
      </c>
      <c r="AO102" s="84">
        <f t="shared" si="358"/>
        <v>2.5</v>
      </c>
      <c r="AP102" s="150">
        <v>2.7</v>
      </c>
      <c r="AQ102" s="83">
        <v>3.1</v>
      </c>
      <c r="AR102" s="150">
        <v>1.9</v>
      </c>
      <c r="AS102" s="83">
        <v>2.7</v>
      </c>
      <c r="AT102" s="84">
        <f t="shared" si="359"/>
        <v>10.400000000000002</v>
      </c>
      <c r="AU102" s="150">
        <v>1.5</v>
      </c>
      <c r="AV102" s="150">
        <v>4.9000000000000004</v>
      </c>
      <c r="AW102" s="150">
        <v>2.1</v>
      </c>
      <c r="AX102" s="150">
        <v>3</v>
      </c>
      <c r="AY102" s="84">
        <f t="shared" si="360"/>
        <v>11.5</v>
      </c>
      <c r="AZ102" s="150">
        <v>3.1</v>
      </c>
      <c r="BA102" s="83">
        <v>0</v>
      </c>
      <c r="BB102" s="83">
        <v>0</v>
      </c>
      <c r="BC102" s="83">
        <v>0</v>
      </c>
      <c r="BD102" s="84">
        <f t="shared" si="361"/>
        <v>3.1</v>
      </c>
      <c r="BE102" s="83">
        <v>0</v>
      </c>
      <c r="BF102" s="83">
        <v>0</v>
      </c>
      <c r="BG102" s="83">
        <v>0</v>
      </c>
      <c r="BH102" s="83">
        <v>0</v>
      </c>
      <c r="BI102" s="84">
        <f t="shared" si="362"/>
        <v>0</v>
      </c>
    </row>
    <row r="103" spans="1:61" hidden="1" outlineLevel="1" x14ac:dyDescent="0.2">
      <c r="A103" s="67" t="s">
        <v>123</v>
      </c>
      <c r="B103" s="83">
        <v>0</v>
      </c>
      <c r="C103" s="83">
        <v>0</v>
      </c>
      <c r="D103" s="83">
        <v>0</v>
      </c>
      <c r="E103" s="83">
        <v>0</v>
      </c>
      <c r="F103" s="84">
        <f t="shared" si="351"/>
        <v>0</v>
      </c>
      <c r="G103" s="83">
        <v>0</v>
      </c>
      <c r="H103" s="83">
        <v>0</v>
      </c>
      <c r="I103" s="83">
        <v>0</v>
      </c>
      <c r="J103" s="83">
        <v>0</v>
      </c>
      <c r="K103" s="84">
        <f t="shared" si="352"/>
        <v>0</v>
      </c>
      <c r="L103" s="83">
        <v>0</v>
      </c>
      <c r="M103" s="83">
        <v>0</v>
      </c>
      <c r="N103" s="83">
        <v>0</v>
      </c>
      <c r="O103" s="83">
        <v>0</v>
      </c>
      <c r="P103" s="84">
        <f t="shared" si="353"/>
        <v>0</v>
      </c>
      <c r="Q103" s="83">
        <v>0</v>
      </c>
      <c r="R103" s="83">
        <v>0</v>
      </c>
      <c r="S103" s="83">
        <v>0</v>
      </c>
      <c r="T103" s="83">
        <v>0</v>
      </c>
      <c r="U103" s="84">
        <f t="shared" si="354"/>
        <v>0</v>
      </c>
      <c r="V103" s="83">
        <v>0</v>
      </c>
      <c r="W103" s="83">
        <v>0</v>
      </c>
      <c r="X103" s="83">
        <v>0</v>
      </c>
      <c r="Y103" s="83">
        <v>0</v>
      </c>
      <c r="Z103" s="84">
        <f t="shared" si="355"/>
        <v>0</v>
      </c>
      <c r="AA103" s="83">
        <v>0</v>
      </c>
      <c r="AB103" s="83">
        <v>0</v>
      </c>
      <c r="AC103" s="83">
        <v>0</v>
      </c>
      <c r="AD103" s="83">
        <v>0</v>
      </c>
      <c r="AE103" s="84">
        <f t="shared" si="356"/>
        <v>0</v>
      </c>
      <c r="AF103" s="83">
        <v>-0.3</v>
      </c>
      <c r="AG103" s="83">
        <v>4</v>
      </c>
      <c r="AH103" s="83">
        <v>-2.2000000000000002</v>
      </c>
      <c r="AI103" s="83">
        <v>-0.6</v>
      </c>
      <c r="AJ103" s="84">
        <f t="shared" si="357"/>
        <v>0.9</v>
      </c>
      <c r="AK103" s="83">
        <v>0.3</v>
      </c>
      <c r="AL103" s="83">
        <v>0.1</v>
      </c>
      <c r="AM103" s="150">
        <v>-0.4</v>
      </c>
      <c r="AN103" s="150">
        <v>7.6</v>
      </c>
      <c r="AO103" s="84">
        <f t="shared" si="358"/>
        <v>7.6</v>
      </c>
      <c r="AP103" s="150">
        <v>0</v>
      </c>
      <c r="AQ103" s="83">
        <v>0</v>
      </c>
      <c r="AR103" s="150">
        <v>0</v>
      </c>
      <c r="AS103" s="83">
        <v>0</v>
      </c>
      <c r="AT103" s="84">
        <f t="shared" si="359"/>
        <v>0</v>
      </c>
      <c r="AU103" s="150">
        <v>0</v>
      </c>
      <c r="AV103" s="150">
        <v>0</v>
      </c>
      <c r="AW103" s="150">
        <v>0</v>
      </c>
      <c r="AX103" s="150">
        <v>0</v>
      </c>
      <c r="AY103" s="84">
        <f t="shared" si="360"/>
        <v>0</v>
      </c>
      <c r="AZ103" s="150">
        <v>0</v>
      </c>
      <c r="BA103" s="83">
        <v>0</v>
      </c>
      <c r="BB103" s="83">
        <v>0</v>
      </c>
      <c r="BC103" s="83">
        <v>0</v>
      </c>
      <c r="BD103" s="84">
        <f t="shared" si="361"/>
        <v>0</v>
      </c>
      <c r="BE103" s="83">
        <v>0</v>
      </c>
      <c r="BF103" s="83">
        <v>0</v>
      </c>
      <c r="BG103" s="83">
        <v>0</v>
      </c>
      <c r="BH103" s="83">
        <v>0</v>
      </c>
      <c r="BI103" s="84">
        <f t="shared" si="362"/>
        <v>0</v>
      </c>
    </row>
    <row r="104" spans="1:61" hidden="1" outlineLevel="1" x14ac:dyDescent="0.2">
      <c r="A104" s="67" t="s">
        <v>125</v>
      </c>
      <c r="B104" s="83">
        <v>0</v>
      </c>
      <c r="C104" s="83">
        <v>0</v>
      </c>
      <c r="D104" s="83">
        <v>0</v>
      </c>
      <c r="E104" s="83">
        <v>0</v>
      </c>
      <c r="F104" s="84">
        <f t="shared" si="351"/>
        <v>0</v>
      </c>
      <c r="G104" s="83">
        <v>0</v>
      </c>
      <c r="H104" s="83">
        <v>0</v>
      </c>
      <c r="I104" s="83">
        <v>0</v>
      </c>
      <c r="J104" s="83">
        <v>0</v>
      </c>
      <c r="K104" s="84">
        <f t="shared" si="352"/>
        <v>0</v>
      </c>
      <c r="L104" s="83">
        <v>0</v>
      </c>
      <c r="M104" s="83">
        <v>0</v>
      </c>
      <c r="N104" s="83">
        <v>0</v>
      </c>
      <c r="O104" s="83">
        <v>0</v>
      </c>
      <c r="P104" s="84">
        <f t="shared" si="353"/>
        <v>0</v>
      </c>
      <c r="Q104" s="83">
        <v>0</v>
      </c>
      <c r="R104" s="83">
        <v>8</v>
      </c>
      <c r="S104" s="83">
        <v>4</v>
      </c>
      <c r="T104" s="83">
        <v>2</v>
      </c>
      <c r="U104" s="84">
        <f t="shared" si="354"/>
        <v>14</v>
      </c>
      <c r="V104" s="83">
        <v>1</v>
      </c>
      <c r="W104" s="83">
        <v>0</v>
      </c>
      <c r="X104" s="83">
        <v>0</v>
      </c>
      <c r="Y104" s="83">
        <v>-1</v>
      </c>
      <c r="Z104" s="84">
        <f t="shared" si="355"/>
        <v>0</v>
      </c>
      <c r="AA104" s="83">
        <v>0</v>
      </c>
      <c r="AB104" s="83">
        <v>0</v>
      </c>
      <c r="AC104" s="83">
        <v>0</v>
      </c>
      <c r="AD104" s="83">
        <v>0</v>
      </c>
      <c r="AE104" s="84">
        <f t="shared" si="356"/>
        <v>0</v>
      </c>
      <c r="AF104" s="83">
        <v>0</v>
      </c>
      <c r="AG104" s="83">
        <v>0</v>
      </c>
      <c r="AH104" s="83"/>
      <c r="AI104" s="83">
        <v>0</v>
      </c>
      <c r="AJ104" s="84">
        <f t="shared" si="357"/>
        <v>0</v>
      </c>
      <c r="AK104" s="83">
        <v>0</v>
      </c>
      <c r="AL104" s="83">
        <v>0</v>
      </c>
      <c r="AM104" s="150">
        <v>0</v>
      </c>
      <c r="AN104" s="150">
        <v>0</v>
      </c>
      <c r="AO104" s="84">
        <f t="shared" si="358"/>
        <v>0</v>
      </c>
      <c r="AP104" s="150">
        <v>0</v>
      </c>
      <c r="AQ104" s="83">
        <v>0</v>
      </c>
      <c r="AR104" s="150">
        <v>0</v>
      </c>
      <c r="AS104" s="83">
        <v>0</v>
      </c>
      <c r="AT104" s="84">
        <f t="shared" si="359"/>
        <v>0</v>
      </c>
      <c r="AU104" s="150">
        <v>0</v>
      </c>
      <c r="AV104" s="150">
        <v>0</v>
      </c>
      <c r="AW104" s="150">
        <v>0</v>
      </c>
      <c r="AX104" s="150">
        <v>0</v>
      </c>
      <c r="AY104" s="84">
        <f t="shared" si="360"/>
        <v>0</v>
      </c>
      <c r="AZ104" s="150">
        <v>0</v>
      </c>
      <c r="BA104" s="83">
        <v>0</v>
      </c>
      <c r="BB104" s="83">
        <v>0</v>
      </c>
      <c r="BC104" s="83">
        <v>0</v>
      </c>
      <c r="BD104" s="84">
        <f t="shared" si="361"/>
        <v>0</v>
      </c>
      <c r="BE104" s="83">
        <v>0</v>
      </c>
      <c r="BF104" s="83">
        <v>0</v>
      </c>
      <c r="BG104" s="83">
        <v>0</v>
      </c>
      <c r="BH104" s="83">
        <v>0</v>
      </c>
      <c r="BI104" s="84">
        <f t="shared" si="362"/>
        <v>0</v>
      </c>
    </row>
    <row r="105" spans="1:61" hidden="1" outlineLevel="1" x14ac:dyDescent="0.2">
      <c r="A105" s="67" t="s">
        <v>126</v>
      </c>
      <c r="B105" s="83">
        <v>0</v>
      </c>
      <c r="C105" s="83">
        <v>0</v>
      </c>
      <c r="D105" s="83">
        <v>0</v>
      </c>
      <c r="E105" s="83">
        <v>0</v>
      </c>
      <c r="F105" s="84">
        <f t="shared" si="351"/>
        <v>0</v>
      </c>
      <c r="G105" s="83">
        <v>0</v>
      </c>
      <c r="H105" s="83">
        <v>0</v>
      </c>
      <c r="I105" s="83">
        <v>0</v>
      </c>
      <c r="J105" s="83">
        <v>0</v>
      </c>
      <c r="K105" s="84">
        <f t="shared" si="352"/>
        <v>0</v>
      </c>
      <c r="L105" s="83">
        <v>0</v>
      </c>
      <c r="M105" s="83">
        <v>0</v>
      </c>
      <c r="N105" s="83">
        <v>0</v>
      </c>
      <c r="O105" s="83">
        <v>0</v>
      </c>
      <c r="P105" s="84">
        <f t="shared" si="353"/>
        <v>0</v>
      </c>
      <c r="Q105" s="83">
        <v>0</v>
      </c>
      <c r="R105" s="83">
        <v>0</v>
      </c>
      <c r="S105" s="83">
        <v>0</v>
      </c>
      <c r="T105" s="83">
        <v>0</v>
      </c>
      <c r="U105" s="84">
        <f t="shared" si="354"/>
        <v>0</v>
      </c>
      <c r="V105" s="83">
        <v>0</v>
      </c>
      <c r="W105" s="83">
        <v>0</v>
      </c>
      <c r="X105" s="83">
        <v>0</v>
      </c>
      <c r="Y105" s="83">
        <v>0</v>
      </c>
      <c r="Z105" s="84">
        <f t="shared" si="355"/>
        <v>0</v>
      </c>
      <c r="AA105" s="83">
        <v>0</v>
      </c>
      <c r="AB105" s="83">
        <v>0</v>
      </c>
      <c r="AC105" s="83">
        <v>17</v>
      </c>
      <c r="AD105" s="83">
        <v>15</v>
      </c>
      <c r="AE105" s="84">
        <f t="shared" si="356"/>
        <v>32</v>
      </c>
      <c r="AF105" s="83">
        <v>0</v>
      </c>
      <c r="AG105" s="83">
        <v>0</v>
      </c>
      <c r="AH105" s="83">
        <v>0</v>
      </c>
      <c r="AI105" s="83">
        <v>0</v>
      </c>
      <c r="AJ105" s="84">
        <f t="shared" si="357"/>
        <v>0</v>
      </c>
      <c r="AK105" s="83">
        <v>0</v>
      </c>
      <c r="AL105" s="83">
        <v>0</v>
      </c>
      <c r="AM105" s="150">
        <v>0</v>
      </c>
      <c r="AN105" s="150">
        <v>0</v>
      </c>
      <c r="AO105" s="84">
        <f t="shared" si="358"/>
        <v>0</v>
      </c>
      <c r="AP105" s="150">
        <v>0</v>
      </c>
      <c r="AQ105" s="83">
        <v>0</v>
      </c>
      <c r="AR105" s="150">
        <v>0</v>
      </c>
      <c r="AS105" s="83">
        <v>0</v>
      </c>
      <c r="AT105" s="84">
        <f t="shared" si="359"/>
        <v>0</v>
      </c>
      <c r="AU105" s="150">
        <v>0</v>
      </c>
      <c r="AV105" s="150">
        <v>0</v>
      </c>
      <c r="AW105" s="150">
        <v>0</v>
      </c>
      <c r="AX105" s="150">
        <v>0</v>
      </c>
      <c r="AY105" s="84">
        <f t="shared" si="360"/>
        <v>0</v>
      </c>
      <c r="AZ105" s="150">
        <v>0</v>
      </c>
      <c r="BA105" s="83">
        <v>0</v>
      </c>
      <c r="BB105" s="83">
        <v>0</v>
      </c>
      <c r="BC105" s="83">
        <v>0</v>
      </c>
      <c r="BD105" s="84">
        <f t="shared" si="361"/>
        <v>0</v>
      </c>
      <c r="BE105" s="83">
        <v>0</v>
      </c>
      <c r="BF105" s="83">
        <v>0</v>
      </c>
      <c r="BG105" s="83">
        <v>0</v>
      </c>
      <c r="BH105" s="83">
        <v>0</v>
      </c>
      <c r="BI105" s="84">
        <f t="shared" si="362"/>
        <v>0</v>
      </c>
    </row>
    <row r="106" spans="1:61" hidden="1" outlineLevel="1" x14ac:dyDescent="0.2">
      <c r="A106" s="67" t="s">
        <v>127</v>
      </c>
      <c r="B106" s="83">
        <v>0</v>
      </c>
      <c r="C106" s="83">
        <v>0</v>
      </c>
      <c r="D106" s="83">
        <v>0</v>
      </c>
      <c r="E106" s="83">
        <v>0</v>
      </c>
      <c r="F106" s="84">
        <f t="shared" si="351"/>
        <v>0</v>
      </c>
      <c r="G106" s="83">
        <v>0</v>
      </c>
      <c r="H106" s="83">
        <v>0</v>
      </c>
      <c r="I106" s="83">
        <v>0</v>
      </c>
      <c r="J106" s="83">
        <v>0</v>
      </c>
      <c r="K106" s="84">
        <f t="shared" si="352"/>
        <v>0</v>
      </c>
      <c r="L106" s="83">
        <v>0</v>
      </c>
      <c r="M106" s="83">
        <v>0</v>
      </c>
      <c r="N106" s="83">
        <v>0</v>
      </c>
      <c r="O106" s="83">
        <v>0</v>
      </c>
      <c r="P106" s="84">
        <f t="shared" si="353"/>
        <v>0</v>
      </c>
      <c r="Q106" s="83">
        <v>0</v>
      </c>
      <c r="R106" s="83">
        <v>1</v>
      </c>
      <c r="S106" s="83">
        <v>5</v>
      </c>
      <c r="T106" s="83">
        <v>0</v>
      </c>
      <c r="U106" s="84">
        <f t="shared" si="354"/>
        <v>6</v>
      </c>
      <c r="V106" s="83">
        <v>0</v>
      </c>
      <c r="W106" s="83">
        <v>0</v>
      </c>
      <c r="X106" s="83">
        <v>0</v>
      </c>
      <c r="Y106" s="83">
        <v>-2</v>
      </c>
      <c r="Z106" s="84">
        <f t="shared" si="355"/>
        <v>-2</v>
      </c>
      <c r="AA106" s="83">
        <v>-1</v>
      </c>
      <c r="AB106" s="83">
        <v>-2</v>
      </c>
      <c r="AC106" s="83">
        <v>0</v>
      </c>
      <c r="AD106" s="83">
        <v>0</v>
      </c>
      <c r="AE106" s="84">
        <f t="shared" si="356"/>
        <v>-3</v>
      </c>
      <c r="AF106" s="83">
        <v>0</v>
      </c>
      <c r="AG106" s="83">
        <v>0</v>
      </c>
      <c r="AH106" s="83">
        <v>0</v>
      </c>
      <c r="AI106" s="83">
        <v>0</v>
      </c>
      <c r="AJ106" s="84">
        <f t="shared" si="357"/>
        <v>0</v>
      </c>
      <c r="AK106" s="83">
        <v>0</v>
      </c>
      <c r="AL106" s="83">
        <v>0</v>
      </c>
      <c r="AM106" s="150">
        <v>0</v>
      </c>
      <c r="AN106" s="150">
        <v>0</v>
      </c>
      <c r="AO106" s="84">
        <f t="shared" si="358"/>
        <v>0</v>
      </c>
      <c r="AP106" s="150">
        <v>0</v>
      </c>
      <c r="AQ106" s="83">
        <v>0</v>
      </c>
      <c r="AR106" s="150">
        <v>0</v>
      </c>
      <c r="AS106" s="83">
        <v>0</v>
      </c>
      <c r="AT106" s="84">
        <f t="shared" si="359"/>
        <v>0</v>
      </c>
      <c r="AU106" s="150">
        <v>0</v>
      </c>
      <c r="AV106" s="150">
        <v>0</v>
      </c>
      <c r="AW106" s="150">
        <v>0</v>
      </c>
      <c r="AX106" s="150">
        <v>0</v>
      </c>
      <c r="AY106" s="84">
        <f t="shared" si="360"/>
        <v>0</v>
      </c>
      <c r="AZ106" s="150">
        <v>0</v>
      </c>
      <c r="BA106" s="83">
        <v>0</v>
      </c>
      <c r="BB106" s="83">
        <v>0</v>
      </c>
      <c r="BC106" s="83">
        <v>0</v>
      </c>
      <c r="BD106" s="84">
        <f t="shared" si="361"/>
        <v>0</v>
      </c>
      <c r="BE106" s="83">
        <v>0</v>
      </c>
      <c r="BF106" s="83">
        <v>0</v>
      </c>
      <c r="BG106" s="83">
        <v>0</v>
      </c>
      <c r="BH106" s="83">
        <v>0</v>
      </c>
      <c r="BI106" s="84">
        <f t="shared" si="362"/>
        <v>0</v>
      </c>
    </row>
    <row r="107" spans="1:61" hidden="1" outlineLevel="1" x14ac:dyDescent="0.2">
      <c r="A107" s="67" t="s">
        <v>128</v>
      </c>
      <c r="B107" s="83">
        <v>0</v>
      </c>
      <c r="C107" s="83">
        <v>0</v>
      </c>
      <c r="D107" s="83">
        <v>0</v>
      </c>
      <c r="E107" s="83">
        <v>0</v>
      </c>
      <c r="F107" s="84">
        <f t="shared" si="351"/>
        <v>0</v>
      </c>
      <c r="G107" s="83">
        <v>0</v>
      </c>
      <c r="H107" s="83">
        <v>0</v>
      </c>
      <c r="I107" s="83">
        <v>0</v>
      </c>
      <c r="J107" s="83">
        <v>0</v>
      </c>
      <c r="K107" s="84">
        <f t="shared" si="352"/>
        <v>0</v>
      </c>
      <c r="L107" s="83">
        <v>0</v>
      </c>
      <c r="M107" s="83">
        <v>0</v>
      </c>
      <c r="N107" s="83">
        <v>0</v>
      </c>
      <c r="O107" s="83">
        <v>0</v>
      </c>
      <c r="P107" s="84">
        <f t="shared" si="353"/>
        <v>0</v>
      </c>
      <c r="Q107" s="83">
        <v>0</v>
      </c>
      <c r="R107" s="83">
        <v>0</v>
      </c>
      <c r="S107" s="83">
        <v>0</v>
      </c>
      <c r="T107" s="83">
        <v>0</v>
      </c>
      <c r="U107" s="84">
        <f t="shared" si="354"/>
        <v>0</v>
      </c>
      <c r="V107" s="83">
        <v>0</v>
      </c>
      <c r="W107" s="83">
        <v>19</v>
      </c>
      <c r="X107" s="83">
        <v>0</v>
      </c>
      <c r="Y107" s="83">
        <v>0</v>
      </c>
      <c r="Z107" s="84">
        <f t="shared" si="355"/>
        <v>19</v>
      </c>
      <c r="AA107" s="83">
        <v>0</v>
      </c>
      <c r="AB107" s="83">
        <v>36</v>
      </c>
      <c r="AC107" s="83">
        <v>0</v>
      </c>
      <c r="AD107" s="83">
        <v>0</v>
      </c>
      <c r="AE107" s="84">
        <f t="shared" si="356"/>
        <v>36</v>
      </c>
      <c r="AF107" s="83">
        <v>0</v>
      </c>
      <c r="AG107" s="83">
        <v>0</v>
      </c>
      <c r="AH107" s="83">
        <v>0</v>
      </c>
      <c r="AI107" s="83">
        <v>0</v>
      </c>
      <c r="AJ107" s="84">
        <f t="shared" si="357"/>
        <v>0</v>
      </c>
      <c r="AK107" s="83">
        <v>0</v>
      </c>
      <c r="AL107" s="83">
        <v>0.9</v>
      </c>
      <c r="AM107" s="150">
        <v>0.1</v>
      </c>
      <c r="AN107" s="150">
        <v>0.1</v>
      </c>
      <c r="AO107" s="84">
        <f t="shared" si="358"/>
        <v>1.1000000000000001</v>
      </c>
      <c r="AP107" s="150">
        <v>0</v>
      </c>
      <c r="AQ107" s="83">
        <v>0</v>
      </c>
      <c r="AR107" s="150">
        <v>7.3</v>
      </c>
      <c r="AS107" s="83">
        <v>0</v>
      </c>
      <c r="AT107" s="84">
        <f t="shared" si="359"/>
        <v>7.3</v>
      </c>
      <c r="AU107" s="150">
        <v>0</v>
      </c>
      <c r="AV107" s="150">
        <v>0</v>
      </c>
      <c r="AW107" s="150">
        <v>0</v>
      </c>
      <c r="AX107" s="150">
        <v>0</v>
      </c>
      <c r="AY107" s="84">
        <f t="shared" si="360"/>
        <v>0</v>
      </c>
      <c r="AZ107" s="150">
        <v>0</v>
      </c>
      <c r="BA107" s="83">
        <v>0</v>
      </c>
      <c r="BB107" s="83">
        <v>0</v>
      </c>
      <c r="BC107" s="83">
        <v>0</v>
      </c>
      <c r="BD107" s="84">
        <f t="shared" si="361"/>
        <v>0</v>
      </c>
      <c r="BE107" s="83">
        <v>0</v>
      </c>
      <c r="BF107" s="83">
        <v>0</v>
      </c>
      <c r="BG107" s="83">
        <v>0</v>
      </c>
      <c r="BH107" s="83">
        <v>0</v>
      </c>
      <c r="BI107" s="84">
        <f t="shared" si="362"/>
        <v>0</v>
      </c>
    </row>
    <row r="108" spans="1:61" hidden="1" outlineLevel="1" x14ac:dyDescent="0.2">
      <c r="A108" s="67" t="s">
        <v>130</v>
      </c>
      <c r="B108" s="83">
        <v>0</v>
      </c>
      <c r="C108" s="83">
        <v>-1</v>
      </c>
      <c r="D108" s="83">
        <v>0</v>
      </c>
      <c r="E108" s="83">
        <v>4</v>
      </c>
      <c r="F108" s="84">
        <f t="shared" si="351"/>
        <v>3</v>
      </c>
      <c r="G108" s="83">
        <v>0</v>
      </c>
      <c r="H108" s="83">
        <v>8</v>
      </c>
      <c r="I108" s="83">
        <v>0</v>
      </c>
      <c r="J108" s="83">
        <f>-14-5</f>
        <v>-19</v>
      </c>
      <c r="K108" s="84">
        <f t="shared" si="352"/>
        <v>-11</v>
      </c>
      <c r="L108" s="83">
        <v>0</v>
      </c>
      <c r="M108" s="83">
        <v>0</v>
      </c>
      <c r="N108" s="83">
        <v>2</v>
      </c>
      <c r="O108" s="83">
        <v>1</v>
      </c>
      <c r="P108" s="84">
        <f t="shared" si="353"/>
        <v>3</v>
      </c>
      <c r="Q108" s="83">
        <v>0</v>
      </c>
      <c r="R108" s="83">
        <v>0</v>
      </c>
      <c r="S108" s="83">
        <v>0</v>
      </c>
      <c r="T108" s="83">
        <v>-4</v>
      </c>
      <c r="U108" s="84">
        <f t="shared" si="354"/>
        <v>-4</v>
      </c>
      <c r="V108" s="83">
        <v>0</v>
      </c>
      <c r="W108" s="83">
        <v>2</v>
      </c>
      <c r="X108" s="83">
        <v>0</v>
      </c>
      <c r="Y108" s="83">
        <v>-11</v>
      </c>
      <c r="Z108" s="84">
        <f t="shared" si="355"/>
        <v>-9</v>
      </c>
      <c r="AA108" s="83">
        <v>0</v>
      </c>
      <c r="AB108" s="83">
        <v>0</v>
      </c>
      <c r="AC108" s="83">
        <v>0</v>
      </c>
      <c r="AD108" s="83">
        <v>0</v>
      </c>
      <c r="AE108" s="84">
        <f t="shared" si="356"/>
        <v>0</v>
      </c>
      <c r="AF108" s="83">
        <v>0</v>
      </c>
      <c r="AG108" s="83">
        <v>0</v>
      </c>
      <c r="AH108" s="83">
        <v>0</v>
      </c>
      <c r="AI108" s="83">
        <v>0</v>
      </c>
      <c r="AJ108" s="84">
        <f t="shared" si="357"/>
        <v>0</v>
      </c>
      <c r="AK108" s="83">
        <v>0</v>
      </c>
      <c r="AL108" s="83">
        <v>1</v>
      </c>
      <c r="AM108" s="150">
        <v>0</v>
      </c>
      <c r="AN108" s="150">
        <v>0.1</v>
      </c>
      <c r="AO108" s="84">
        <f t="shared" si="358"/>
        <v>1.1000000000000001</v>
      </c>
      <c r="AP108" s="150">
        <v>0</v>
      </c>
      <c r="AQ108" s="177">
        <v>0</v>
      </c>
      <c r="AR108" s="150">
        <v>0.9</v>
      </c>
      <c r="AS108" s="150">
        <v>-41.1</v>
      </c>
      <c r="AT108" s="84">
        <f t="shared" si="359"/>
        <v>-40.200000000000003</v>
      </c>
      <c r="AU108" s="150">
        <v>-70.900000000000006</v>
      </c>
      <c r="AV108" s="150">
        <v>3.4</v>
      </c>
      <c r="AW108" s="150">
        <v>3.5</v>
      </c>
      <c r="AX108" s="150">
        <v>13.8</v>
      </c>
      <c r="AY108" s="84">
        <f t="shared" si="360"/>
        <v>-50.2</v>
      </c>
      <c r="AZ108" s="150">
        <v>62.2</v>
      </c>
      <c r="BA108" s="177">
        <v>1</v>
      </c>
      <c r="BB108" s="177">
        <v>1</v>
      </c>
      <c r="BC108" s="177">
        <v>1</v>
      </c>
      <c r="BD108" s="84">
        <f t="shared" si="361"/>
        <v>65.2</v>
      </c>
      <c r="BE108" s="177">
        <v>1</v>
      </c>
      <c r="BF108" s="177">
        <v>1</v>
      </c>
      <c r="BG108" s="177">
        <v>1</v>
      </c>
      <c r="BH108" s="177">
        <v>1</v>
      </c>
      <c r="BI108" s="84">
        <f t="shared" si="362"/>
        <v>4</v>
      </c>
    </row>
    <row r="109" spans="1:61" hidden="1" outlineLevel="1" x14ac:dyDescent="0.2">
      <c r="A109" s="67" t="s">
        <v>129</v>
      </c>
      <c r="B109" s="83">
        <v>0</v>
      </c>
      <c r="C109" s="83">
        <v>-2</v>
      </c>
      <c r="D109" s="83">
        <v>0</v>
      </c>
      <c r="E109" s="83">
        <v>7</v>
      </c>
      <c r="F109" s="84">
        <f t="shared" si="351"/>
        <v>5</v>
      </c>
      <c r="G109" s="83">
        <v>0</v>
      </c>
      <c r="H109" s="83">
        <v>-2</v>
      </c>
      <c r="I109" s="83">
        <v>-2</v>
      </c>
      <c r="J109" s="83">
        <f>34+3</f>
        <v>37</v>
      </c>
      <c r="K109" s="84">
        <f t="shared" si="352"/>
        <v>33</v>
      </c>
      <c r="L109" s="83">
        <f>71-1</f>
        <v>70</v>
      </c>
      <c r="M109" s="83">
        <f>1+2</f>
        <v>3</v>
      </c>
      <c r="N109" s="83">
        <f>6+3</f>
        <v>9</v>
      </c>
      <c r="O109" s="83">
        <f>-13+2</f>
        <v>-11</v>
      </c>
      <c r="P109" s="84">
        <f t="shared" si="353"/>
        <v>71</v>
      </c>
      <c r="Q109" s="83">
        <v>0</v>
      </c>
      <c r="R109" s="83">
        <f>-3-2</f>
        <v>-5</v>
      </c>
      <c r="S109" s="83">
        <v>-2</v>
      </c>
      <c r="T109" s="83">
        <v>-17</v>
      </c>
      <c r="U109" s="84">
        <f t="shared" si="354"/>
        <v>-24</v>
      </c>
      <c r="V109" s="83">
        <v>2</v>
      </c>
      <c r="W109" s="83">
        <f>-3+2</f>
        <v>-1</v>
      </c>
      <c r="X109" s="83">
        <v>2</v>
      </c>
      <c r="Y109" s="83">
        <f>41-2</f>
        <v>39</v>
      </c>
      <c r="Z109" s="84">
        <f t="shared" si="355"/>
        <v>42</v>
      </c>
      <c r="AA109" s="83">
        <v>3</v>
      </c>
      <c r="AB109" s="83">
        <v>-5</v>
      </c>
      <c r="AC109" s="83">
        <v>-1</v>
      </c>
      <c r="AD109" s="83">
        <v>18</v>
      </c>
      <c r="AE109" s="84">
        <f t="shared" si="356"/>
        <v>15</v>
      </c>
      <c r="AF109" s="83">
        <v>1.5</v>
      </c>
      <c r="AG109" s="83">
        <v>0.4</v>
      </c>
      <c r="AH109" s="83">
        <v>-0.10000000000000009</v>
      </c>
      <c r="AI109" s="83">
        <v>-10.3</v>
      </c>
      <c r="AJ109" s="84">
        <f t="shared" si="357"/>
        <v>-8.5</v>
      </c>
      <c r="AK109" s="83">
        <v>-27.8</v>
      </c>
      <c r="AL109" s="83">
        <v>-2.5</v>
      </c>
      <c r="AM109" s="150">
        <v>-1.5</v>
      </c>
      <c r="AN109" s="150">
        <v>6.2</v>
      </c>
      <c r="AO109" s="84">
        <f>SUM(AK109:AN109)</f>
        <v>-25.6</v>
      </c>
      <c r="AP109" s="150">
        <v>-1.6</v>
      </c>
      <c r="AQ109" s="83">
        <v>-1.7</v>
      </c>
      <c r="AR109" s="150">
        <v>-3.5</v>
      </c>
      <c r="AS109" s="83">
        <v>9.4</v>
      </c>
      <c r="AT109" s="84">
        <f>SUM(AP109:AS109)</f>
        <v>2.6000000000000005</v>
      </c>
      <c r="AU109" s="150">
        <v>17.899999999999999</v>
      </c>
      <c r="AV109" s="150">
        <v>-2.2999999999999998</v>
      </c>
      <c r="AW109" s="150">
        <v>-1.3</v>
      </c>
      <c r="AX109" s="150">
        <v>-10.5</v>
      </c>
      <c r="AY109" s="84">
        <f>SUM(AU109:AX109)</f>
        <v>3.7999999999999972</v>
      </c>
      <c r="AZ109" s="150">
        <f>6+4.5</f>
        <v>10.5</v>
      </c>
      <c r="BA109" s="83">
        <v>0</v>
      </c>
      <c r="BB109" s="83">
        <v>0</v>
      </c>
      <c r="BC109" s="83">
        <v>0</v>
      </c>
      <c r="BD109" s="84">
        <f>SUM(AZ109:BC109)</f>
        <v>10.5</v>
      </c>
      <c r="BE109" s="83">
        <v>0</v>
      </c>
      <c r="BF109" s="83">
        <v>0</v>
      </c>
      <c r="BG109" s="83">
        <v>0</v>
      </c>
      <c r="BH109" s="83">
        <v>0</v>
      </c>
      <c r="BI109" s="84">
        <f>SUM(BE109:BH109)</f>
        <v>0</v>
      </c>
    </row>
    <row r="110" spans="1:61" hidden="1" outlineLevel="1" x14ac:dyDescent="0.2">
      <c r="A110" s="67" t="s">
        <v>131</v>
      </c>
      <c r="B110" s="83">
        <f>SUM(B100:B109)</f>
        <v>0</v>
      </c>
      <c r="C110" s="83">
        <f>SUM(C100:C109)</f>
        <v>2</v>
      </c>
      <c r="D110" s="83">
        <f>SUM(D100:D109)</f>
        <v>0</v>
      </c>
      <c r="E110" s="83">
        <f>SUM(E100:E109)</f>
        <v>-6</v>
      </c>
      <c r="F110" s="84">
        <f t="shared" si="351"/>
        <v>-4</v>
      </c>
      <c r="G110" s="83">
        <f>SUM(G100:G109)</f>
        <v>0</v>
      </c>
      <c r="H110" s="83">
        <f>SUM(H100:H109)</f>
        <v>0</v>
      </c>
      <c r="I110" s="83">
        <f>SUM(I100:I109)</f>
        <v>13</v>
      </c>
      <c r="J110" s="83">
        <f>SUM(J100:J109)</f>
        <v>-37</v>
      </c>
      <c r="K110" s="84">
        <f t="shared" si="352"/>
        <v>-24</v>
      </c>
      <c r="L110" s="83">
        <f>SUM(L100:L109)</f>
        <v>69</v>
      </c>
      <c r="M110" s="83">
        <f t="shared" ref="M110" si="363">SUM(M100:M109)</f>
        <v>1</v>
      </c>
      <c r="N110" s="83">
        <f t="shared" ref="N110" si="364">SUM(N100:N109)</f>
        <v>-2</v>
      </c>
      <c r="O110" s="83">
        <f t="shared" ref="O110" si="365">SUM(O100:O109)</f>
        <v>20</v>
      </c>
      <c r="P110" s="84">
        <f t="shared" si="353"/>
        <v>88</v>
      </c>
      <c r="Q110" s="83">
        <f>SUM(Q100:Q109)</f>
        <v>-2</v>
      </c>
      <c r="R110" s="83">
        <f t="shared" ref="R110" si="366">SUM(R100:R109)</f>
        <v>4</v>
      </c>
      <c r="S110" s="83">
        <f t="shared" ref="S110" si="367">SUM(S100:S109)</f>
        <v>5</v>
      </c>
      <c r="T110" s="83">
        <f t="shared" ref="T110" si="368">SUM(T100:T109)</f>
        <v>48</v>
      </c>
      <c r="U110" s="84">
        <f t="shared" si="354"/>
        <v>55</v>
      </c>
      <c r="V110" s="83">
        <f>SUM(V100:V109)</f>
        <v>-7</v>
      </c>
      <c r="W110" s="83">
        <f t="shared" ref="W110" si="369">SUM(W100:W109)</f>
        <v>11</v>
      </c>
      <c r="X110" s="83">
        <f t="shared" ref="X110" si="370">SUM(X100:X109)</f>
        <v>-6</v>
      </c>
      <c r="Y110" s="83">
        <f t="shared" ref="Y110" si="371">SUM(Y100:Y109)</f>
        <v>-37</v>
      </c>
      <c r="Z110" s="84">
        <f t="shared" si="355"/>
        <v>-39</v>
      </c>
      <c r="AA110" s="83">
        <f>SUM(AA100:AA109)</f>
        <v>-10</v>
      </c>
      <c r="AB110" s="83">
        <f t="shared" ref="AB110" si="372">SUM(AB100:AB109)</f>
        <v>15</v>
      </c>
      <c r="AC110" s="83">
        <f t="shared" ref="AC110" si="373">SUM(AC100:AC109)</f>
        <v>3</v>
      </c>
      <c r="AD110" s="83">
        <f t="shared" ref="AD110" si="374">SUM(AD100:AD109)</f>
        <v>-78</v>
      </c>
      <c r="AE110" s="84">
        <f t="shared" si="356"/>
        <v>-70</v>
      </c>
      <c r="AF110" s="83">
        <f>SUM(AF100:AF109)</f>
        <v>-4.3000000000000007</v>
      </c>
      <c r="AG110" s="83">
        <f t="shared" ref="AG110" si="375">SUM(AG100:AG109)</f>
        <v>3.0000000000000009</v>
      </c>
      <c r="AH110" s="83">
        <f t="shared" ref="AH110" si="376">SUM(AH100:AH109)</f>
        <v>-1.5999999999999992</v>
      </c>
      <c r="AI110" s="83">
        <f t="shared" ref="AI110" si="377">SUM(AI100:AI109)</f>
        <v>25.3</v>
      </c>
      <c r="AJ110" s="84">
        <f t="shared" si="357"/>
        <v>22.400000000000002</v>
      </c>
      <c r="AK110" s="83">
        <f>SUM(AK100:AK109)</f>
        <v>1.3999999999999986</v>
      </c>
      <c r="AL110" s="83">
        <f t="shared" ref="AL110:AS110" si="378">SUM(AL100:AL109)</f>
        <v>7.3000000000000007</v>
      </c>
      <c r="AM110" s="150">
        <f t="shared" si="378"/>
        <v>4.5999999999999996</v>
      </c>
      <c r="AN110" s="150">
        <f t="shared" si="378"/>
        <v>-21.399999999999995</v>
      </c>
      <c r="AO110" s="84">
        <f t="shared" si="358"/>
        <v>-8.0999999999999961</v>
      </c>
      <c r="AP110" s="150">
        <f t="shared" si="378"/>
        <v>4.5999999999999996</v>
      </c>
      <c r="AQ110" s="83">
        <f t="shared" si="378"/>
        <v>5</v>
      </c>
      <c r="AR110" s="83">
        <f t="shared" si="378"/>
        <v>10.1</v>
      </c>
      <c r="AS110" s="83">
        <f t="shared" si="378"/>
        <v>-28.6</v>
      </c>
      <c r="AT110" s="84">
        <f t="shared" si="359"/>
        <v>-8.9000000000000021</v>
      </c>
      <c r="AU110" s="150">
        <f>SUM(AU100:AU109)</f>
        <v>-52.000000000000007</v>
      </c>
      <c r="AV110" s="150">
        <f t="shared" ref="AV110:AX110" si="379">SUM(AV100:AV109)</f>
        <v>5.9000000000000012</v>
      </c>
      <c r="AW110" s="150">
        <f t="shared" si="379"/>
        <v>3.8</v>
      </c>
      <c r="AX110" s="150">
        <f t="shared" si="379"/>
        <v>32.400000000000006</v>
      </c>
      <c r="AY110" s="84">
        <f t="shared" ref="AY110" si="380">SUM(AU110:AX110)</f>
        <v>-9.9000000000000057</v>
      </c>
      <c r="AZ110" s="150">
        <f>SUM(AZ100:AZ109)</f>
        <v>79.8</v>
      </c>
      <c r="BA110" s="83">
        <f t="shared" ref="BA110:BC110" si="381">SUM(BA100:BA109)</f>
        <v>4</v>
      </c>
      <c r="BB110" s="83">
        <f t="shared" si="381"/>
        <v>4</v>
      </c>
      <c r="BC110" s="83">
        <f t="shared" si="381"/>
        <v>4</v>
      </c>
      <c r="BD110" s="84">
        <f t="shared" ref="BD110" si="382">SUM(AZ110:BC110)</f>
        <v>91.8</v>
      </c>
      <c r="BE110" s="83">
        <f t="shared" ref="BE110:BH110" si="383">SUM(BE100:BE109)</f>
        <v>4</v>
      </c>
      <c r="BF110" s="83">
        <f t="shared" si="383"/>
        <v>4</v>
      </c>
      <c r="BG110" s="83">
        <f t="shared" si="383"/>
        <v>4</v>
      </c>
      <c r="BH110" s="83">
        <f t="shared" si="383"/>
        <v>4</v>
      </c>
      <c r="BI110" s="84">
        <f t="shared" ref="BI110" si="384">SUM(BE110:BH110)</f>
        <v>16</v>
      </c>
    </row>
    <row r="111" spans="1:61" s="69" customFormat="1" collapsed="1" x14ac:dyDescent="0.2">
      <c r="A111" s="69" t="s">
        <v>132</v>
      </c>
      <c r="B111" s="78">
        <f>B96+B110</f>
        <v>65</v>
      </c>
      <c r="C111" s="78">
        <f>C96+C110</f>
        <v>70</v>
      </c>
      <c r="D111" s="78">
        <f t="shared" ref="D111:E111" si="385">D96+D110</f>
        <v>75</v>
      </c>
      <c r="E111" s="78">
        <f t="shared" si="385"/>
        <v>59</v>
      </c>
      <c r="F111" s="79">
        <f>F96+F110</f>
        <v>269</v>
      </c>
      <c r="G111" s="78">
        <f>G96+G110</f>
        <v>72</v>
      </c>
      <c r="H111" s="78">
        <f>H96+H110</f>
        <v>71</v>
      </c>
      <c r="I111" s="78">
        <f t="shared" ref="I111:J111" si="386">I96+I110</f>
        <v>69</v>
      </c>
      <c r="J111" s="78">
        <f t="shared" si="386"/>
        <v>68</v>
      </c>
      <c r="K111" s="79">
        <f>K96+K110</f>
        <v>280</v>
      </c>
      <c r="L111" s="78">
        <f>L96+L110</f>
        <v>59</v>
      </c>
      <c r="M111" s="78">
        <f>M96+M110</f>
        <v>68</v>
      </c>
      <c r="N111" s="78">
        <f t="shared" ref="N111" si="387">N96+N110</f>
        <v>62</v>
      </c>
      <c r="O111" s="78">
        <f t="shared" ref="O111" si="388">O96+O110</f>
        <v>65</v>
      </c>
      <c r="P111" s="79">
        <f>P96+P110</f>
        <v>254</v>
      </c>
      <c r="Q111" s="78">
        <f>Q96+Q110</f>
        <v>51</v>
      </c>
      <c r="R111" s="78">
        <f>R96+R110</f>
        <v>67</v>
      </c>
      <c r="S111" s="78">
        <f t="shared" ref="S111" si="389">S96+S110</f>
        <v>70</v>
      </c>
      <c r="T111" s="78">
        <f>T96+T110</f>
        <v>75</v>
      </c>
      <c r="U111" s="79">
        <f>U96+U110</f>
        <v>263</v>
      </c>
      <c r="V111" s="78">
        <f>V96+V110</f>
        <v>66</v>
      </c>
      <c r="W111" s="78">
        <f>W96+W110</f>
        <v>74</v>
      </c>
      <c r="X111" s="78">
        <f t="shared" ref="X111" si="390">X96+X110</f>
        <v>53</v>
      </c>
      <c r="Y111" s="78">
        <f t="shared" ref="Y111" si="391">Y96+Y110</f>
        <v>85</v>
      </c>
      <c r="Z111" s="79">
        <f>Z96+Z110</f>
        <v>278</v>
      </c>
      <c r="AA111" s="78">
        <f>AA96+AA110</f>
        <v>77</v>
      </c>
      <c r="AB111" s="78">
        <f>AB96+AB110</f>
        <v>83</v>
      </c>
      <c r="AC111" s="78">
        <f t="shared" ref="AC111" si="392">AC96+AC110</f>
        <v>100</v>
      </c>
      <c r="AD111" s="78">
        <f t="shared" ref="AD111" si="393">AD96+AD110</f>
        <v>90</v>
      </c>
      <c r="AE111" s="79">
        <f>AE96+AE110</f>
        <v>350</v>
      </c>
      <c r="AF111" s="78">
        <f>AF96+AF110</f>
        <v>29.900000000000009</v>
      </c>
      <c r="AG111" s="78">
        <f>AG96+AG110</f>
        <v>26.000000000000011</v>
      </c>
      <c r="AH111" s="78">
        <f t="shared" ref="AH111" si="394">AH96+AH110</f>
        <v>38.199999999999982</v>
      </c>
      <c r="AI111" s="78">
        <f t="shared" ref="AI111" si="395">AI96+AI110</f>
        <v>37.69999999999996</v>
      </c>
      <c r="AJ111" s="79">
        <f>AJ96+AJ110</f>
        <v>131.79999999999984</v>
      </c>
      <c r="AK111" s="78">
        <f>AK96+AK110</f>
        <v>28.400000000000013</v>
      </c>
      <c r="AL111" s="78">
        <f>AL96+AL110</f>
        <v>40.199999999999989</v>
      </c>
      <c r="AM111" s="200">
        <f t="shared" ref="AM111" si="396">AM96+AM110</f>
        <v>69.099999999999994</v>
      </c>
      <c r="AN111" s="200">
        <f>AN96+AN110</f>
        <v>53.600000000000037</v>
      </c>
      <c r="AO111" s="79">
        <f>AO96+AO110</f>
        <v>191.3</v>
      </c>
      <c r="AP111" s="200">
        <f>AP96+AP110</f>
        <v>38.499999999999986</v>
      </c>
      <c r="AQ111" s="78">
        <f>AQ96+AQ110</f>
        <v>48.29999999999999</v>
      </c>
      <c r="AR111" s="78">
        <f t="shared" ref="AR111:AS111" si="397">AR96+AR110</f>
        <v>58.299999999999962</v>
      </c>
      <c r="AS111" s="78">
        <f t="shared" si="397"/>
        <v>60.500000000000021</v>
      </c>
      <c r="AT111" s="79">
        <f>AT96+AT110</f>
        <v>205.59999999999991</v>
      </c>
      <c r="AU111" s="200">
        <f>AU96+AU110</f>
        <v>41.900000000000013</v>
      </c>
      <c r="AV111" s="200">
        <f>AV96+AV110</f>
        <v>44.2</v>
      </c>
      <c r="AW111" s="200">
        <f t="shared" ref="AW111:AX111" si="398">AW96+AW110</f>
        <v>60.800000000000011</v>
      </c>
      <c r="AX111" s="200">
        <f t="shared" si="398"/>
        <v>58.000000000000007</v>
      </c>
      <c r="AY111" s="79">
        <f>AY96+AY110</f>
        <v>204.89999999999995</v>
      </c>
      <c r="AZ111" s="200">
        <f>AZ96+AZ110</f>
        <v>47.600000000000009</v>
      </c>
      <c r="BA111" s="78">
        <f>BA96+BA110</f>
        <v>44.435837916583658</v>
      </c>
      <c r="BB111" s="78">
        <f t="shared" ref="BB111:BC111" si="399">BB96+BB110</f>
        <v>61.622197247604539</v>
      </c>
      <c r="BC111" s="78">
        <f t="shared" si="399"/>
        <v>62.769405040393266</v>
      </c>
      <c r="BD111" s="79">
        <f>BD96+BD110</f>
        <v>216.42744020458142</v>
      </c>
      <c r="BE111" s="78">
        <f>BE96+BE110</f>
        <v>46.996489092001205</v>
      </c>
      <c r="BF111" s="78">
        <f>BF96+BF110</f>
        <v>52.720522675004517</v>
      </c>
      <c r="BG111" s="78">
        <f t="shared" ref="BG111:BH111" si="400">BG96+BG110</f>
        <v>75.390662122731257</v>
      </c>
      <c r="BH111" s="78">
        <f t="shared" si="400"/>
        <v>76.794341684079129</v>
      </c>
      <c r="BI111" s="79">
        <f>BI96+BI110</f>
        <v>251.9020155738161</v>
      </c>
    </row>
    <row r="112" spans="1:61" x14ac:dyDescent="0.2">
      <c r="B112" s="83"/>
      <c r="C112" s="83"/>
      <c r="D112" s="83"/>
      <c r="E112" s="83"/>
      <c r="F112" s="68"/>
      <c r="G112" s="83"/>
      <c r="H112" s="83"/>
      <c r="I112" s="83"/>
      <c r="J112" s="83"/>
      <c r="K112" s="68"/>
      <c r="L112" s="83"/>
      <c r="M112" s="83"/>
      <c r="N112" s="83"/>
      <c r="O112" s="83"/>
      <c r="P112" s="68"/>
      <c r="Q112" s="83"/>
      <c r="R112" s="83"/>
      <c r="S112" s="83"/>
      <c r="T112" s="83"/>
      <c r="U112" s="68"/>
      <c r="V112" s="83"/>
      <c r="W112" s="83"/>
      <c r="X112" s="83"/>
      <c r="Y112" s="83"/>
      <c r="Z112" s="68"/>
      <c r="AA112" s="83"/>
      <c r="AB112" s="83"/>
      <c r="AC112" s="83"/>
      <c r="AD112" s="83"/>
      <c r="AE112" s="68"/>
      <c r="AF112" s="83"/>
      <c r="AG112" s="83"/>
      <c r="AH112" s="83"/>
      <c r="AI112" s="83"/>
      <c r="AJ112" s="68"/>
      <c r="AK112" s="83"/>
      <c r="AL112" s="83"/>
      <c r="AM112" s="83"/>
      <c r="AN112" s="150"/>
      <c r="AO112" s="68"/>
      <c r="AP112" s="205"/>
      <c r="AT112" s="68"/>
      <c r="AV112" s="205"/>
      <c r="AW112" s="205"/>
      <c r="AX112" s="205"/>
      <c r="AY112" s="68"/>
      <c r="BD112" s="68"/>
      <c r="BI112" s="68"/>
    </row>
    <row r="113" spans="1:63" x14ac:dyDescent="0.2">
      <c r="A113" s="67" t="s">
        <v>112</v>
      </c>
      <c r="B113" s="83">
        <v>205</v>
      </c>
      <c r="C113" s="83">
        <v>205</v>
      </c>
      <c r="D113" s="83">
        <v>170</v>
      </c>
      <c r="E113" s="83">
        <v>171</v>
      </c>
      <c r="F113" s="84">
        <f>AVERAGE(B113:E113)</f>
        <v>187.75</v>
      </c>
      <c r="G113" s="83">
        <v>205</v>
      </c>
      <c r="H113" s="83">
        <v>205</v>
      </c>
      <c r="I113" s="83">
        <v>204</v>
      </c>
      <c r="J113" s="83">
        <v>203</v>
      </c>
      <c r="K113" s="84">
        <f>AVERAGE(G113:J113)</f>
        <v>204.25</v>
      </c>
      <c r="L113" s="83">
        <v>202</v>
      </c>
      <c r="M113" s="83">
        <v>200</v>
      </c>
      <c r="N113" s="83">
        <v>196</v>
      </c>
      <c r="O113" s="83">
        <v>191</v>
      </c>
      <c r="P113" s="84">
        <f>AVERAGE(L113:O113)</f>
        <v>197.25</v>
      </c>
      <c r="Q113" s="83">
        <v>189</v>
      </c>
      <c r="R113" s="83">
        <v>189</v>
      </c>
      <c r="S113" s="83">
        <v>189</v>
      </c>
      <c r="T113" s="83">
        <v>189</v>
      </c>
      <c r="U113" s="84">
        <f>AVERAGE(Q113:T113)</f>
        <v>189</v>
      </c>
      <c r="V113" s="83">
        <v>189</v>
      </c>
      <c r="W113" s="83">
        <v>188</v>
      </c>
      <c r="X113" s="83">
        <v>186</v>
      </c>
      <c r="Y113" s="83">
        <v>186</v>
      </c>
      <c r="Z113" s="84">
        <f>AVERAGE(V113:Y113)</f>
        <v>187.25</v>
      </c>
      <c r="AA113" s="83">
        <v>186</v>
      </c>
      <c r="AB113" s="83">
        <v>183</v>
      </c>
      <c r="AC113" s="83">
        <v>183</v>
      </c>
      <c r="AD113" s="83">
        <v>182</v>
      </c>
      <c r="AE113" s="84">
        <f>AVERAGE(AA113:AD113)</f>
        <v>183.5</v>
      </c>
      <c r="AF113" s="83">
        <v>182</v>
      </c>
      <c r="AG113" s="83">
        <v>181</v>
      </c>
      <c r="AH113" s="83">
        <v>179</v>
      </c>
      <c r="AI113" s="83">
        <v>178.6</v>
      </c>
      <c r="AJ113" s="84">
        <f>AVERAGE(AF113:AI113)</f>
        <v>180.15</v>
      </c>
      <c r="AK113" s="83">
        <v>176.3</v>
      </c>
      <c r="AL113" s="83">
        <v>172.7</v>
      </c>
      <c r="AM113" s="83">
        <v>162.5</v>
      </c>
      <c r="AN113" s="150">
        <v>139.19999999999999</v>
      </c>
      <c r="AO113" s="84">
        <f>AVERAGE(AK113:AN113)</f>
        <v>162.67500000000001</v>
      </c>
      <c r="AP113" s="150">
        <v>132.69999999999999</v>
      </c>
      <c r="AQ113" s="83">
        <v>130.69999999999999</v>
      </c>
      <c r="AR113" s="83">
        <v>130.19999999999999</v>
      </c>
      <c r="AS113" s="83">
        <v>130.30000000000001</v>
      </c>
      <c r="AT113" s="84">
        <f>AVERAGE(AP113:AS113)</f>
        <v>130.97499999999999</v>
      </c>
      <c r="AU113" s="150">
        <v>129.5</v>
      </c>
      <c r="AV113" s="150">
        <v>128.19999999999999</v>
      </c>
      <c r="AW113" s="150">
        <v>128.19999999999999</v>
      </c>
      <c r="AX113" s="150">
        <v>128.4</v>
      </c>
      <c r="AY113" s="84">
        <f>AVERAGE(AU113:AX113)</f>
        <v>128.57499999999999</v>
      </c>
      <c r="AZ113" s="150">
        <v>128.19999999999999</v>
      </c>
      <c r="BA113" s="83">
        <f>+(1+BA158/100)*AV113</f>
        <v>128.19999999999999</v>
      </c>
      <c r="BB113" s="83">
        <f t="shared" ref="BB113" si="401">+(1+BB158/100)*AW113</f>
        <v>128.19999999999999</v>
      </c>
      <c r="BC113" s="83">
        <f>+(1+BC158/100)*AX113</f>
        <v>128.24392</v>
      </c>
      <c r="BD113" s="84">
        <f>AVERAGE(AZ113:BC113)</f>
        <v>128.21098000000001</v>
      </c>
      <c r="BE113" s="83">
        <f>+AZ113*(1+BE158)</f>
        <v>128.19999999999999</v>
      </c>
      <c r="BF113" s="83">
        <f t="shared" ref="BF113" si="402">+BA113*(1+BF158)</f>
        <v>128.19999999999999</v>
      </c>
      <c r="BG113" s="83">
        <f t="shared" ref="BG113" si="403">+BB113*(1+BG158)</f>
        <v>128.19999999999999</v>
      </c>
      <c r="BH113" s="83">
        <f t="shared" ref="BH113" si="404">+BC113*(1+BH158)</f>
        <v>128.24392</v>
      </c>
      <c r="BI113" s="84">
        <f>AVERAGE(BE113:BH113)</f>
        <v>128.21098000000001</v>
      </c>
    </row>
    <row r="114" spans="1:63" s="69" customFormat="1" x14ac:dyDescent="0.2">
      <c r="A114" s="69" t="s">
        <v>186</v>
      </c>
      <c r="B114" s="85">
        <f t="shared" ref="B114:D114" si="405">B111/B113</f>
        <v>0.31707317073170732</v>
      </c>
      <c r="C114" s="85">
        <f>C111/C113+0.01</f>
        <v>0.35146341463414638</v>
      </c>
      <c r="D114" s="85">
        <f t="shared" si="405"/>
        <v>0.44117647058823528</v>
      </c>
      <c r="E114" s="85">
        <f>E111/E113</f>
        <v>0.34502923976608185</v>
      </c>
      <c r="F114" s="86">
        <f>SUM(B114:E114)</f>
        <v>1.454742295720171</v>
      </c>
      <c r="G114" s="85">
        <f t="shared" ref="G114:I114" si="406">G111/G113</f>
        <v>0.35121951219512193</v>
      </c>
      <c r="H114" s="85">
        <f>H111/H113+0.02</f>
        <v>0.36634146341463414</v>
      </c>
      <c r="I114" s="85">
        <f t="shared" si="406"/>
        <v>0.33823529411764708</v>
      </c>
      <c r="J114" s="85">
        <f>J111/J113</f>
        <v>0.33497536945812806</v>
      </c>
      <c r="K114" s="86">
        <f>SUM(G114:J114)</f>
        <v>1.3907716391855311</v>
      </c>
      <c r="L114" s="85">
        <f t="shared" ref="L114" si="407">L111/L113</f>
        <v>0.29207920792079206</v>
      </c>
      <c r="M114" s="85">
        <f t="shared" ref="M114" si="408">M111/M113</f>
        <v>0.34</v>
      </c>
      <c r="N114" s="85">
        <f t="shared" ref="N114" si="409">N111/N113</f>
        <v>0.31632653061224492</v>
      </c>
      <c r="O114" s="85">
        <f>O111/O113</f>
        <v>0.34031413612565448</v>
      </c>
      <c r="P114" s="86">
        <f>SUM(L114:O114)</f>
        <v>1.2887198746586914</v>
      </c>
      <c r="Q114" s="85">
        <f t="shared" ref="Q114" si="410">Q111/Q113</f>
        <v>0.26984126984126983</v>
      </c>
      <c r="R114" s="85">
        <f t="shared" ref="R114" si="411">R111/R113</f>
        <v>0.35449735449735448</v>
      </c>
      <c r="S114" s="85">
        <f t="shared" ref="S114" si="412">S111/S113</f>
        <v>0.37037037037037035</v>
      </c>
      <c r="T114" s="85">
        <f>T111/T113</f>
        <v>0.3968253968253968</v>
      </c>
      <c r="U114" s="86">
        <f>SUM(Q114:T114)</f>
        <v>1.3915343915343914</v>
      </c>
      <c r="V114" s="85">
        <f t="shared" ref="V114:X114" si="413">V111/V113</f>
        <v>0.34920634920634919</v>
      </c>
      <c r="W114" s="85">
        <f t="shared" si="413"/>
        <v>0.39361702127659576</v>
      </c>
      <c r="X114" s="85">
        <f t="shared" si="413"/>
        <v>0.28494623655913981</v>
      </c>
      <c r="Y114" s="85">
        <f>Y111/Y113</f>
        <v>0.45698924731182794</v>
      </c>
      <c r="Z114" s="86">
        <f>SUM(V114:Y114)</f>
        <v>1.4847588543539127</v>
      </c>
      <c r="AA114" s="85">
        <f>AA111/AA113</f>
        <v>0.41397849462365593</v>
      </c>
      <c r="AB114" s="85">
        <f>AB111/AB113+0.01</f>
        <v>0.46355191256830602</v>
      </c>
      <c r="AC114" s="85">
        <f>AC111/AC113</f>
        <v>0.54644808743169404</v>
      </c>
      <c r="AD114" s="85">
        <f>AD111/AD113+0.01</f>
        <v>0.50450549450549453</v>
      </c>
      <c r="AE114" s="86">
        <f>SUM(AA114:AD114)</f>
        <v>1.9284839891291505</v>
      </c>
      <c r="AF114" s="85">
        <f>AF111/AF113</f>
        <v>0.16428571428571434</v>
      </c>
      <c r="AG114" s="85">
        <f>AG111/AG113</f>
        <v>0.14364640883977906</v>
      </c>
      <c r="AH114" s="85">
        <f>AH111/AH113</f>
        <v>0.21340782122905017</v>
      </c>
      <c r="AI114" s="85">
        <f>AI111/AI113</f>
        <v>0.21108622620380718</v>
      </c>
      <c r="AJ114" s="86">
        <f>SUM(AF114:AI114)</f>
        <v>0.7324261705583508</v>
      </c>
      <c r="AK114" s="85">
        <f t="shared" ref="AK114:AP114" si="414">AK111/AK113</f>
        <v>0.1610890527509927</v>
      </c>
      <c r="AL114" s="85">
        <f t="shared" si="414"/>
        <v>0.23277359583092061</v>
      </c>
      <c r="AM114" s="85">
        <f t="shared" si="414"/>
        <v>0.42523076923076919</v>
      </c>
      <c r="AN114" s="203">
        <f t="shared" si="414"/>
        <v>0.38505747126436812</v>
      </c>
      <c r="AO114" s="86">
        <f t="shared" si="414"/>
        <v>1.1759643460888274</v>
      </c>
      <c r="AP114" s="203">
        <f t="shared" si="414"/>
        <v>0.29012810851544829</v>
      </c>
      <c r="AQ114" s="85">
        <f t="shared" ref="AQ114:AS114" si="415">AQ111/AQ113</f>
        <v>0.36954858454475897</v>
      </c>
      <c r="AR114" s="85">
        <f t="shared" si="415"/>
        <v>0.44777265745007655</v>
      </c>
      <c r="AS114" s="85">
        <f t="shared" si="415"/>
        <v>0.46431312356101317</v>
      </c>
      <c r="AT114" s="86">
        <f>AT111/AT113</f>
        <v>1.5697652223706808</v>
      </c>
      <c r="AU114" s="203">
        <f>AU111/AU113</f>
        <v>0.32355212355212365</v>
      </c>
      <c r="AV114" s="203">
        <f t="shared" ref="AV114:AX114" si="416">AV111/AV113</f>
        <v>0.34477379095163813</v>
      </c>
      <c r="AW114" s="203">
        <f t="shared" si="416"/>
        <v>0.47425897035881448</v>
      </c>
      <c r="AX114" s="203">
        <f t="shared" si="416"/>
        <v>0.45171339563862933</v>
      </c>
      <c r="AY114" s="86">
        <f>AY111/AY113</f>
        <v>1.5936223993777947</v>
      </c>
      <c r="AZ114" s="203">
        <f>AZ111/AZ113</f>
        <v>0.37129485179407185</v>
      </c>
      <c r="BA114" s="85">
        <f t="shared" ref="BA114:BC114" si="417">BA111/BA113</f>
        <v>0.34661340028536397</v>
      </c>
      <c r="BB114" s="85">
        <f t="shared" si="417"/>
        <v>0.4806723654259325</v>
      </c>
      <c r="BC114" s="85">
        <f t="shared" si="417"/>
        <v>0.48945326250471183</v>
      </c>
      <c r="BD114" s="86">
        <f>BD111/BD113</f>
        <v>1.6880569839227608</v>
      </c>
      <c r="BE114" s="85">
        <f>BE111/BE113</f>
        <v>0.36658727840874578</v>
      </c>
      <c r="BF114" s="85">
        <f t="shared" ref="BF114:BH114" si="418">BF111/BF113</f>
        <v>0.41123652632608831</v>
      </c>
      <c r="BG114" s="85">
        <f t="shared" si="418"/>
        <v>0.58807068738479928</v>
      </c>
      <c r="BH114" s="85">
        <f t="shared" si="418"/>
        <v>0.5988146781857504</v>
      </c>
      <c r="BI114" s="86">
        <f>BI111/BI113</f>
        <v>1.9647460426073968</v>
      </c>
    </row>
    <row r="115" spans="1:63" x14ac:dyDescent="0.2">
      <c r="AM115" s="174"/>
      <c r="AN115" s="173"/>
      <c r="AP115" s="208"/>
      <c r="AQ115" s="173"/>
      <c r="AR115" s="173"/>
      <c r="AS115" s="173"/>
      <c r="AU115" s="208"/>
      <c r="AV115" s="208"/>
      <c r="AW115" s="173"/>
      <c r="AX115" s="208"/>
      <c r="AZ115" s="208"/>
      <c r="BA115" s="173"/>
      <c r="BB115" s="173"/>
      <c r="BC115" s="173"/>
      <c r="BE115" s="173"/>
      <c r="BF115" s="173"/>
      <c r="BG115" s="173"/>
      <c r="BH115" s="173"/>
    </row>
    <row r="116" spans="1:63" x14ac:dyDescent="0.2">
      <c r="A116" s="69" t="s">
        <v>194</v>
      </c>
      <c r="AM116" s="174"/>
      <c r="AN116" s="174"/>
      <c r="AP116" s="209"/>
      <c r="AQ116" s="174"/>
      <c r="AR116" s="174"/>
      <c r="AS116" s="174"/>
      <c r="AU116" s="209"/>
      <c r="AV116" s="209"/>
      <c r="AW116" s="174"/>
      <c r="AX116" s="209"/>
      <c r="AZ116" s="209">
        <f>+AZ90-AU90</f>
        <v>121.1</v>
      </c>
      <c r="BA116" s="174">
        <f>+AZ116/AZ86</f>
        <v>0.26223473365093114</v>
      </c>
      <c r="BB116" s="174"/>
      <c r="BC116" s="174"/>
      <c r="BE116" s="174"/>
      <c r="BF116" s="174"/>
      <c r="BG116" s="174"/>
      <c r="BH116" s="174"/>
    </row>
    <row r="117" spans="1:63" x14ac:dyDescent="0.2">
      <c r="A117" s="67" t="s">
        <v>195</v>
      </c>
      <c r="F117" s="189">
        <f>F94+F93+CF!F9</f>
        <v>468</v>
      </c>
      <c r="K117" s="189">
        <f>K94+K93+CF!K9</f>
        <v>574</v>
      </c>
      <c r="P117" s="189">
        <f>P94+P93+CF!P9</f>
        <v>449</v>
      </c>
      <c r="U117" s="189">
        <f>U94+U93+CF!U9</f>
        <v>399</v>
      </c>
      <c r="V117" s="181">
        <f>V94+V93+CF!V9</f>
        <v>129</v>
      </c>
      <c r="W117" s="181">
        <f>W94+W93+CF!W9</f>
        <v>141</v>
      </c>
      <c r="X117" s="181">
        <f>X94+X93+CF!X9</f>
        <v>114</v>
      </c>
      <c r="Y117" s="181">
        <f>Y94+Y93+CF!Y9</f>
        <v>226</v>
      </c>
      <c r="Z117" s="189">
        <f>SUM(V117:Y117)</f>
        <v>610</v>
      </c>
      <c r="AA117" s="181">
        <f>AA94+AA93+CF!AA9</f>
        <v>158</v>
      </c>
      <c r="AB117" s="181">
        <f>AB94+AB93+CF!AB9</f>
        <v>168</v>
      </c>
      <c r="AC117" s="181">
        <f>AC94+AC93+CF!AC9</f>
        <v>169</v>
      </c>
      <c r="AD117" s="181">
        <f>AD94+AD93+CF!AD9</f>
        <v>251</v>
      </c>
      <c r="AE117" s="189">
        <f>SUM(AA117:AD117)</f>
        <v>746</v>
      </c>
      <c r="AF117" s="181">
        <f>AF94+AF93+CF!AF9</f>
        <v>78.200000000000017</v>
      </c>
      <c r="AG117" s="181">
        <f>AG94+AG93+CF!AG9</f>
        <v>66.800000000000011</v>
      </c>
      <c r="AH117" s="181">
        <f>AH94+AH93+CF!AH9</f>
        <v>87.899999999999977</v>
      </c>
      <c r="AI117" s="181">
        <f>AI94+AI93+CF!AI9</f>
        <v>51.899999999999963</v>
      </c>
      <c r="AJ117" s="189">
        <f>SUM(AF117:AI117)</f>
        <v>284.79999999999995</v>
      </c>
      <c r="AK117" s="181">
        <f>AK94+AK93+CF!AK9</f>
        <v>44.100000000000009</v>
      </c>
      <c r="AL117" s="181">
        <f>AL94+AL93+CF!AL9</f>
        <v>78.199999999999989</v>
      </c>
      <c r="AM117" s="181">
        <f>AM94+AM93+CF!AM9</f>
        <v>104.4</v>
      </c>
      <c r="AN117" s="202">
        <f>AN94+AN93+CF!AN9</f>
        <v>136.90000000000003</v>
      </c>
      <c r="AO117" s="189">
        <f>SUM(AK117:AN117)</f>
        <v>363.6</v>
      </c>
      <c r="AP117" s="202">
        <f>AP94+AP93+CF!AP9</f>
        <v>83.999999999999986</v>
      </c>
      <c r="AQ117" s="212">
        <f>AQ94+AQ93+CF!AQ9</f>
        <v>98.399999999999977</v>
      </c>
      <c r="AR117" s="202">
        <f>AR94+AR93+CF!AR9</f>
        <v>116.89999999999995</v>
      </c>
      <c r="AS117" s="181">
        <f>AS94+AS93+CF!AS9</f>
        <v>162.10000000000002</v>
      </c>
      <c r="AT117" s="189">
        <f>SUM(AP117:AS117)</f>
        <v>461.4</v>
      </c>
      <c r="AU117" s="202">
        <f>AU94+AU93+CF!AU9</f>
        <v>172.70000000000002</v>
      </c>
      <c r="AV117" s="202">
        <f>AV94+AV93+CF!AV9</f>
        <v>96.200000000000017</v>
      </c>
      <c r="AW117" s="202">
        <f>AW94+AW93+CF!AW9</f>
        <v>125.80000000000003</v>
      </c>
      <c r="AX117" s="202">
        <f>AX94+AX93+CF!AX9</f>
        <v>91.000000000000014</v>
      </c>
      <c r="AY117" s="189">
        <f>SUM(AU117:AX117)</f>
        <v>485.70000000000005</v>
      </c>
      <c r="AZ117" s="202">
        <f>AZ94+AZ93+CF!AZ9</f>
        <v>53.000000000000014</v>
      </c>
      <c r="BA117" s="181">
        <f>BA94+BA93+CF!BA9</f>
        <v>122.92750103297004</v>
      </c>
      <c r="BB117" s="181">
        <f>BB94+BB93+CF!BB9</f>
        <v>147.07097475218279</v>
      </c>
      <c r="BC117" s="181">
        <f>BC94+BC93+CF!BC9</f>
        <v>150.20049556406715</v>
      </c>
      <c r="BD117" s="189">
        <f>SUM(AZ117:BC117)</f>
        <v>473.19897134921996</v>
      </c>
      <c r="BE117" s="181">
        <f>BE94+BE93+CF!BE9</f>
        <v>130.97432775263317</v>
      </c>
      <c r="BF117" s="181">
        <f>BF94+BF93+CF!BF9</f>
        <v>139.90595088816383</v>
      </c>
      <c r="BG117" s="181">
        <f>BG94+BG93+CF!BG9</f>
        <v>170.43508174043586</v>
      </c>
      <c r="BH117" s="181">
        <f>BH94+BH93+CF!BH9</f>
        <v>173.96716239403824</v>
      </c>
      <c r="BI117" s="189">
        <f>SUM(BE117:BH117)</f>
        <v>615.2825227752711</v>
      </c>
    </row>
    <row r="118" spans="1:63" x14ac:dyDescent="0.2">
      <c r="A118" s="67" t="s">
        <v>196</v>
      </c>
      <c r="F118" s="84">
        <f>SUM(F119:F127)</f>
        <v>-28</v>
      </c>
      <c r="K118" s="84">
        <f>SUM(K119:K127)</f>
        <v>-127</v>
      </c>
      <c r="P118" s="84">
        <f>SUM(P119:P127)</f>
        <v>17</v>
      </c>
      <c r="U118" s="84">
        <f>SUM(U119:U127)</f>
        <v>79</v>
      </c>
      <c r="V118" s="181">
        <f t="shared" ref="V118" si="419">SUM(V119:V127)</f>
        <v>-9</v>
      </c>
      <c r="W118" s="181">
        <f>SUM(W119:W127)</f>
        <v>-7</v>
      </c>
      <c r="X118" s="181">
        <f t="shared" ref="X118" si="420">SUM(X119:X127)</f>
        <v>-15</v>
      </c>
      <c r="Y118" s="181">
        <f t="shared" ref="Y118" si="421">SUM(Y119:Y127)</f>
        <v>-76</v>
      </c>
      <c r="Z118" s="84">
        <f>SUM(V118:Y118)</f>
        <v>-107</v>
      </c>
      <c r="AA118" s="181">
        <f t="shared" ref="AA118" si="422">SUM(AA119:AA127)</f>
        <v>-13</v>
      </c>
      <c r="AB118" s="181">
        <f>SUM(AB119:AB127)</f>
        <v>-16</v>
      </c>
      <c r="AC118" s="181">
        <f t="shared" ref="AC118" si="423">SUM(AC119:AC127)</f>
        <v>4</v>
      </c>
      <c r="AD118" s="181">
        <f t="shared" ref="AD118" si="424">SUM(AD119:AD127)</f>
        <v>-96</v>
      </c>
      <c r="AE118" s="84">
        <f>SUM(AA118:AD118)</f>
        <v>-121</v>
      </c>
      <c r="AF118" s="181">
        <f t="shared" ref="AF118" si="425">SUM(AF119:AF127)</f>
        <v>-5.8000000000000007</v>
      </c>
      <c r="AG118" s="181">
        <f>SUM(AG119:AG127)</f>
        <v>2.600000000000001</v>
      </c>
      <c r="AH118" s="181">
        <f t="shared" ref="AH118" si="426">SUM(AH119:AH127)</f>
        <v>-1.4999999999999991</v>
      </c>
      <c r="AI118" s="181">
        <f t="shared" ref="AI118" si="427">SUM(AI119:AI127)</f>
        <v>35.6</v>
      </c>
      <c r="AJ118" s="84">
        <f>SUM(AF118:AI118)</f>
        <v>30.900000000000002</v>
      </c>
      <c r="AK118" s="181">
        <f t="shared" ref="AK118:AN118" si="428">SUM(AK119:AK127)</f>
        <v>29.2</v>
      </c>
      <c r="AL118" s="181">
        <f>SUM(AL119:AL127)</f>
        <v>8.9</v>
      </c>
      <c r="AM118" s="181">
        <f t="shared" si="428"/>
        <v>6</v>
      </c>
      <c r="AN118" s="202">
        <f t="shared" si="428"/>
        <v>-27.699999999999996</v>
      </c>
      <c r="AO118" s="84">
        <f>SUM(AK118:AN118)</f>
        <v>16.400000000000006</v>
      </c>
      <c r="AP118" s="202">
        <f t="shared" ref="AP118" si="429">SUM(AP119:AP127)</f>
        <v>6.2</v>
      </c>
      <c r="AQ118" s="181">
        <f>SUM(AQ119:AQ127)</f>
        <v>6.7</v>
      </c>
      <c r="AR118" s="202">
        <f t="shared" ref="AR118" si="430">SUM(AR119:AR127)</f>
        <v>6.3000000000000007</v>
      </c>
      <c r="AS118" s="181">
        <f t="shared" ref="AS118" si="431">SUM(AS119:AS127)</f>
        <v>-38</v>
      </c>
      <c r="AT118" s="84">
        <f>SUM(AP118:AS118)</f>
        <v>-18.799999999999997</v>
      </c>
      <c r="AU118" s="202">
        <f t="shared" ref="AU118" si="432">SUM(AU119:AU127)</f>
        <v>-69.900000000000006</v>
      </c>
      <c r="AV118" s="202">
        <f>SUM(AV119:AV127)</f>
        <v>8.2000000000000011</v>
      </c>
      <c r="AW118" s="202">
        <f t="shared" ref="AW118" si="433">SUM(AW119:AW127)</f>
        <v>3.7</v>
      </c>
      <c r="AX118" s="202">
        <f>SUM(AX119:AX127)</f>
        <v>39.1</v>
      </c>
      <c r="AY118" s="84">
        <f>SUM(AU118:AX118)</f>
        <v>-18.899999999999999</v>
      </c>
      <c r="AZ118" s="202">
        <f>SUM(AZ119:AZ127)</f>
        <v>64.399999999999991</v>
      </c>
      <c r="BA118" s="181">
        <f>SUM(BA119:BA127)</f>
        <v>4</v>
      </c>
      <c r="BB118" s="181">
        <f t="shared" ref="BB118:BC118" si="434">SUM(BB119:BB127)</f>
        <v>4</v>
      </c>
      <c r="BC118" s="181">
        <f t="shared" si="434"/>
        <v>4</v>
      </c>
      <c r="BD118" s="84">
        <f>SUM(AZ118:BC118)</f>
        <v>76.399999999999991</v>
      </c>
      <c r="BE118" s="181">
        <f t="shared" ref="BE118" si="435">SUM(BE119:BE127)</f>
        <v>4</v>
      </c>
      <c r="BF118" s="181">
        <f>SUM(BF119:BF127)</f>
        <v>4</v>
      </c>
      <c r="BG118" s="181">
        <f t="shared" ref="BG118:BH118" si="436">SUM(BG119:BG127)</f>
        <v>4</v>
      </c>
      <c r="BH118" s="181">
        <f t="shared" si="436"/>
        <v>4</v>
      </c>
      <c r="BI118" s="84">
        <f>SUM(BE118:BH118)</f>
        <v>16</v>
      </c>
    </row>
    <row r="119" spans="1:63" hidden="1" outlineLevel="1" x14ac:dyDescent="0.2">
      <c r="A119" s="67" t="s">
        <v>121</v>
      </c>
      <c r="F119" s="84">
        <v>-35</v>
      </c>
      <c r="K119" s="84">
        <v>-138</v>
      </c>
      <c r="P119" s="84">
        <v>0</v>
      </c>
      <c r="U119" s="84">
        <v>60</v>
      </c>
      <c r="V119" s="181">
        <v>-9</v>
      </c>
      <c r="W119" s="181">
        <v>-9</v>
      </c>
      <c r="X119" s="181">
        <v>-9</v>
      </c>
      <c r="Y119" s="181">
        <v>-32</v>
      </c>
      <c r="Z119" s="84">
        <f>SUM(V119:Y119)</f>
        <v>-59</v>
      </c>
      <c r="AA119" s="181">
        <v>-13</v>
      </c>
      <c r="AB119" s="181">
        <v>-14</v>
      </c>
      <c r="AC119" s="181">
        <v>-14</v>
      </c>
      <c r="AD119" s="181">
        <v>-85</v>
      </c>
      <c r="AE119" s="84">
        <f>SUM(AA119:AD119)</f>
        <v>-126</v>
      </c>
      <c r="AF119" s="181">
        <f t="shared" ref="AF119:AG119" si="437">AF92</f>
        <v>-9.3000000000000007</v>
      </c>
      <c r="AG119" s="181">
        <f t="shared" si="437"/>
        <v>-9.1999999999999993</v>
      </c>
      <c r="AH119" s="181">
        <f>AH92</f>
        <v>-9.1999999999999993</v>
      </c>
      <c r="AI119" s="181">
        <f>AI92</f>
        <v>34.6</v>
      </c>
      <c r="AJ119" s="84">
        <f>SUM(AF119:AI119)</f>
        <v>6.9000000000000021</v>
      </c>
      <c r="AK119" s="181">
        <f t="shared" ref="AK119:AL119" si="438">AK92</f>
        <v>3.7</v>
      </c>
      <c r="AL119" s="181">
        <f t="shared" si="438"/>
        <v>3.6</v>
      </c>
      <c r="AM119" s="181">
        <f>AM92</f>
        <v>3.7</v>
      </c>
      <c r="AN119" s="202">
        <f>AN92</f>
        <v>-38.6</v>
      </c>
      <c r="AO119" s="84">
        <f>SUM(AK119:AN119)</f>
        <v>-27.6</v>
      </c>
      <c r="AP119" s="202">
        <f>AP92</f>
        <v>3.4</v>
      </c>
      <c r="AQ119" s="181">
        <f>AQ92</f>
        <v>3.6</v>
      </c>
      <c r="AR119" s="202">
        <f>AR92</f>
        <v>3.4</v>
      </c>
      <c r="AS119" s="181">
        <f>AS92</f>
        <v>1.3</v>
      </c>
      <c r="AT119" s="84">
        <f>SUM(AP119:AS119)</f>
        <v>11.700000000000001</v>
      </c>
      <c r="AU119" s="202">
        <f>AU92</f>
        <v>-0.9</v>
      </c>
      <c r="AV119" s="202">
        <f>AV92</f>
        <v>-0.9</v>
      </c>
      <c r="AW119" s="202">
        <f>AW92</f>
        <v>-0.9</v>
      </c>
      <c r="AX119" s="202">
        <f>AX92</f>
        <v>26.3</v>
      </c>
      <c r="AY119" s="84">
        <f>SUM(AU119:AX119)</f>
        <v>23.6</v>
      </c>
      <c r="AZ119" s="202">
        <f>AZ92</f>
        <v>-1.2</v>
      </c>
      <c r="BA119" s="181">
        <f>BA92</f>
        <v>3</v>
      </c>
      <c r="BB119" s="181">
        <f>BB92</f>
        <v>3</v>
      </c>
      <c r="BC119" s="181">
        <f>BC92</f>
        <v>3</v>
      </c>
      <c r="BD119" s="84">
        <f>SUM(AZ119:BC119)</f>
        <v>7.8</v>
      </c>
      <c r="BE119" s="181">
        <f>BE92</f>
        <v>3</v>
      </c>
      <c r="BF119" s="181">
        <f>BF92</f>
        <v>3</v>
      </c>
      <c r="BG119" s="181">
        <f>BG92</f>
        <v>3</v>
      </c>
      <c r="BH119" s="181">
        <f>BH92</f>
        <v>3</v>
      </c>
      <c r="BI119" s="84">
        <f>SUM(BE119:BH119)</f>
        <v>12</v>
      </c>
    </row>
    <row r="120" spans="1:63" hidden="1" outlineLevel="1" x14ac:dyDescent="0.2">
      <c r="A120" s="67" t="s">
        <v>122</v>
      </c>
      <c r="F120" s="84">
        <v>6</v>
      </c>
      <c r="K120" s="84">
        <v>11</v>
      </c>
      <c r="P120" s="84">
        <v>14</v>
      </c>
      <c r="U120" s="84">
        <v>3</v>
      </c>
      <c r="V120" s="181">
        <v>-1</v>
      </c>
      <c r="W120" s="181">
        <v>0</v>
      </c>
      <c r="X120" s="181">
        <v>1</v>
      </c>
      <c r="Y120" s="181">
        <v>-30</v>
      </c>
      <c r="Z120" s="84">
        <f t="shared" ref="Z120:Z127" si="439">SUM(V120:Y120)</f>
        <v>-30</v>
      </c>
      <c r="AA120" s="181">
        <v>1</v>
      </c>
      <c r="AB120" s="181">
        <v>0</v>
      </c>
      <c r="AC120" s="181">
        <v>1</v>
      </c>
      <c r="AD120" s="181">
        <v>-26</v>
      </c>
      <c r="AE120" s="84">
        <f t="shared" ref="AE120:AE127" si="440">SUM(AA120:AD120)</f>
        <v>-24</v>
      </c>
      <c r="AF120" s="181">
        <v>2.8</v>
      </c>
      <c r="AG120" s="181">
        <v>6.2</v>
      </c>
      <c r="AH120" s="181">
        <v>9.9</v>
      </c>
      <c r="AI120" s="181">
        <v>1.6</v>
      </c>
      <c r="AJ120" s="84">
        <f t="shared" ref="AJ120:AJ127" si="441">SUM(AF120:AI120)</f>
        <v>20.5</v>
      </c>
      <c r="AK120" s="181">
        <v>25.4</v>
      </c>
      <c r="AL120" s="181">
        <v>3.8</v>
      </c>
      <c r="AM120" s="181">
        <f t="shared" ref="AM120:AN122" si="442">AM101</f>
        <v>1.6</v>
      </c>
      <c r="AN120" s="202">
        <f t="shared" si="442"/>
        <v>2</v>
      </c>
      <c r="AO120" s="84">
        <f t="shared" ref="AO120:AO127" si="443">SUM(AK120:AN120)</f>
        <v>32.799999999999997</v>
      </c>
      <c r="AP120" s="202">
        <f>AP101</f>
        <v>0.1</v>
      </c>
      <c r="AQ120" s="181">
        <f t="shared" ref="AQ120:AS120" si="444">AQ101</f>
        <v>0</v>
      </c>
      <c r="AR120" s="202">
        <f t="shared" si="444"/>
        <v>0.1</v>
      </c>
      <c r="AS120" s="181">
        <f t="shared" si="444"/>
        <v>-0.9</v>
      </c>
      <c r="AT120" s="84">
        <f t="shared" ref="AT120:AT127" si="445">SUM(AP120:AS120)</f>
        <v>-0.7</v>
      </c>
      <c r="AU120" s="202">
        <f>AU101</f>
        <v>0.4</v>
      </c>
      <c r="AV120" s="202">
        <f t="shared" ref="AV120:AX120" si="446">AV101</f>
        <v>0.8</v>
      </c>
      <c r="AW120" s="202">
        <f t="shared" si="446"/>
        <v>0.4</v>
      </c>
      <c r="AX120" s="202">
        <f t="shared" si="446"/>
        <v>-0.2</v>
      </c>
      <c r="AY120" s="84">
        <f t="shared" ref="AY120:AY127" si="447">SUM(AU120:AX120)</f>
        <v>1.4000000000000001</v>
      </c>
      <c r="AZ120" s="202">
        <f>AZ101</f>
        <v>5.2</v>
      </c>
      <c r="BA120" s="181">
        <f t="shared" ref="BA120:BC120" si="448">BA101</f>
        <v>0</v>
      </c>
      <c r="BB120" s="181">
        <f t="shared" si="448"/>
        <v>0</v>
      </c>
      <c r="BC120" s="181">
        <f t="shared" si="448"/>
        <v>0</v>
      </c>
      <c r="BD120" s="84">
        <f t="shared" ref="BD120:BD127" si="449">SUM(AZ120:BC120)</f>
        <v>5.2</v>
      </c>
      <c r="BE120" s="181">
        <f>BE101</f>
        <v>0</v>
      </c>
      <c r="BF120" s="181">
        <f t="shared" ref="BF120:BH120" si="450">BF101</f>
        <v>0</v>
      </c>
      <c r="BG120" s="181">
        <f t="shared" si="450"/>
        <v>0</v>
      </c>
      <c r="BH120" s="181">
        <f t="shared" si="450"/>
        <v>0</v>
      </c>
      <c r="BI120" s="84">
        <f t="shared" ref="BI120:BI127" si="451">SUM(BE120:BH120)</f>
        <v>0</v>
      </c>
    </row>
    <row r="121" spans="1:63" hidden="1" outlineLevel="1" x14ac:dyDescent="0.2">
      <c r="A121" s="67" t="s">
        <v>124</v>
      </c>
      <c r="F121" s="84">
        <f t="shared" ref="F121:F126" si="452">SUM(B121:E121)</f>
        <v>0</v>
      </c>
      <c r="K121" s="84">
        <f t="shared" ref="K121:K127" si="453">SUM(G121:J121)</f>
        <v>0</v>
      </c>
      <c r="P121" s="84">
        <f t="shared" ref="P121:P126" si="454">SUM(L121:O121)</f>
        <v>0</v>
      </c>
      <c r="U121" s="84">
        <v>0</v>
      </c>
      <c r="V121" s="181">
        <v>0</v>
      </c>
      <c r="W121" s="181">
        <v>0</v>
      </c>
      <c r="X121" s="181">
        <v>0</v>
      </c>
      <c r="Y121" s="181">
        <v>0</v>
      </c>
      <c r="Z121" s="84">
        <f t="shared" si="439"/>
        <v>0</v>
      </c>
      <c r="AA121" s="181">
        <v>0</v>
      </c>
      <c r="AB121" s="181">
        <v>0</v>
      </c>
      <c r="AC121" s="181">
        <v>0</v>
      </c>
      <c r="AD121" s="181">
        <v>0</v>
      </c>
      <c r="AE121" s="84">
        <f t="shared" si="440"/>
        <v>0</v>
      </c>
      <c r="AF121" s="181">
        <v>1</v>
      </c>
      <c r="AG121" s="181">
        <v>1.6</v>
      </c>
      <c r="AH121" s="181">
        <v>0</v>
      </c>
      <c r="AI121" s="181">
        <v>0</v>
      </c>
      <c r="AJ121" s="84">
        <f t="shared" si="441"/>
        <v>2.6</v>
      </c>
      <c r="AK121" s="181">
        <v>0.3</v>
      </c>
      <c r="AL121" s="181">
        <v>0.4</v>
      </c>
      <c r="AM121" s="181">
        <f t="shared" si="442"/>
        <v>1.1000000000000001</v>
      </c>
      <c r="AN121" s="202">
        <f t="shared" si="442"/>
        <v>1.2</v>
      </c>
      <c r="AO121" s="84">
        <f t="shared" si="443"/>
        <v>3</v>
      </c>
      <c r="AP121" s="202">
        <f>AP102</f>
        <v>2.7</v>
      </c>
      <c r="AQ121" s="181">
        <f t="shared" ref="AQ121:AS122" si="455">AQ102</f>
        <v>3.1</v>
      </c>
      <c r="AR121" s="202">
        <f t="shared" si="455"/>
        <v>1.9</v>
      </c>
      <c r="AS121" s="181">
        <f t="shared" si="455"/>
        <v>2.7</v>
      </c>
      <c r="AT121" s="84">
        <f t="shared" si="445"/>
        <v>10.400000000000002</v>
      </c>
      <c r="AU121" s="202">
        <f>AU102</f>
        <v>1.5</v>
      </c>
      <c r="AV121" s="202">
        <f t="shared" ref="AV121:AX121" si="456">AV102</f>
        <v>4.9000000000000004</v>
      </c>
      <c r="AW121" s="202">
        <f t="shared" si="456"/>
        <v>2.1</v>
      </c>
      <c r="AX121" s="202">
        <f t="shared" si="456"/>
        <v>3</v>
      </c>
      <c r="AY121" s="84">
        <f t="shared" si="447"/>
        <v>11.5</v>
      </c>
      <c r="AZ121" s="202">
        <f>AZ102</f>
        <v>3.1</v>
      </c>
      <c r="BA121" s="181">
        <f t="shared" ref="BA121:BC121" si="457">BA102</f>
        <v>0</v>
      </c>
      <c r="BB121" s="181">
        <f t="shared" si="457"/>
        <v>0</v>
      </c>
      <c r="BC121" s="181">
        <f t="shared" si="457"/>
        <v>0</v>
      </c>
      <c r="BD121" s="84">
        <f t="shared" si="449"/>
        <v>3.1</v>
      </c>
      <c r="BE121" s="181">
        <f>BE102</f>
        <v>0</v>
      </c>
      <c r="BF121" s="181">
        <f t="shared" ref="BF121:BH121" si="458">BF102</f>
        <v>0</v>
      </c>
      <c r="BG121" s="181">
        <f t="shared" si="458"/>
        <v>0</v>
      </c>
      <c r="BH121" s="181">
        <f t="shared" si="458"/>
        <v>0</v>
      </c>
      <c r="BI121" s="84">
        <f t="shared" si="451"/>
        <v>0</v>
      </c>
    </row>
    <row r="122" spans="1:63" hidden="1" outlineLevel="1" x14ac:dyDescent="0.2">
      <c r="A122" s="67" t="s">
        <v>123</v>
      </c>
      <c r="F122" s="84">
        <f t="shared" si="452"/>
        <v>0</v>
      </c>
      <c r="K122" s="84">
        <f t="shared" si="453"/>
        <v>0</v>
      </c>
      <c r="P122" s="84">
        <f t="shared" si="454"/>
        <v>0</v>
      </c>
      <c r="U122" s="84">
        <v>0</v>
      </c>
      <c r="V122" s="181">
        <v>0</v>
      </c>
      <c r="W122" s="181">
        <v>0</v>
      </c>
      <c r="X122" s="181">
        <v>0</v>
      </c>
      <c r="Y122" s="181">
        <v>0</v>
      </c>
      <c r="Z122" s="84">
        <f t="shared" si="439"/>
        <v>0</v>
      </c>
      <c r="AA122" s="181">
        <v>0</v>
      </c>
      <c r="AB122" s="181">
        <v>0</v>
      </c>
      <c r="AC122" s="181">
        <v>0</v>
      </c>
      <c r="AD122" s="181">
        <v>0</v>
      </c>
      <c r="AE122" s="84">
        <f t="shared" si="440"/>
        <v>0</v>
      </c>
      <c r="AF122" s="181">
        <v>-0.3</v>
      </c>
      <c r="AG122" s="181">
        <v>4</v>
      </c>
      <c r="AH122" s="181">
        <v>-2.2000000000000002</v>
      </c>
      <c r="AI122" s="181">
        <v>-0.6</v>
      </c>
      <c r="AJ122" s="84">
        <f t="shared" si="441"/>
        <v>0.9</v>
      </c>
      <c r="AK122" s="181">
        <v>-0.2</v>
      </c>
      <c r="AL122" s="181">
        <v>0.1</v>
      </c>
      <c r="AM122" s="181">
        <f t="shared" si="442"/>
        <v>-0.4</v>
      </c>
      <c r="AN122" s="202">
        <f t="shared" si="442"/>
        <v>7.6</v>
      </c>
      <c r="AO122" s="84">
        <f t="shared" si="443"/>
        <v>7.1</v>
      </c>
      <c r="AP122" s="202">
        <f>AP103</f>
        <v>0</v>
      </c>
      <c r="AQ122" s="181">
        <f t="shared" si="455"/>
        <v>0</v>
      </c>
      <c r="AR122" s="202">
        <f t="shared" si="455"/>
        <v>0</v>
      </c>
      <c r="AS122" s="181">
        <f t="shared" si="455"/>
        <v>0</v>
      </c>
      <c r="AT122" s="84">
        <f t="shared" si="445"/>
        <v>0</v>
      </c>
      <c r="AU122" s="202">
        <f>AU103</f>
        <v>0</v>
      </c>
      <c r="AV122" s="202">
        <f t="shared" ref="AV122:AX122" si="459">AV103</f>
        <v>0</v>
      </c>
      <c r="AW122" s="202">
        <f t="shared" si="459"/>
        <v>0</v>
      </c>
      <c r="AX122" s="202">
        <f t="shared" si="459"/>
        <v>0</v>
      </c>
      <c r="AY122" s="84">
        <f t="shared" si="447"/>
        <v>0</v>
      </c>
      <c r="AZ122" s="202">
        <f>AZ103</f>
        <v>0</v>
      </c>
      <c r="BA122" s="181">
        <f t="shared" ref="BA122:BC122" si="460">BA103</f>
        <v>0</v>
      </c>
      <c r="BB122" s="181">
        <f t="shared" si="460"/>
        <v>0</v>
      </c>
      <c r="BC122" s="181">
        <f t="shared" si="460"/>
        <v>0</v>
      </c>
      <c r="BD122" s="84">
        <f t="shared" si="449"/>
        <v>0</v>
      </c>
      <c r="BE122" s="181">
        <f>BE103</f>
        <v>0</v>
      </c>
      <c r="BF122" s="181">
        <f t="shared" ref="BF122:BH122" si="461">BF103</f>
        <v>0</v>
      </c>
      <c r="BG122" s="181">
        <f t="shared" si="461"/>
        <v>0</v>
      </c>
      <c r="BH122" s="181">
        <f t="shared" si="461"/>
        <v>0</v>
      </c>
      <c r="BI122" s="84">
        <f t="shared" si="451"/>
        <v>0</v>
      </c>
    </row>
    <row r="123" spans="1:63" hidden="1" outlineLevel="1" x14ac:dyDescent="0.2">
      <c r="A123" s="67" t="s">
        <v>125</v>
      </c>
      <c r="F123" s="84">
        <f t="shared" si="452"/>
        <v>0</v>
      </c>
      <c r="K123" s="84">
        <f t="shared" si="453"/>
        <v>0</v>
      </c>
      <c r="P123" s="84">
        <f t="shared" si="454"/>
        <v>0</v>
      </c>
      <c r="U123" s="84">
        <v>14</v>
      </c>
      <c r="V123" s="181">
        <v>1</v>
      </c>
      <c r="W123" s="181">
        <v>2</v>
      </c>
      <c r="X123" s="181">
        <v>0</v>
      </c>
      <c r="Y123" s="181">
        <v>-1</v>
      </c>
      <c r="Z123" s="84">
        <f t="shared" si="439"/>
        <v>2</v>
      </c>
      <c r="AA123" s="181">
        <v>0</v>
      </c>
      <c r="AB123" s="181">
        <v>0</v>
      </c>
      <c r="AC123" s="181">
        <v>0</v>
      </c>
      <c r="AD123" s="181">
        <v>0</v>
      </c>
      <c r="AE123" s="84">
        <f t="shared" si="440"/>
        <v>0</v>
      </c>
      <c r="AF123" s="181">
        <v>0</v>
      </c>
      <c r="AG123" s="181">
        <v>0</v>
      </c>
      <c r="AH123" s="181">
        <v>0</v>
      </c>
      <c r="AI123" s="181">
        <v>0</v>
      </c>
      <c r="AJ123" s="84">
        <f t="shared" si="441"/>
        <v>0</v>
      </c>
      <c r="AK123" s="181">
        <v>0</v>
      </c>
      <c r="AL123" s="181">
        <v>0</v>
      </c>
      <c r="AM123" s="202">
        <v>0</v>
      </c>
      <c r="AN123" s="202">
        <v>0</v>
      </c>
      <c r="AO123" s="84">
        <f t="shared" si="443"/>
        <v>0</v>
      </c>
      <c r="AP123" s="202">
        <v>0</v>
      </c>
      <c r="AQ123" s="181">
        <v>0</v>
      </c>
      <c r="AR123" s="202">
        <v>0</v>
      </c>
      <c r="AS123" s="181">
        <v>0</v>
      </c>
      <c r="AT123" s="84">
        <f t="shared" si="445"/>
        <v>0</v>
      </c>
      <c r="AU123" s="202">
        <v>0</v>
      </c>
      <c r="AV123" s="202">
        <v>0</v>
      </c>
      <c r="AW123" s="202">
        <v>0</v>
      </c>
      <c r="AX123" s="202">
        <v>0</v>
      </c>
      <c r="AY123" s="84">
        <f t="shared" si="447"/>
        <v>0</v>
      </c>
      <c r="AZ123" s="202">
        <v>0</v>
      </c>
      <c r="BA123" s="181">
        <v>0</v>
      </c>
      <c r="BB123" s="181">
        <v>0</v>
      </c>
      <c r="BC123" s="181">
        <v>0</v>
      </c>
      <c r="BD123" s="84">
        <f t="shared" si="449"/>
        <v>0</v>
      </c>
      <c r="BE123" s="181">
        <v>0</v>
      </c>
      <c r="BF123" s="181">
        <v>0</v>
      </c>
      <c r="BG123" s="181">
        <v>0</v>
      </c>
      <c r="BH123" s="181">
        <v>0</v>
      </c>
      <c r="BI123" s="84">
        <f t="shared" si="451"/>
        <v>0</v>
      </c>
    </row>
    <row r="124" spans="1:63" hidden="1" outlineLevel="1" x14ac:dyDescent="0.2">
      <c r="A124" s="67" t="s">
        <v>126</v>
      </c>
      <c r="F124" s="84">
        <f t="shared" si="452"/>
        <v>0</v>
      </c>
      <c r="K124" s="84">
        <f t="shared" si="453"/>
        <v>0</v>
      </c>
      <c r="P124" s="84">
        <f t="shared" si="454"/>
        <v>0</v>
      </c>
      <c r="U124" s="84">
        <v>0</v>
      </c>
      <c r="V124" s="181">
        <v>0</v>
      </c>
      <c r="W124" s="181">
        <v>0</v>
      </c>
      <c r="X124" s="181">
        <v>-7</v>
      </c>
      <c r="Y124" s="181">
        <v>0</v>
      </c>
      <c r="Z124" s="84">
        <f t="shared" si="439"/>
        <v>-7</v>
      </c>
      <c r="AA124" s="181">
        <v>0</v>
      </c>
      <c r="AB124" s="181">
        <v>0</v>
      </c>
      <c r="AC124" s="181">
        <v>17</v>
      </c>
      <c r="AD124" s="181">
        <v>15</v>
      </c>
      <c r="AE124" s="84">
        <f t="shared" si="440"/>
        <v>32</v>
      </c>
      <c r="AF124" s="181">
        <v>0</v>
      </c>
      <c r="AG124" s="181">
        <v>0</v>
      </c>
      <c r="AH124" s="181">
        <v>0</v>
      </c>
      <c r="AI124" s="181">
        <v>0</v>
      </c>
      <c r="AJ124" s="84">
        <f t="shared" si="441"/>
        <v>0</v>
      </c>
      <c r="AK124" s="181">
        <v>0</v>
      </c>
      <c r="AL124" s="181">
        <v>0</v>
      </c>
      <c r="AM124" s="202">
        <v>0</v>
      </c>
      <c r="AN124" s="202">
        <v>0</v>
      </c>
      <c r="AO124" s="84">
        <f t="shared" si="443"/>
        <v>0</v>
      </c>
      <c r="AP124" s="202">
        <v>0</v>
      </c>
      <c r="AQ124" s="181">
        <v>0</v>
      </c>
      <c r="AR124" s="202">
        <v>0</v>
      </c>
      <c r="AS124" s="181">
        <v>0</v>
      </c>
      <c r="AT124" s="84">
        <f t="shared" si="445"/>
        <v>0</v>
      </c>
      <c r="AU124" s="202">
        <v>0</v>
      </c>
      <c r="AV124" s="202">
        <v>0</v>
      </c>
      <c r="AW124" s="202">
        <v>0</v>
      </c>
      <c r="AX124" s="202">
        <v>0</v>
      </c>
      <c r="AY124" s="84">
        <f t="shared" si="447"/>
        <v>0</v>
      </c>
      <c r="AZ124" s="202">
        <v>0</v>
      </c>
      <c r="BA124" s="181">
        <v>0</v>
      </c>
      <c r="BB124" s="181">
        <v>0</v>
      </c>
      <c r="BC124" s="181">
        <v>0</v>
      </c>
      <c r="BD124" s="84">
        <f t="shared" si="449"/>
        <v>0</v>
      </c>
      <c r="BE124" s="181">
        <v>0</v>
      </c>
      <c r="BF124" s="181">
        <v>0</v>
      </c>
      <c r="BG124" s="181">
        <v>0</v>
      </c>
      <c r="BH124" s="181">
        <v>0</v>
      </c>
      <c r="BI124" s="84">
        <f t="shared" si="451"/>
        <v>0</v>
      </c>
    </row>
    <row r="125" spans="1:63" hidden="1" outlineLevel="1" x14ac:dyDescent="0.2">
      <c r="A125" s="67" t="s">
        <v>127</v>
      </c>
      <c r="F125" s="84">
        <f t="shared" si="452"/>
        <v>0</v>
      </c>
      <c r="K125" s="84">
        <f t="shared" si="453"/>
        <v>0</v>
      </c>
      <c r="P125" s="84">
        <f t="shared" si="454"/>
        <v>0</v>
      </c>
      <c r="U125" s="84">
        <v>6</v>
      </c>
      <c r="V125" s="181">
        <v>0</v>
      </c>
      <c r="W125" s="181">
        <v>0</v>
      </c>
      <c r="X125" s="181">
        <v>0</v>
      </c>
      <c r="Y125" s="181">
        <v>-2</v>
      </c>
      <c r="Z125" s="84">
        <f t="shared" si="439"/>
        <v>-2</v>
      </c>
      <c r="AA125" s="181">
        <v>-1</v>
      </c>
      <c r="AB125" s="181">
        <v>-2</v>
      </c>
      <c r="AC125" s="181">
        <v>0</v>
      </c>
      <c r="AD125" s="181">
        <v>0</v>
      </c>
      <c r="AE125" s="84">
        <f t="shared" si="440"/>
        <v>-3</v>
      </c>
      <c r="AF125" s="181">
        <v>0</v>
      </c>
      <c r="AG125" s="181">
        <v>0</v>
      </c>
      <c r="AH125" s="181">
        <v>0</v>
      </c>
      <c r="AI125" s="181">
        <v>0</v>
      </c>
      <c r="AJ125" s="84">
        <f t="shared" si="441"/>
        <v>0</v>
      </c>
      <c r="AK125" s="181">
        <v>0</v>
      </c>
      <c r="AL125" s="181">
        <v>0</v>
      </c>
      <c r="AM125" s="202">
        <v>0</v>
      </c>
      <c r="AN125" s="202">
        <v>0</v>
      </c>
      <c r="AO125" s="84">
        <f t="shared" si="443"/>
        <v>0</v>
      </c>
      <c r="AP125" s="202">
        <v>0</v>
      </c>
      <c r="AQ125" s="181">
        <v>0</v>
      </c>
      <c r="AR125" s="202">
        <v>0</v>
      </c>
      <c r="AS125" s="181">
        <v>0</v>
      </c>
      <c r="AT125" s="84">
        <f t="shared" si="445"/>
        <v>0</v>
      </c>
      <c r="AU125" s="202">
        <v>0</v>
      </c>
      <c r="AV125" s="202">
        <v>0</v>
      </c>
      <c r="AW125" s="202">
        <v>0</v>
      </c>
      <c r="AX125" s="202">
        <v>0</v>
      </c>
      <c r="AY125" s="84">
        <f t="shared" si="447"/>
        <v>0</v>
      </c>
      <c r="AZ125" s="202">
        <v>0</v>
      </c>
      <c r="BA125" s="181">
        <v>0</v>
      </c>
      <c r="BB125" s="181">
        <v>0</v>
      </c>
      <c r="BC125" s="181">
        <v>0</v>
      </c>
      <c r="BD125" s="84">
        <f t="shared" si="449"/>
        <v>0</v>
      </c>
      <c r="BE125" s="181">
        <v>0</v>
      </c>
      <c r="BF125" s="181">
        <v>0</v>
      </c>
      <c r="BG125" s="181">
        <v>0</v>
      </c>
      <c r="BH125" s="181">
        <v>0</v>
      </c>
      <c r="BI125" s="84">
        <f t="shared" si="451"/>
        <v>0</v>
      </c>
    </row>
    <row r="126" spans="1:63" hidden="1" outlineLevel="1" x14ac:dyDescent="0.2">
      <c r="A126" s="67" t="s">
        <v>128</v>
      </c>
      <c r="F126" s="84">
        <f t="shared" si="452"/>
        <v>0</v>
      </c>
      <c r="K126" s="84">
        <f t="shared" si="453"/>
        <v>0</v>
      </c>
      <c r="P126" s="84">
        <f t="shared" si="454"/>
        <v>0</v>
      </c>
      <c r="U126" s="84">
        <v>0</v>
      </c>
      <c r="V126" s="181">
        <v>0</v>
      </c>
      <c r="W126" s="181">
        <v>0</v>
      </c>
      <c r="X126" s="181">
        <v>0</v>
      </c>
      <c r="Y126" s="181">
        <v>0</v>
      </c>
      <c r="Z126" s="84">
        <f t="shared" si="439"/>
        <v>0</v>
      </c>
      <c r="AA126" s="181">
        <v>0</v>
      </c>
      <c r="AB126" s="181">
        <v>0</v>
      </c>
      <c r="AC126" s="181">
        <v>0</v>
      </c>
      <c r="AD126" s="181">
        <v>0</v>
      </c>
      <c r="AE126" s="84">
        <f t="shared" si="440"/>
        <v>0</v>
      </c>
      <c r="AF126" s="181">
        <v>0</v>
      </c>
      <c r="AG126" s="181">
        <v>0</v>
      </c>
      <c r="AH126" s="181">
        <v>0</v>
      </c>
      <c r="AI126" s="181">
        <v>0</v>
      </c>
      <c r="AJ126" s="84">
        <f t="shared" si="441"/>
        <v>0</v>
      </c>
      <c r="AK126" s="181">
        <v>0</v>
      </c>
      <c r="AL126" s="181">
        <v>0</v>
      </c>
      <c r="AM126" s="202">
        <v>0</v>
      </c>
      <c r="AN126" s="202">
        <v>0</v>
      </c>
      <c r="AO126" s="84">
        <f t="shared" si="443"/>
        <v>0</v>
      </c>
      <c r="AP126" s="202">
        <v>0</v>
      </c>
      <c r="AQ126" s="181">
        <v>0</v>
      </c>
      <c r="AR126" s="202">
        <v>0</v>
      </c>
      <c r="AS126" s="181">
        <v>0</v>
      </c>
      <c r="AT126" s="84">
        <f t="shared" si="445"/>
        <v>0</v>
      </c>
      <c r="AU126" s="202">
        <v>0</v>
      </c>
      <c r="AV126" s="202">
        <v>0</v>
      </c>
      <c r="AW126" s="202">
        <v>0</v>
      </c>
      <c r="AX126" s="202">
        <v>0</v>
      </c>
      <c r="AY126" s="84">
        <f t="shared" si="447"/>
        <v>0</v>
      </c>
      <c r="AZ126" s="202">
        <v>0</v>
      </c>
      <c r="BA126" s="181">
        <v>0</v>
      </c>
      <c r="BB126" s="181">
        <v>0</v>
      </c>
      <c r="BC126" s="181">
        <v>0</v>
      </c>
      <c r="BD126" s="84">
        <f t="shared" si="449"/>
        <v>0</v>
      </c>
      <c r="BE126" s="181">
        <v>0</v>
      </c>
      <c r="BF126" s="181">
        <v>0</v>
      </c>
      <c r="BG126" s="181">
        <v>0</v>
      </c>
      <c r="BH126" s="181">
        <v>0</v>
      </c>
      <c r="BI126" s="84">
        <f t="shared" si="451"/>
        <v>0</v>
      </c>
    </row>
    <row r="127" spans="1:63" hidden="1" outlineLevel="1" x14ac:dyDescent="0.2">
      <c r="A127" s="67" t="s">
        <v>130</v>
      </c>
      <c r="F127" s="84">
        <v>1</v>
      </c>
      <c r="K127" s="84">
        <f t="shared" si="453"/>
        <v>0</v>
      </c>
      <c r="P127" s="84">
        <v>3</v>
      </c>
      <c r="U127" s="84">
        <v>-4</v>
      </c>
      <c r="V127" s="181">
        <v>0</v>
      </c>
      <c r="W127" s="181">
        <v>0</v>
      </c>
      <c r="X127" s="181">
        <v>0</v>
      </c>
      <c r="Y127" s="181">
        <v>-11</v>
      </c>
      <c r="Z127" s="84">
        <f t="shared" si="439"/>
        <v>-11</v>
      </c>
      <c r="AA127" s="181">
        <v>0</v>
      </c>
      <c r="AB127" s="181">
        <v>0</v>
      </c>
      <c r="AC127" s="181">
        <v>0</v>
      </c>
      <c r="AD127" s="181">
        <v>0</v>
      </c>
      <c r="AE127" s="84">
        <f t="shared" si="440"/>
        <v>0</v>
      </c>
      <c r="AF127" s="181">
        <v>0</v>
      </c>
      <c r="AG127" s="181">
        <v>0</v>
      </c>
      <c r="AH127" s="181">
        <v>0</v>
      </c>
      <c r="AI127" s="181">
        <v>0</v>
      </c>
      <c r="AJ127" s="84">
        <f t="shared" si="441"/>
        <v>0</v>
      </c>
      <c r="AK127" s="181">
        <v>0</v>
      </c>
      <c r="AL127" s="181">
        <v>1</v>
      </c>
      <c r="AM127" s="202">
        <v>0</v>
      </c>
      <c r="AN127" s="202">
        <v>0.1</v>
      </c>
      <c r="AO127" s="84">
        <f t="shared" si="443"/>
        <v>1.1000000000000001</v>
      </c>
      <c r="AP127" s="202">
        <v>0</v>
      </c>
      <c r="AQ127" s="184">
        <v>0</v>
      </c>
      <c r="AR127" s="202">
        <v>0.9</v>
      </c>
      <c r="AS127" s="202">
        <v>-41.1</v>
      </c>
      <c r="AT127" s="84">
        <f t="shared" si="445"/>
        <v>-40.200000000000003</v>
      </c>
      <c r="AU127" s="202">
        <v>-70.900000000000006</v>
      </c>
      <c r="AV127" s="202">
        <v>3.4</v>
      </c>
      <c r="AW127" s="202">
        <v>2.1</v>
      </c>
      <c r="AX127" s="202">
        <v>10</v>
      </c>
      <c r="AY127" s="84">
        <f t="shared" si="447"/>
        <v>-55.400000000000006</v>
      </c>
      <c r="AZ127" s="202">
        <v>57.3</v>
      </c>
      <c r="BA127" s="184">
        <v>1</v>
      </c>
      <c r="BB127" s="184">
        <v>1</v>
      </c>
      <c r="BC127" s="184">
        <v>1</v>
      </c>
      <c r="BD127" s="84">
        <f t="shared" si="449"/>
        <v>60.3</v>
      </c>
      <c r="BE127" s="184">
        <v>1</v>
      </c>
      <c r="BF127" s="184">
        <v>1</v>
      </c>
      <c r="BG127" s="184">
        <v>1</v>
      </c>
      <c r="BH127" s="184">
        <v>1</v>
      </c>
      <c r="BI127" s="84">
        <f t="shared" si="451"/>
        <v>4</v>
      </c>
      <c r="BK127" s="175"/>
    </row>
    <row r="128" spans="1:63" s="69" customFormat="1" collapsed="1" x14ac:dyDescent="0.2">
      <c r="A128" s="69" t="s">
        <v>197</v>
      </c>
      <c r="F128" s="79">
        <f t="shared" ref="F128" si="462">F117+F118</f>
        <v>440</v>
      </c>
      <c r="K128" s="79">
        <f t="shared" ref="K128" si="463">K117+K118</f>
        <v>447</v>
      </c>
      <c r="P128" s="79">
        <f t="shared" ref="P128" si="464">P117+P118</f>
        <v>466</v>
      </c>
      <c r="U128" s="79">
        <f t="shared" ref="U128" si="465">U117+U118</f>
        <v>478</v>
      </c>
      <c r="V128" s="188">
        <f t="shared" ref="V128:Y128" si="466">V117+V118</f>
        <v>120</v>
      </c>
      <c r="W128" s="188">
        <f>W117+W118</f>
        <v>134</v>
      </c>
      <c r="X128" s="188">
        <f t="shared" si="466"/>
        <v>99</v>
      </c>
      <c r="Y128" s="188">
        <f t="shared" si="466"/>
        <v>150</v>
      </c>
      <c r="Z128" s="79">
        <f>SUM(V128:Y128)</f>
        <v>503</v>
      </c>
      <c r="AA128" s="188">
        <f t="shared" ref="AA128:AD128" si="467">AA117+AA118</f>
        <v>145</v>
      </c>
      <c r="AB128" s="188">
        <f>AB117+AB118</f>
        <v>152</v>
      </c>
      <c r="AC128" s="188">
        <f t="shared" si="467"/>
        <v>173</v>
      </c>
      <c r="AD128" s="188">
        <f t="shared" si="467"/>
        <v>155</v>
      </c>
      <c r="AE128" s="79">
        <f>SUM(AA128:AD128)</f>
        <v>625</v>
      </c>
      <c r="AF128" s="188">
        <f t="shared" ref="AF128:AI128" si="468">AF117+AF118</f>
        <v>72.40000000000002</v>
      </c>
      <c r="AG128" s="188">
        <f>AG117+AG118</f>
        <v>69.400000000000006</v>
      </c>
      <c r="AH128" s="188">
        <f t="shared" si="468"/>
        <v>86.399999999999977</v>
      </c>
      <c r="AI128" s="188">
        <f t="shared" si="468"/>
        <v>87.499999999999972</v>
      </c>
      <c r="AJ128" s="79">
        <f>SUM(AF128:AI128)</f>
        <v>315.69999999999993</v>
      </c>
      <c r="AK128" s="188">
        <f t="shared" ref="AK128:AR128" si="469">AK117+AK118</f>
        <v>73.300000000000011</v>
      </c>
      <c r="AL128" s="188">
        <f>AL117+AL118</f>
        <v>87.1</v>
      </c>
      <c r="AM128" s="188">
        <f t="shared" si="469"/>
        <v>110.4</v>
      </c>
      <c r="AN128" s="204">
        <f t="shared" si="469"/>
        <v>109.20000000000005</v>
      </c>
      <c r="AO128" s="79">
        <f>SUM(AK128:AN128)</f>
        <v>380.00000000000006</v>
      </c>
      <c r="AP128" s="204">
        <f t="shared" si="469"/>
        <v>90.199999999999989</v>
      </c>
      <c r="AQ128" s="188">
        <f>AQ117+AQ118</f>
        <v>105.09999999999998</v>
      </c>
      <c r="AR128" s="188">
        <f t="shared" si="469"/>
        <v>123.19999999999995</v>
      </c>
      <c r="AS128" s="188">
        <f>AS117+AS118</f>
        <v>124.10000000000002</v>
      </c>
      <c r="AT128" s="79">
        <f>SUM(AP128:AS128)</f>
        <v>442.59999999999991</v>
      </c>
      <c r="AU128" s="204">
        <f t="shared" ref="AU128" si="470">AU117+AU118</f>
        <v>102.80000000000001</v>
      </c>
      <c r="AV128" s="204">
        <f>AV117+AV118</f>
        <v>104.40000000000002</v>
      </c>
      <c r="AW128" s="204">
        <f t="shared" ref="AW128" si="471">AW117+AW118</f>
        <v>129.50000000000003</v>
      </c>
      <c r="AX128" s="204">
        <f>AX117+AX118</f>
        <v>130.10000000000002</v>
      </c>
      <c r="AY128" s="79">
        <f>SUM(AU128:AX128)</f>
        <v>466.80000000000007</v>
      </c>
      <c r="AZ128" s="204">
        <f t="shared" ref="AZ128" si="472">AZ117+AZ118</f>
        <v>117.4</v>
      </c>
      <c r="BA128" s="188">
        <f>BA117+BA118</f>
        <v>126.92750103297004</v>
      </c>
      <c r="BB128" s="188">
        <f t="shared" ref="BB128" si="473">BB117+BB118</f>
        <v>151.07097475218279</v>
      </c>
      <c r="BC128" s="188">
        <f>BC117+BC118</f>
        <v>154.20049556406715</v>
      </c>
      <c r="BD128" s="79">
        <f>SUM(AZ128:BC128)</f>
        <v>549.59897134922005</v>
      </c>
      <c r="BE128" s="188">
        <f t="shared" ref="BE128" si="474">BE117+BE118</f>
        <v>134.97432775263317</v>
      </c>
      <c r="BF128" s="188">
        <f>BF117+BF118</f>
        <v>143.90595088816383</v>
      </c>
      <c r="BG128" s="188">
        <f t="shared" ref="BG128" si="475">BG117+BG118</f>
        <v>174.43508174043586</v>
      </c>
      <c r="BH128" s="188">
        <f>BH117+BH118</f>
        <v>177.96716239403824</v>
      </c>
      <c r="BI128" s="79">
        <f>SUM(BE128:BH128)</f>
        <v>631.2825227752711</v>
      </c>
    </row>
    <row r="129" spans="1:63" x14ac:dyDescent="0.2">
      <c r="F129" s="68"/>
      <c r="K129" s="68"/>
      <c r="P129" s="68"/>
      <c r="U129" s="68"/>
      <c r="Z129" s="68"/>
      <c r="AE129" s="68"/>
      <c r="AJ129" s="68"/>
      <c r="AO129" s="68"/>
      <c r="AT129" s="68"/>
      <c r="AV129" s="205"/>
      <c r="AW129" s="205"/>
      <c r="AX129" s="205"/>
      <c r="AY129" s="68"/>
      <c r="BD129" s="68"/>
      <c r="BI129" s="68"/>
      <c r="BK129" s="181"/>
    </row>
    <row r="130" spans="1:63" s="69" customFormat="1" x14ac:dyDescent="0.2">
      <c r="A130" s="69" t="s">
        <v>198</v>
      </c>
      <c r="F130" s="190">
        <f t="shared" ref="F130:P130" si="476">F128/F86</f>
        <v>0.22809745982374288</v>
      </c>
      <c r="G130" s="187"/>
      <c r="H130" s="187"/>
      <c r="I130" s="187"/>
      <c r="J130" s="187"/>
      <c r="K130" s="190">
        <f t="shared" si="476"/>
        <v>0.21449136276391556</v>
      </c>
      <c r="L130" s="187"/>
      <c r="M130" s="187"/>
      <c r="N130" s="187"/>
      <c r="O130" s="187"/>
      <c r="P130" s="190">
        <f t="shared" si="476"/>
        <v>0.20393873085339168</v>
      </c>
      <c r="Q130" s="187"/>
      <c r="R130" s="187"/>
      <c r="S130" s="187"/>
      <c r="T130" s="187"/>
      <c r="U130" s="190">
        <f>U128/U86</f>
        <v>0.2</v>
      </c>
      <c r="V130" s="187">
        <f>V128/V86</f>
        <v>0.19769357495881384</v>
      </c>
      <c r="W130" s="187">
        <f t="shared" ref="W130:AT130" si="477">W128/W86</f>
        <v>0.23183391003460208</v>
      </c>
      <c r="X130" s="187">
        <f t="shared" si="477"/>
        <v>0.19186046511627908</v>
      </c>
      <c r="Y130" s="187">
        <f t="shared" si="477"/>
        <v>0.23006134969325154</v>
      </c>
      <c r="Z130" s="190">
        <f t="shared" si="477"/>
        <v>0.21376965575860604</v>
      </c>
      <c r="AA130" s="187">
        <f t="shared" si="477"/>
        <v>0.222052067381317</v>
      </c>
      <c r="AB130" s="187">
        <f t="shared" si="477"/>
        <v>0.21683309557774608</v>
      </c>
      <c r="AC130" s="187">
        <f t="shared" si="477"/>
        <v>0.21843434343434343</v>
      </c>
      <c r="AD130" s="187">
        <f t="shared" si="477"/>
        <v>0.18562874251497005</v>
      </c>
      <c r="AE130" s="190">
        <f t="shared" si="477"/>
        <v>0.20966118752096613</v>
      </c>
      <c r="AF130" s="187">
        <f t="shared" si="477"/>
        <v>0.25200139227288554</v>
      </c>
      <c r="AG130" s="187">
        <f t="shared" si="477"/>
        <v>0.23445945945945948</v>
      </c>
      <c r="AH130" s="187">
        <f t="shared" si="477"/>
        <v>0.27221172022684303</v>
      </c>
      <c r="AI130" s="187">
        <f t="shared" si="477"/>
        <v>0.26088252832438874</v>
      </c>
      <c r="AJ130" s="190">
        <f t="shared" si="477"/>
        <v>0.25540004853976211</v>
      </c>
      <c r="AK130" s="187">
        <f t="shared" si="477"/>
        <v>0.22025240384615388</v>
      </c>
      <c r="AL130" s="187">
        <f t="shared" si="477"/>
        <v>0.25283018867924528</v>
      </c>
      <c r="AM130" s="187">
        <f t="shared" si="477"/>
        <v>0.29346092503987242</v>
      </c>
      <c r="AN130" s="187">
        <f t="shared" si="477"/>
        <v>0.28000000000000014</v>
      </c>
      <c r="AO130" s="190">
        <f t="shared" si="477"/>
        <v>0.26324904745410466</v>
      </c>
      <c r="AP130" s="187">
        <f t="shared" si="477"/>
        <v>0.24156400642742365</v>
      </c>
      <c r="AQ130" s="187">
        <f t="shared" si="477"/>
        <v>0.27038847440185226</v>
      </c>
      <c r="AR130" s="187">
        <f t="shared" si="477"/>
        <v>0.29235880398671082</v>
      </c>
      <c r="AS130" s="187">
        <f t="shared" si="477"/>
        <v>0.28495981630309991</v>
      </c>
      <c r="AT130" s="190">
        <f t="shared" si="477"/>
        <v>0.27337862878319946</v>
      </c>
      <c r="AU130" s="222">
        <f t="shared" ref="AU130:AY130" si="478">AU128/AU86</f>
        <v>0.24812937484914316</v>
      </c>
      <c r="AV130" s="222">
        <f t="shared" si="478"/>
        <v>0.25892857142857151</v>
      </c>
      <c r="AW130" s="222">
        <f t="shared" si="478"/>
        <v>0.29498861047835995</v>
      </c>
      <c r="AX130" s="222">
        <f t="shared" si="478"/>
        <v>0.28669017188188634</v>
      </c>
      <c r="AY130" s="190">
        <f t="shared" si="478"/>
        <v>0.27293457288195055</v>
      </c>
      <c r="AZ130" s="222">
        <f t="shared" ref="AZ130:BD130" si="479">AZ128/AZ86</f>
        <v>0.25422260718925943</v>
      </c>
      <c r="BA130" s="187">
        <f t="shared" si="479"/>
        <v>0.25098324262627147</v>
      </c>
      <c r="BB130" s="187">
        <f t="shared" si="479"/>
        <v>0.27884730152410009</v>
      </c>
      <c r="BC130" s="187">
        <f t="shared" si="479"/>
        <v>0.27522843813212616</v>
      </c>
      <c r="BD130" s="190">
        <f t="shared" si="479"/>
        <v>0.26556393772310982</v>
      </c>
      <c r="BE130" s="187">
        <f t="shared" ref="BE130:BI130" si="480">BE128/BE86</f>
        <v>0.252184496084978</v>
      </c>
      <c r="BF130" s="187">
        <f t="shared" si="480"/>
        <v>0.26087075246633135</v>
      </c>
      <c r="BG130" s="187">
        <f t="shared" si="480"/>
        <v>0.29577150306384276</v>
      </c>
      <c r="BH130" s="187">
        <f t="shared" si="480"/>
        <v>0.2943730043301504</v>
      </c>
      <c r="BI130" s="190">
        <f t="shared" si="480"/>
        <v>0.27673459570410097</v>
      </c>
      <c r="BK130" s="225"/>
    </row>
    <row r="131" spans="1:63" x14ac:dyDescent="0.2">
      <c r="AQ131" s="98"/>
      <c r="AV131" s="217"/>
    </row>
    <row r="132" spans="1:63" x14ac:dyDescent="0.2">
      <c r="A132" s="69" t="s">
        <v>135</v>
      </c>
      <c r="AV132" s="205"/>
    </row>
    <row r="133" spans="1:63" x14ac:dyDescent="0.2">
      <c r="A133" s="87" t="s">
        <v>103</v>
      </c>
      <c r="B133" s="88">
        <f t="shared" ref="B133:AT133" si="481">(B86/B$86)*100</f>
        <v>100</v>
      </c>
      <c r="C133" s="88">
        <f t="shared" si="481"/>
        <v>100</v>
      </c>
      <c r="D133" s="88">
        <f t="shared" si="481"/>
        <v>100</v>
      </c>
      <c r="E133" s="88">
        <f t="shared" si="481"/>
        <v>100</v>
      </c>
      <c r="F133" s="89">
        <f t="shared" si="481"/>
        <v>100</v>
      </c>
      <c r="G133" s="88">
        <f t="shared" si="481"/>
        <v>100</v>
      </c>
      <c r="H133" s="88">
        <f t="shared" si="481"/>
        <v>100</v>
      </c>
      <c r="I133" s="88">
        <f t="shared" si="481"/>
        <v>100</v>
      </c>
      <c r="J133" s="88">
        <f t="shared" si="481"/>
        <v>100</v>
      </c>
      <c r="K133" s="89">
        <f t="shared" si="481"/>
        <v>100</v>
      </c>
      <c r="L133" s="88">
        <f t="shared" si="481"/>
        <v>100</v>
      </c>
      <c r="M133" s="88">
        <f t="shared" si="481"/>
        <v>100</v>
      </c>
      <c r="N133" s="88">
        <f t="shared" si="481"/>
        <v>100</v>
      </c>
      <c r="O133" s="88">
        <f t="shared" si="481"/>
        <v>100</v>
      </c>
      <c r="P133" s="89">
        <f t="shared" si="481"/>
        <v>100</v>
      </c>
      <c r="Q133" s="88">
        <f t="shared" si="481"/>
        <v>100</v>
      </c>
      <c r="R133" s="88">
        <f t="shared" si="481"/>
        <v>100</v>
      </c>
      <c r="S133" s="88">
        <f t="shared" si="481"/>
        <v>100</v>
      </c>
      <c r="T133" s="88">
        <f t="shared" si="481"/>
        <v>100</v>
      </c>
      <c r="U133" s="89">
        <f t="shared" si="481"/>
        <v>100</v>
      </c>
      <c r="V133" s="88">
        <f t="shared" si="481"/>
        <v>100</v>
      </c>
      <c r="W133" s="88">
        <f t="shared" si="481"/>
        <v>100</v>
      </c>
      <c r="X133" s="88">
        <f t="shared" si="481"/>
        <v>100</v>
      </c>
      <c r="Y133" s="88">
        <f t="shared" si="481"/>
        <v>100</v>
      </c>
      <c r="Z133" s="89">
        <f t="shared" si="481"/>
        <v>100</v>
      </c>
      <c r="AA133" s="88">
        <f t="shared" si="481"/>
        <v>100</v>
      </c>
      <c r="AB133" s="88">
        <f t="shared" si="481"/>
        <v>100</v>
      </c>
      <c r="AC133" s="88">
        <f t="shared" si="481"/>
        <v>100</v>
      </c>
      <c r="AD133" s="88">
        <f t="shared" si="481"/>
        <v>100</v>
      </c>
      <c r="AE133" s="89">
        <f t="shared" si="481"/>
        <v>100</v>
      </c>
      <c r="AF133" s="88">
        <f t="shared" si="481"/>
        <v>100</v>
      </c>
      <c r="AG133" s="88">
        <f t="shared" si="481"/>
        <v>100</v>
      </c>
      <c r="AH133" s="88">
        <f t="shared" si="481"/>
        <v>100</v>
      </c>
      <c r="AI133" s="88">
        <f t="shared" si="481"/>
        <v>100</v>
      </c>
      <c r="AJ133" s="89">
        <f t="shared" si="481"/>
        <v>100</v>
      </c>
      <c r="AK133" s="88">
        <f t="shared" si="481"/>
        <v>100</v>
      </c>
      <c r="AL133" s="88">
        <f t="shared" si="481"/>
        <v>100</v>
      </c>
      <c r="AM133" s="88">
        <f t="shared" si="481"/>
        <v>100</v>
      </c>
      <c r="AN133" s="88">
        <f t="shared" si="481"/>
        <v>100</v>
      </c>
      <c r="AO133" s="89">
        <f t="shared" si="481"/>
        <v>100</v>
      </c>
      <c r="AP133" s="88">
        <f t="shared" si="481"/>
        <v>100</v>
      </c>
      <c r="AQ133" s="88">
        <f t="shared" si="481"/>
        <v>100</v>
      </c>
      <c r="AR133" s="88">
        <f t="shared" si="481"/>
        <v>100</v>
      </c>
      <c r="AS133" s="88">
        <f t="shared" si="481"/>
        <v>100</v>
      </c>
      <c r="AT133" s="89">
        <f t="shared" si="481"/>
        <v>100</v>
      </c>
      <c r="AU133" s="88">
        <f t="shared" ref="AU133:AV133" si="482">(AU86/AU$86)*100</f>
        <v>100</v>
      </c>
      <c r="AV133" s="88">
        <f t="shared" si="482"/>
        <v>100</v>
      </c>
      <c r="AW133" s="88">
        <f t="shared" ref="AW133:AX133" si="483">(AW86/AW$86)*100</f>
        <v>100</v>
      </c>
      <c r="AX133" s="88">
        <f t="shared" si="483"/>
        <v>100</v>
      </c>
      <c r="AY133" s="89">
        <f t="shared" ref="AY133:AZ133" si="484">(AY86/AY$86)*100</f>
        <v>100</v>
      </c>
      <c r="AZ133" s="88">
        <f t="shared" si="484"/>
        <v>100</v>
      </c>
      <c r="BA133" s="88">
        <f t="shared" ref="BA133:BD133" si="485">(BA86/BA$86)*100</f>
        <v>100</v>
      </c>
      <c r="BB133" s="88">
        <f t="shared" si="485"/>
        <v>100</v>
      </c>
      <c r="BC133" s="88">
        <f t="shared" si="485"/>
        <v>100</v>
      </c>
      <c r="BD133" s="89">
        <f t="shared" si="485"/>
        <v>100</v>
      </c>
      <c r="BE133" s="88">
        <f t="shared" ref="BE133:BI133" si="486">(BE86/BE$86)*100</f>
        <v>100</v>
      </c>
      <c r="BF133" s="88">
        <f t="shared" si="486"/>
        <v>100</v>
      </c>
      <c r="BG133" s="88">
        <f t="shared" si="486"/>
        <v>100</v>
      </c>
      <c r="BH133" s="88">
        <f t="shared" si="486"/>
        <v>100</v>
      </c>
      <c r="BI133" s="89">
        <f t="shared" si="486"/>
        <v>100</v>
      </c>
    </row>
    <row r="134" spans="1:63" x14ac:dyDescent="0.2">
      <c r="A134" s="90" t="s">
        <v>104</v>
      </c>
      <c r="B134" s="88">
        <f t="shared" ref="B134:AT134" si="487">(B87/B$86)*100</f>
        <v>61.403508771929829</v>
      </c>
      <c r="C134" s="88">
        <f t="shared" si="487"/>
        <v>60</v>
      </c>
      <c r="D134" s="88">
        <f t="shared" si="487"/>
        <v>60.120240480961925</v>
      </c>
      <c r="E134" s="88">
        <f t="shared" si="487"/>
        <v>60.728744939271252</v>
      </c>
      <c r="F134" s="91">
        <f t="shared" si="487"/>
        <v>60.549507516848109</v>
      </c>
      <c r="G134" s="88">
        <f t="shared" si="487"/>
        <v>62.167689161554193</v>
      </c>
      <c r="H134" s="88">
        <f t="shared" si="487"/>
        <v>61.478599221789885</v>
      </c>
      <c r="I134" s="88">
        <f t="shared" si="487"/>
        <v>63.108614232209739</v>
      </c>
      <c r="J134" s="88">
        <f t="shared" si="487"/>
        <v>63.802559414990853</v>
      </c>
      <c r="K134" s="91">
        <f t="shared" si="487"/>
        <v>62.667946257197691</v>
      </c>
      <c r="L134" s="88">
        <f t="shared" si="487"/>
        <v>64.22018348623854</v>
      </c>
      <c r="M134" s="88">
        <f t="shared" si="487"/>
        <v>63.620386643233736</v>
      </c>
      <c r="N134" s="88">
        <f t="shared" si="487"/>
        <v>65.164644714038133</v>
      </c>
      <c r="O134" s="88">
        <f t="shared" si="487"/>
        <v>65.82491582491582</v>
      </c>
      <c r="P134" s="91">
        <f t="shared" si="487"/>
        <v>64.726477024070022</v>
      </c>
      <c r="Q134" s="88">
        <f t="shared" si="487"/>
        <v>67.145421903052068</v>
      </c>
      <c r="R134" s="88">
        <f t="shared" si="487"/>
        <v>65.651438240270735</v>
      </c>
      <c r="S134" s="88">
        <f t="shared" si="487"/>
        <v>66.231647634584007</v>
      </c>
      <c r="T134" s="88">
        <f t="shared" si="487"/>
        <v>65.500794912559627</v>
      </c>
      <c r="U134" s="91">
        <f t="shared" si="487"/>
        <v>66.108786610878653</v>
      </c>
      <c r="V134" s="88">
        <f t="shared" si="487"/>
        <v>65.238879736408563</v>
      </c>
      <c r="W134" s="88">
        <f t="shared" si="487"/>
        <v>64.186851211072664</v>
      </c>
      <c r="X134" s="88">
        <f t="shared" si="487"/>
        <v>63.759689922480625</v>
      </c>
      <c r="Y134" s="88">
        <f t="shared" si="487"/>
        <v>60.429447852760731</v>
      </c>
      <c r="Z134" s="91">
        <f t="shared" si="487"/>
        <v>63.323416914577138</v>
      </c>
      <c r="AA134" s="88">
        <f t="shared" si="487"/>
        <v>65.084226646248084</v>
      </c>
      <c r="AB134" s="88">
        <f t="shared" si="487"/>
        <v>64.764621968616268</v>
      </c>
      <c r="AC134" s="88">
        <f t="shared" si="487"/>
        <v>67.297979797979806</v>
      </c>
      <c r="AD134" s="88">
        <f t="shared" si="487"/>
        <v>70.538922155688624</v>
      </c>
      <c r="AE134" s="91">
        <f t="shared" si="487"/>
        <v>67.12512579671251</v>
      </c>
      <c r="AF134" s="88">
        <f t="shared" si="487"/>
        <v>60.946745562130175</v>
      </c>
      <c r="AG134" s="88">
        <f t="shared" si="487"/>
        <v>63.749999999999993</v>
      </c>
      <c r="AH134" s="88">
        <f t="shared" si="487"/>
        <v>59.73534971644613</v>
      </c>
      <c r="AI134" s="88">
        <f t="shared" si="487"/>
        <v>61.508646392367325</v>
      </c>
      <c r="AJ134" s="91">
        <f t="shared" si="487"/>
        <v>61.459428848798645</v>
      </c>
      <c r="AK134" s="88">
        <f t="shared" si="487"/>
        <v>64.302884615384613</v>
      </c>
      <c r="AL134" s="88">
        <f t="shared" si="487"/>
        <v>63.222060957910017</v>
      </c>
      <c r="AM134" s="88">
        <f t="shared" si="487"/>
        <v>59.941520467836263</v>
      </c>
      <c r="AN134" s="88">
        <f t="shared" si="487"/>
        <v>61.974358974358964</v>
      </c>
      <c r="AO134" s="91">
        <f t="shared" si="487"/>
        <v>62.279182542431585</v>
      </c>
      <c r="AP134" s="88">
        <f t="shared" si="487"/>
        <v>63.899303695768616</v>
      </c>
      <c r="AQ134" s="88">
        <f t="shared" si="487"/>
        <v>62.387445330589145</v>
      </c>
      <c r="AR134" s="88">
        <f t="shared" si="487"/>
        <v>60.251542477456098</v>
      </c>
      <c r="AS134" s="88">
        <f t="shared" si="487"/>
        <v>60.895522388059696</v>
      </c>
      <c r="AT134" s="91">
        <f t="shared" si="487"/>
        <v>61.778875849289683</v>
      </c>
      <c r="AU134" s="88">
        <f t="shared" ref="AU134:AV134" si="488">(AU87/AU$86)*100</f>
        <v>63.094376055998055</v>
      </c>
      <c r="AV134" s="88">
        <f t="shared" si="488"/>
        <v>62.673611111111107</v>
      </c>
      <c r="AW134" s="88">
        <f t="shared" ref="AW134:AX134" si="489">(AW87/AW$86)*100</f>
        <v>59.544419134396357</v>
      </c>
      <c r="AX134" s="88">
        <f t="shared" si="489"/>
        <v>60.885852798589688</v>
      </c>
      <c r="AY134" s="91">
        <f t="shared" ref="AY134:AZ134" si="490">(AY87/AY$86)*100</f>
        <v>61.497982810033328</v>
      </c>
      <c r="AZ134" s="88">
        <f t="shared" si="490"/>
        <v>62.646167171935907</v>
      </c>
      <c r="BA134" s="88">
        <f t="shared" ref="BA134:BD134" si="491">(BA87/BA$86)*100</f>
        <v>62.249505587862998</v>
      </c>
      <c r="BB134" s="88">
        <f t="shared" si="491"/>
        <v>60.283372842827276</v>
      </c>
      <c r="BC134" s="88">
        <f t="shared" si="491"/>
        <v>61.164788774266434</v>
      </c>
      <c r="BD134" s="91">
        <f t="shared" si="491"/>
        <v>61.529669442011873</v>
      </c>
      <c r="BE134" s="88">
        <f t="shared" ref="BE134:BI134" si="492">(BE87/BE$86)*100</f>
        <v>62.837712384274013</v>
      </c>
      <c r="BF134" s="88">
        <f t="shared" si="492"/>
        <v>62.259322446990005</v>
      </c>
      <c r="BG134" s="88">
        <f t="shared" si="492"/>
        <v>59.685611699798578</v>
      </c>
      <c r="BH134" s="88">
        <f t="shared" si="492"/>
        <v>60.094569868102475</v>
      </c>
      <c r="BI134" s="91">
        <f t="shared" si="492"/>
        <v>61.155929003201322</v>
      </c>
    </row>
    <row r="135" spans="1:63" x14ac:dyDescent="0.2">
      <c r="A135" s="87" t="s">
        <v>47</v>
      </c>
      <c r="B135" s="88">
        <f t="shared" ref="B135:AS135" si="493">(B88/B$86)*100</f>
        <v>38.596491228070171</v>
      </c>
      <c r="C135" s="88">
        <f t="shared" si="493"/>
        <v>40</v>
      </c>
      <c r="D135" s="88">
        <f t="shared" si="493"/>
        <v>39.879759519038075</v>
      </c>
      <c r="E135" s="88">
        <f t="shared" si="493"/>
        <v>39.271255060728741</v>
      </c>
      <c r="F135" s="91">
        <f t="shared" si="493"/>
        <v>39.450492483151898</v>
      </c>
      <c r="G135" s="88">
        <f t="shared" si="493"/>
        <v>37.832310838445807</v>
      </c>
      <c r="H135" s="88">
        <f t="shared" si="493"/>
        <v>38.521400778210122</v>
      </c>
      <c r="I135" s="88">
        <f t="shared" si="493"/>
        <v>36.891385767790261</v>
      </c>
      <c r="J135" s="88">
        <f t="shared" si="493"/>
        <v>36.19744058500914</v>
      </c>
      <c r="K135" s="91">
        <f t="shared" si="493"/>
        <v>37.332053742802302</v>
      </c>
      <c r="L135" s="88">
        <f t="shared" si="493"/>
        <v>35.779816513761467</v>
      </c>
      <c r="M135" s="88">
        <f t="shared" si="493"/>
        <v>36.379613356766257</v>
      </c>
      <c r="N135" s="88">
        <f t="shared" si="493"/>
        <v>34.835355285961874</v>
      </c>
      <c r="O135" s="88">
        <f t="shared" si="493"/>
        <v>34.175084175084173</v>
      </c>
      <c r="P135" s="91">
        <f t="shared" si="493"/>
        <v>35.273522975929978</v>
      </c>
      <c r="Q135" s="88">
        <f t="shared" si="493"/>
        <v>32.854578096947932</v>
      </c>
      <c r="R135" s="88">
        <f t="shared" si="493"/>
        <v>34.348561759729272</v>
      </c>
      <c r="S135" s="88">
        <f t="shared" si="493"/>
        <v>33.768352365415986</v>
      </c>
      <c r="T135" s="88">
        <f t="shared" si="493"/>
        <v>34.49920508744038</v>
      </c>
      <c r="U135" s="91">
        <f t="shared" si="493"/>
        <v>33.89121338912134</v>
      </c>
      <c r="V135" s="88">
        <f t="shared" si="493"/>
        <v>34.76112026359143</v>
      </c>
      <c r="W135" s="88">
        <f t="shared" si="493"/>
        <v>35.813148788927336</v>
      </c>
      <c r="X135" s="88">
        <f t="shared" si="493"/>
        <v>36.240310077519375</v>
      </c>
      <c r="Y135" s="88">
        <f t="shared" si="493"/>
        <v>39.570552147239262</v>
      </c>
      <c r="Z135" s="91">
        <f t="shared" si="493"/>
        <v>36.676583085422862</v>
      </c>
      <c r="AA135" s="88">
        <f t="shared" si="493"/>
        <v>34.915773353751916</v>
      </c>
      <c r="AB135" s="88">
        <f t="shared" si="493"/>
        <v>35.235378031383732</v>
      </c>
      <c r="AC135" s="88">
        <f t="shared" si="493"/>
        <v>32.702020202020208</v>
      </c>
      <c r="AD135" s="88">
        <f t="shared" si="493"/>
        <v>29.461077844311379</v>
      </c>
      <c r="AE135" s="91">
        <f t="shared" si="493"/>
        <v>32.874874203287483</v>
      </c>
      <c r="AF135" s="88">
        <f t="shared" si="493"/>
        <v>39.053254437869825</v>
      </c>
      <c r="AG135" s="88">
        <f t="shared" si="493"/>
        <v>36.250000000000007</v>
      </c>
      <c r="AH135" s="88">
        <f t="shared" si="493"/>
        <v>40.26465028355387</v>
      </c>
      <c r="AI135" s="88">
        <f t="shared" si="493"/>
        <v>38.491353607632675</v>
      </c>
      <c r="AJ135" s="91">
        <f t="shared" si="493"/>
        <v>38.540571151201355</v>
      </c>
      <c r="AK135" s="88">
        <f t="shared" si="493"/>
        <v>35.697115384615387</v>
      </c>
      <c r="AL135" s="88">
        <f t="shared" si="493"/>
        <v>36.777939042089983</v>
      </c>
      <c r="AM135" s="88">
        <f t="shared" si="493"/>
        <v>40.058479532163744</v>
      </c>
      <c r="AN135" s="88">
        <f t="shared" si="493"/>
        <v>38.025641025641029</v>
      </c>
      <c r="AO135" s="91">
        <f t="shared" ref="AO135:AO140" si="494">(AO88/AO$86)*100</f>
        <v>37.720817457568415</v>
      </c>
      <c r="AP135" s="88">
        <f t="shared" si="493"/>
        <v>36.100696304231384</v>
      </c>
      <c r="AQ135" s="88">
        <f t="shared" si="493"/>
        <v>37.612554669410855</v>
      </c>
      <c r="AR135" s="88">
        <f t="shared" si="493"/>
        <v>39.748457522543895</v>
      </c>
      <c r="AS135" s="88">
        <f t="shared" si="493"/>
        <v>39.104477611940304</v>
      </c>
      <c r="AT135" s="91">
        <f t="shared" ref="AT135:AU140" si="495">(AT88/AT$86)*100</f>
        <v>38.22112415071031</v>
      </c>
      <c r="AU135" s="88">
        <f t="shared" si="495"/>
        <v>36.905623944001938</v>
      </c>
      <c r="AV135" s="88">
        <f t="shared" ref="AV135:AW135" si="496">(AV88/AV$86)*100</f>
        <v>37.326388888888893</v>
      </c>
      <c r="AW135" s="88">
        <f t="shared" si="496"/>
        <v>40.45558086560365</v>
      </c>
      <c r="AX135" s="88">
        <f t="shared" ref="AX135" si="497">(AX88/AX$86)*100</f>
        <v>39.114147201410312</v>
      </c>
      <c r="AY135" s="91">
        <f t="shared" ref="AY135:BC135" si="498">(AY88/AY$86)*100</f>
        <v>38.502017189966672</v>
      </c>
      <c r="AZ135" s="88">
        <f t="shared" si="498"/>
        <v>37.3538328280641</v>
      </c>
      <c r="BA135" s="88">
        <f t="shared" si="498"/>
        <v>37.750494412137009</v>
      </c>
      <c r="BB135" s="88">
        <f t="shared" si="498"/>
        <v>39.716627157172717</v>
      </c>
      <c r="BC135" s="88">
        <f t="shared" si="498"/>
        <v>38.835211225733573</v>
      </c>
      <c r="BD135" s="91">
        <f t="shared" ref="BD135:BH135" si="499">(BD88/BD$86)*100</f>
        <v>38.470330557988127</v>
      </c>
      <c r="BE135" s="88">
        <f t="shared" si="499"/>
        <v>37.162287615725987</v>
      </c>
      <c r="BF135" s="88">
        <f t="shared" si="499"/>
        <v>37.740677553010002</v>
      </c>
      <c r="BG135" s="88">
        <f t="shared" si="499"/>
        <v>40.314388300201422</v>
      </c>
      <c r="BH135" s="88">
        <f t="shared" si="499"/>
        <v>39.905430131897532</v>
      </c>
      <c r="BI135" s="91">
        <f t="shared" ref="BI135" si="500">(BI88/BI$86)*100</f>
        <v>38.844070996798678</v>
      </c>
    </row>
    <row r="136" spans="1:63" x14ac:dyDescent="0.2">
      <c r="A136" s="90" t="s">
        <v>106</v>
      </c>
      <c r="B136" s="88">
        <f t="shared" ref="B136:AS136" si="501">(B89/B$86)*100</f>
        <v>19.078947368421055</v>
      </c>
      <c r="C136" s="88">
        <f t="shared" si="501"/>
        <v>19.375</v>
      </c>
      <c r="D136" s="88">
        <f t="shared" si="501"/>
        <v>18.637274549098194</v>
      </c>
      <c r="E136" s="88">
        <f t="shared" si="501"/>
        <v>18.623481781376519</v>
      </c>
      <c r="F136" s="91">
        <f t="shared" si="501"/>
        <v>18.921721099015034</v>
      </c>
      <c r="G136" s="88">
        <f t="shared" si="501"/>
        <v>19.427402862985684</v>
      </c>
      <c r="H136" s="88">
        <f t="shared" si="501"/>
        <v>18.8715953307393</v>
      </c>
      <c r="I136" s="88">
        <f t="shared" si="501"/>
        <v>18.726591760299627</v>
      </c>
      <c r="J136" s="88">
        <f t="shared" si="501"/>
        <v>15.173674588665447</v>
      </c>
      <c r="K136" s="91">
        <f t="shared" si="501"/>
        <v>17.994241842610364</v>
      </c>
      <c r="L136" s="88">
        <f t="shared" si="501"/>
        <v>19.63302752293578</v>
      </c>
      <c r="M136" s="88">
        <f t="shared" si="501"/>
        <v>19.507908611599298</v>
      </c>
      <c r="N136" s="88">
        <f t="shared" si="501"/>
        <v>19.064124783362217</v>
      </c>
      <c r="O136" s="88">
        <f t="shared" si="501"/>
        <v>17.171717171717169</v>
      </c>
      <c r="P136" s="91">
        <f t="shared" si="501"/>
        <v>18.818380743982495</v>
      </c>
      <c r="Q136" s="88">
        <f t="shared" si="501"/>
        <v>18.850987432675044</v>
      </c>
      <c r="R136" s="88">
        <f t="shared" si="501"/>
        <v>19.120135363790187</v>
      </c>
      <c r="S136" s="88">
        <f t="shared" si="501"/>
        <v>18.923327895595431</v>
      </c>
      <c r="T136" s="88">
        <f t="shared" si="501"/>
        <v>18.282988871224166</v>
      </c>
      <c r="U136" s="91">
        <f t="shared" si="501"/>
        <v>18.78661087866109</v>
      </c>
      <c r="V136" s="88">
        <f t="shared" si="501"/>
        <v>19.275123558484349</v>
      </c>
      <c r="W136" s="88">
        <f t="shared" si="501"/>
        <v>16.608996539792386</v>
      </c>
      <c r="X136" s="88">
        <f t="shared" si="501"/>
        <v>20.54263565891473</v>
      </c>
      <c r="Y136" s="88">
        <f t="shared" si="501"/>
        <v>18.865030674846626</v>
      </c>
      <c r="Z136" s="91">
        <f t="shared" si="501"/>
        <v>18.784530386740332</v>
      </c>
      <c r="AA136" s="88">
        <f t="shared" si="501"/>
        <v>17.917304747320063</v>
      </c>
      <c r="AB136" s="88">
        <f t="shared" si="501"/>
        <v>18.40228245363766</v>
      </c>
      <c r="AC136" s="88">
        <f t="shared" si="501"/>
        <v>17.171717171717169</v>
      </c>
      <c r="AD136" s="88">
        <f t="shared" si="501"/>
        <v>16.526946107784433</v>
      </c>
      <c r="AE136" s="91">
        <f t="shared" si="501"/>
        <v>17.44381080174438</v>
      </c>
      <c r="AF136" s="88">
        <f t="shared" si="501"/>
        <v>20.953706926557604</v>
      </c>
      <c r="AG136" s="88">
        <f t="shared" si="501"/>
        <v>21.351351351351351</v>
      </c>
      <c r="AH136" s="88">
        <f t="shared" si="501"/>
        <v>18.651543793320734</v>
      </c>
      <c r="AI136" s="88">
        <f t="shared" si="501"/>
        <v>18.515205724508053</v>
      </c>
      <c r="AJ136" s="91">
        <f t="shared" si="501"/>
        <v>19.796132998948305</v>
      </c>
      <c r="AK136" s="88">
        <f t="shared" si="501"/>
        <v>19.831730769230766</v>
      </c>
      <c r="AL136" s="88">
        <f t="shared" si="501"/>
        <v>18.171262699564586</v>
      </c>
      <c r="AM136" s="88">
        <f t="shared" si="501"/>
        <v>17.437533227006909</v>
      </c>
      <c r="AN136" s="88">
        <f t="shared" si="501"/>
        <v>18.025641025641026</v>
      </c>
      <c r="AO136" s="91">
        <f t="shared" si="494"/>
        <v>18.323519224108072</v>
      </c>
      <c r="AP136" s="88">
        <f t="shared" si="501"/>
        <v>19.951794322442424</v>
      </c>
      <c r="AQ136" s="88">
        <f t="shared" si="501"/>
        <v>18.600463082068433</v>
      </c>
      <c r="AR136" s="88">
        <f t="shared" si="501"/>
        <v>18.319886093972475</v>
      </c>
      <c r="AS136" s="88">
        <f t="shared" si="501"/>
        <v>18.622273249138917</v>
      </c>
      <c r="AT136" s="91">
        <f t="shared" si="495"/>
        <v>18.844966028412603</v>
      </c>
      <c r="AU136" s="88">
        <f t="shared" ref="AU136:AZ136" si="502">(AU89/AU$86)*100</f>
        <v>19.985517740767559</v>
      </c>
      <c r="AV136" s="88">
        <f t="shared" si="502"/>
        <v>21.403769841269842</v>
      </c>
      <c r="AW136" s="88">
        <f t="shared" si="502"/>
        <v>19.47608200455581</v>
      </c>
      <c r="AX136" s="88">
        <f t="shared" si="502"/>
        <v>21.000440722785367</v>
      </c>
      <c r="AY136" s="91">
        <f t="shared" si="502"/>
        <v>20.458399111267028</v>
      </c>
      <c r="AZ136" s="88">
        <f t="shared" si="502"/>
        <v>23.126894759636205</v>
      </c>
      <c r="BA136" s="179">
        <v>21.1</v>
      </c>
      <c r="BB136" s="179">
        <v>20</v>
      </c>
      <c r="BC136" s="179">
        <v>19.5</v>
      </c>
      <c r="BD136" s="91">
        <f>(BD89/BD$86)*100</f>
        <v>20.831174779895413</v>
      </c>
      <c r="BE136" s="179">
        <v>20.8</v>
      </c>
      <c r="BF136" s="179">
        <v>20.5</v>
      </c>
      <c r="BG136" s="179">
        <v>19.3</v>
      </c>
      <c r="BH136" s="179">
        <v>19.100000000000001</v>
      </c>
      <c r="BI136" s="91">
        <f>(BI89/BI$86)*100</f>
        <v>19.889116236088164</v>
      </c>
    </row>
    <row r="137" spans="1:63" x14ac:dyDescent="0.2">
      <c r="A137" s="90" t="s">
        <v>115</v>
      </c>
      <c r="B137" s="88">
        <f t="shared" ref="B137:AL137" si="503">(B90/B$86)*100</f>
        <v>-1.0964912280701753</v>
      </c>
      <c r="C137" s="88">
        <f t="shared" si="503"/>
        <v>-1.0416666666666665</v>
      </c>
      <c r="D137" s="88">
        <f t="shared" si="503"/>
        <v>-1.002004008016032</v>
      </c>
      <c r="E137" s="88">
        <f t="shared" si="503"/>
        <v>0.60728744939271251</v>
      </c>
      <c r="F137" s="91">
        <f t="shared" si="503"/>
        <v>-0.62208398133748055</v>
      </c>
      <c r="G137" s="88">
        <f t="shared" si="503"/>
        <v>-0.81799591002045002</v>
      </c>
      <c r="H137" s="88">
        <f t="shared" si="503"/>
        <v>0.19455252918287938</v>
      </c>
      <c r="I137" s="88">
        <f t="shared" si="503"/>
        <v>1.8726591760299627</v>
      </c>
      <c r="J137" s="88">
        <f t="shared" si="503"/>
        <v>0</v>
      </c>
      <c r="K137" s="91">
        <f t="shared" si="503"/>
        <v>0.33589251439539347</v>
      </c>
      <c r="L137" s="88">
        <f t="shared" si="503"/>
        <v>0</v>
      </c>
      <c r="M137" s="88">
        <f t="shared" si="503"/>
        <v>-0.70298769771528991</v>
      </c>
      <c r="N137" s="88">
        <f t="shared" si="503"/>
        <v>-1.9064124783362217</v>
      </c>
      <c r="O137" s="88">
        <f t="shared" si="503"/>
        <v>-0.67340067340067333</v>
      </c>
      <c r="P137" s="91">
        <f t="shared" si="503"/>
        <v>-0.83150984682713347</v>
      </c>
      <c r="Q137" s="88">
        <f t="shared" si="503"/>
        <v>-1.6157989228007179</v>
      </c>
      <c r="R137" s="88">
        <f t="shared" si="503"/>
        <v>-1.015228426395939</v>
      </c>
      <c r="S137" s="88">
        <f t="shared" si="503"/>
        <v>-1.794453507340946</v>
      </c>
      <c r="T137" s="88">
        <f t="shared" si="503"/>
        <v>-1.7488076311605723</v>
      </c>
      <c r="U137" s="91">
        <f t="shared" si="503"/>
        <v>-1.5481171548117154</v>
      </c>
      <c r="V137" s="88">
        <f t="shared" si="503"/>
        <v>-1.6474464579901154</v>
      </c>
      <c r="W137" s="88">
        <f t="shared" si="503"/>
        <v>-1.0380622837370241</v>
      </c>
      <c r="X137" s="88">
        <f t="shared" si="503"/>
        <v>-1.3565891472868217</v>
      </c>
      <c r="Y137" s="88">
        <f t="shared" si="503"/>
        <v>-6.2883435582822083</v>
      </c>
      <c r="Z137" s="91">
        <f t="shared" si="503"/>
        <v>-2.7199320016999575</v>
      </c>
      <c r="AA137" s="88">
        <f t="shared" si="503"/>
        <v>-1.9908116385911179</v>
      </c>
      <c r="AB137" s="88">
        <f t="shared" si="503"/>
        <v>-1.8544935805991443</v>
      </c>
      <c r="AC137" s="88">
        <f t="shared" si="503"/>
        <v>-1.0101010101010102</v>
      </c>
      <c r="AD137" s="88">
        <f t="shared" si="503"/>
        <v>-4.0718562874251498</v>
      </c>
      <c r="AE137" s="91">
        <f t="shared" si="503"/>
        <v>-2.2811137202281113</v>
      </c>
      <c r="AF137" s="88">
        <f t="shared" si="503"/>
        <v>0</v>
      </c>
      <c r="AG137" s="88">
        <f t="shared" si="503"/>
        <v>1.3851351351351351</v>
      </c>
      <c r="AH137" s="88">
        <f t="shared" si="503"/>
        <v>2.3629489603024574</v>
      </c>
      <c r="AI137" s="88">
        <f t="shared" si="503"/>
        <v>-5.9630292188431709E-2</v>
      </c>
      <c r="AJ137" s="91">
        <f t="shared" si="503"/>
        <v>0.92225548094814336</v>
      </c>
      <c r="AK137" s="88">
        <f t="shared" si="503"/>
        <v>7.0612980769230766</v>
      </c>
      <c r="AL137" s="88">
        <f t="shared" si="503"/>
        <v>0.84179970972423812</v>
      </c>
      <c r="AM137" s="88">
        <f t="shared" ref="AM137:AN140" si="504">(AM90/AM$86)*100</f>
        <v>-0.37214247740563527</v>
      </c>
      <c r="AN137" s="88">
        <f t="shared" si="504"/>
        <v>2</v>
      </c>
      <c r="AO137" s="91">
        <f t="shared" si="494"/>
        <v>2.2722549359196398</v>
      </c>
      <c r="AP137" s="88">
        <f t="shared" ref="AP137:AS140" si="505">(AP90/AP$86)*100</f>
        <v>-0.66952329941081956</v>
      </c>
      <c r="AQ137" s="88">
        <f t="shared" si="505"/>
        <v>-0.64316953949060973</v>
      </c>
      <c r="AR137" s="88">
        <f t="shared" si="505"/>
        <v>-0.7356430944470812</v>
      </c>
      <c r="AS137" s="88">
        <f t="shared" si="505"/>
        <v>-10.4247990815155</v>
      </c>
      <c r="AT137" s="91">
        <f t="shared" si="495"/>
        <v>-3.3045089561457694</v>
      </c>
      <c r="AU137" s="88">
        <f t="shared" si="495"/>
        <v>-17.789041757180783</v>
      </c>
      <c r="AV137" s="88">
        <f t="shared" ref="AV137:AW137" si="506">(AV90/AV$86)*100</f>
        <v>-0.66964285714285721</v>
      </c>
      <c r="AW137" s="88">
        <f t="shared" si="506"/>
        <v>-0.59225512528473812</v>
      </c>
      <c r="AX137" s="88">
        <f t="shared" ref="AX137" si="507">(AX90/AX$86)*100</f>
        <v>-0.50683120317320407</v>
      </c>
      <c r="AY137" s="91">
        <f t="shared" ref="AY137:BC137" si="508">(AY90/AY$86)*100</f>
        <v>-4.7535520084195744</v>
      </c>
      <c r="AZ137" s="88">
        <f t="shared" si="508"/>
        <v>10.264183629276744</v>
      </c>
      <c r="BA137" s="88">
        <f t="shared" si="508"/>
        <v>-0.98868740258691978</v>
      </c>
      <c r="BB137" s="88">
        <f t="shared" si="508"/>
        <v>-0.9229016426931842</v>
      </c>
      <c r="BC137" s="88">
        <f t="shared" si="508"/>
        <v>-0.89243694426965825</v>
      </c>
      <c r="BD137" s="91">
        <f t="shared" ref="BD137:BH137" si="509">(BD90/BD$86)*100</f>
        <v>1.5655545280781704</v>
      </c>
      <c r="BE137" s="88">
        <f t="shared" si="509"/>
        <v>-0.93419430303500139</v>
      </c>
      <c r="BF137" s="88">
        <f t="shared" si="509"/>
        <v>-0.90639320631384601</v>
      </c>
      <c r="BG137" s="88">
        <f t="shared" si="509"/>
        <v>-0.84779821843394676</v>
      </c>
      <c r="BH137" s="88">
        <f t="shared" si="509"/>
        <v>-0.82704303527180267</v>
      </c>
      <c r="BI137" s="91">
        <f t="shared" ref="BI137" si="510">(BI90/BI$86)*100</f>
        <v>-0.87673770687491415</v>
      </c>
    </row>
    <row r="138" spans="1:63" x14ac:dyDescent="0.2">
      <c r="A138" s="12" t="s">
        <v>113</v>
      </c>
      <c r="B138" s="88">
        <f t="shared" ref="B138:AL138" si="511">(B91/B$86)*100</f>
        <v>20.614035087719298</v>
      </c>
      <c r="C138" s="88">
        <f t="shared" si="511"/>
        <v>21.666666666666668</v>
      </c>
      <c r="D138" s="88">
        <f t="shared" si="511"/>
        <v>22.244488977955911</v>
      </c>
      <c r="E138" s="88">
        <f t="shared" si="511"/>
        <v>20.040485829959515</v>
      </c>
      <c r="F138" s="91">
        <f t="shared" si="511"/>
        <v>21.150855365474339</v>
      </c>
      <c r="G138" s="88">
        <f t="shared" si="511"/>
        <v>19.222903885480573</v>
      </c>
      <c r="H138" s="88">
        <f t="shared" si="511"/>
        <v>19.45525291828794</v>
      </c>
      <c r="I138" s="88">
        <f t="shared" si="511"/>
        <v>16.292134831460675</v>
      </c>
      <c r="J138" s="88">
        <f t="shared" si="511"/>
        <v>21.023765996343695</v>
      </c>
      <c r="K138" s="91">
        <f t="shared" si="511"/>
        <v>19.001919385796544</v>
      </c>
      <c r="L138" s="88">
        <f t="shared" si="511"/>
        <v>16.146788990825691</v>
      </c>
      <c r="M138" s="88">
        <f t="shared" si="511"/>
        <v>17.574692442882249</v>
      </c>
      <c r="N138" s="88">
        <f t="shared" si="511"/>
        <v>17.677642980935875</v>
      </c>
      <c r="O138" s="88">
        <f t="shared" si="511"/>
        <v>17.676767676767678</v>
      </c>
      <c r="P138" s="91">
        <f t="shared" si="511"/>
        <v>17.286652078774615</v>
      </c>
      <c r="Q138" s="88">
        <f t="shared" si="511"/>
        <v>15.619389587073609</v>
      </c>
      <c r="R138" s="88">
        <f t="shared" si="511"/>
        <v>16.243654822335024</v>
      </c>
      <c r="S138" s="88">
        <f t="shared" si="511"/>
        <v>16.639477977161501</v>
      </c>
      <c r="T138" s="88">
        <f t="shared" si="511"/>
        <v>17.965023847376788</v>
      </c>
      <c r="U138" s="91">
        <f t="shared" si="511"/>
        <v>16.652719665271967</v>
      </c>
      <c r="V138" s="88">
        <f t="shared" si="511"/>
        <v>17.133443163097201</v>
      </c>
      <c r="W138" s="88">
        <f t="shared" si="511"/>
        <v>20.242214532871973</v>
      </c>
      <c r="X138" s="88">
        <f t="shared" si="511"/>
        <v>17.054263565891471</v>
      </c>
      <c r="Y138" s="88">
        <f t="shared" si="511"/>
        <v>26.993865030674847</v>
      </c>
      <c r="Z138" s="91">
        <f t="shared" si="511"/>
        <v>20.611984700382489</v>
      </c>
      <c r="AA138" s="88">
        <f t="shared" si="511"/>
        <v>18.989280245022972</v>
      </c>
      <c r="AB138" s="88">
        <f t="shared" si="511"/>
        <v>18.687589158345222</v>
      </c>
      <c r="AC138" s="88">
        <f t="shared" si="511"/>
        <v>16.540404040404042</v>
      </c>
      <c r="AD138" s="88">
        <f t="shared" si="511"/>
        <v>17.005988023952096</v>
      </c>
      <c r="AE138" s="91">
        <f t="shared" si="511"/>
        <v>17.712177121771216</v>
      </c>
      <c r="AF138" s="88">
        <f t="shared" si="511"/>
        <v>18.099547511312224</v>
      </c>
      <c r="AG138" s="88">
        <f t="shared" si="511"/>
        <v>13.513513513513518</v>
      </c>
      <c r="AH138" s="88">
        <f t="shared" si="511"/>
        <v>19.250157529930682</v>
      </c>
      <c r="AI138" s="88">
        <f t="shared" si="511"/>
        <v>20.035778175313048</v>
      </c>
      <c r="AJ138" s="91">
        <f t="shared" si="511"/>
        <v>17.822182671304898</v>
      </c>
      <c r="AK138" s="88">
        <f t="shared" si="511"/>
        <v>8.8040865384615419</v>
      </c>
      <c r="AL138" s="88">
        <f t="shared" si="511"/>
        <v>17.764876632801158</v>
      </c>
      <c r="AM138" s="88">
        <f t="shared" si="504"/>
        <v>22.993088782562467</v>
      </c>
      <c r="AN138" s="88">
        <f t="shared" si="504"/>
        <v>18.000000000000004</v>
      </c>
      <c r="AO138" s="91">
        <f t="shared" si="494"/>
        <v>17.125043297540699</v>
      </c>
      <c r="AP138" s="88">
        <f t="shared" si="505"/>
        <v>16.818425281199779</v>
      </c>
      <c r="AQ138" s="88">
        <f t="shared" si="505"/>
        <v>19.655261126833032</v>
      </c>
      <c r="AR138" s="88">
        <f t="shared" si="505"/>
        <v>22.164214523018501</v>
      </c>
      <c r="AS138" s="88">
        <f>(AS91/AS$86)*100</f>
        <v>30.907003444316882</v>
      </c>
      <c r="AT138" s="91">
        <f t="shared" si="495"/>
        <v>22.680667078443477</v>
      </c>
      <c r="AU138" s="88">
        <f t="shared" si="495"/>
        <v>34.709147960415159</v>
      </c>
      <c r="AV138" s="88">
        <f t="shared" ref="AV138:AW138" si="512">(AV91/AV$86)*100</f>
        <v>16.592261904761905</v>
      </c>
      <c r="AW138" s="88">
        <f t="shared" si="512"/>
        <v>21.571753986332578</v>
      </c>
      <c r="AX138" s="88">
        <f t="shared" ref="AX138" si="513">(AX91/AX$86)*100</f>
        <v>18.620537681798151</v>
      </c>
      <c r="AY138" s="91">
        <f t="shared" ref="AY138:BC138" si="514">(AY91/AY$86)*100</f>
        <v>22.797170087119216</v>
      </c>
      <c r="AZ138" s="88">
        <f t="shared" si="514"/>
        <v>3.9627544391511496</v>
      </c>
      <c r="BA138" s="88">
        <f t="shared" si="514"/>
        <v>17.639181814723926</v>
      </c>
      <c r="BB138" s="88">
        <f t="shared" si="514"/>
        <v>20.639528799865904</v>
      </c>
      <c r="BC138" s="88">
        <f t="shared" si="514"/>
        <v>20.227648170003228</v>
      </c>
      <c r="BD138" s="91">
        <f t="shared" ref="BD138:BH138" si="515">(BD91/BD$86)*100</f>
        <v>16.073601250014551</v>
      </c>
      <c r="BE138" s="88">
        <f t="shared" si="515"/>
        <v>17.296481918760986</v>
      </c>
      <c r="BF138" s="88">
        <f t="shared" si="515"/>
        <v>18.147070759323842</v>
      </c>
      <c r="BG138" s="88">
        <f t="shared" si="515"/>
        <v>21.862186518635362</v>
      </c>
      <c r="BH138" s="88">
        <f t="shared" si="515"/>
        <v>21.632473167169334</v>
      </c>
      <c r="BI138" s="91">
        <f t="shared" ref="BI138" si="516">(BI91/BI$86)*100</f>
        <v>19.83169246758543</v>
      </c>
    </row>
    <row r="139" spans="1:63" x14ac:dyDescent="0.2">
      <c r="A139" s="12" t="s">
        <v>134</v>
      </c>
      <c r="B139" s="88">
        <f t="shared" ref="B139:AL139" si="517">(B92/B$86)*100</f>
        <v>-0.43859649122807015</v>
      </c>
      <c r="C139" s="88">
        <f t="shared" si="517"/>
        <v>0.20833333333333334</v>
      </c>
      <c r="D139" s="88">
        <f t="shared" si="517"/>
        <v>-0.40080160320641278</v>
      </c>
      <c r="E139" s="88">
        <f t="shared" si="517"/>
        <v>-3.8461538461538463</v>
      </c>
      <c r="F139" s="91">
        <f t="shared" si="517"/>
        <v>-1.1404872991187145</v>
      </c>
      <c r="G139" s="88">
        <f t="shared" si="517"/>
        <v>-5.3169734151329244</v>
      </c>
      <c r="H139" s="88">
        <f t="shared" si="517"/>
        <v>-3.3073929961089497</v>
      </c>
      <c r="I139" s="88">
        <f t="shared" si="517"/>
        <v>-3.1835205992509366</v>
      </c>
      <c r="J139" s="88">
        <f t="shared" si="517"/>
        <v>-13.893967093235831</v>
      </c>
      <c r="K139" s="91">
        <f t="shared" si="517"/>
        <v>-6.525911708253358</v>
      </c>
      <c r="L139" s="88">
        <f t="shared" si="517"/>
        <v>-1.834862385321101</v>
      </c>
      <c r="M139" s="88">
        <f t="shared" si="517"/>
        <v>-1.7574692442882252</v>
      </c>
      <c r="N139" s="88">
        <f t="shared" si="517"/>
        <v>-1.733102253032929</v>
      </c>
      <c r="O139" s="88">
        <f t="shared" si="517"/>
        <v>5.0505050505050502</v>
      </c>
      <c r="P139" s="91">
        <f t="shared" si="517"/>
        <v>0</v>
      </c>
      <c r="Q139" s="88">
        <f t="shared" si="517"/>
        <v>-0.35906642728904847</v>
      </c>
      <c r="R139" s="88">
        <f t="shared" si="517"/>
        <v>-0.50761421319796951</v>
      </c>
      <c r="S139" s="88">
        <f t="shared" si="517"/>
        <v>-0.32626427406199021</v>
      </c>
      <c r="T139" s="88">
        <f t="shared" si="517"/>
        <v>10.651828298887123</v>
      </c>
      <c r="U139" s="91">
        <f t="shared" si="517"/>
        <v>2.510460251046025</v>
      </c>
      <c r="V139" s="88">
        <f t="shared" si="517"/>
        <v>-1.4827018121911038</v>
      </c>
      <c r="W139" s="88">
        <f t="shared" si="517"/>
        <v>-1.5570934256055362</v>
      </c>
      <c r="X139" s="88">
        <f t="shared" si="517"/>
        <v>-1.7441860465116279</v>
      </c>
      <c r="Y139" s="88">
        <f t="shared" si="517"/>
        <v>-4.9079754601226995</v>
      </c>
      <c r="Z139" s="91">
        <f t="shared" si="517"/>
        <v>-2.5074373140671482</v>
      </c>
      <c r="AA139" s="88">
        <f t="shared" si="517"/>
        <v>-1.9908116385911179</v>
      </c>
      <c r="AB139" s="88">
        <f t="shared" si="517"/>
        <v>-1.9971469329529243</v>
      </c>
      <c r="AC139" s="88">
        <f t="shared" si="517"/>
        <v>-1.7676767676767675</v>
      </c>
      <c r="AD139" s="88">
        <f t="shared" si="517"/>
        <v>-10.179640718562874</v>
      </c>
      <c r="AE139" s="91">
        <f t="shared" si="517"/>
        <v>-4.2267695404226773</v>
      </c>
      <c r="AF139" s="88">
        <f t="shared" si="517"/>
        <v>-3.2370344587539157</v>
      </c>
      <c r="AG139" s="88">
        <f t="shared" si="517"/>
        <v>-3.1081081081081079</v>
      </c>
      <c r="AH139" s="88">
        <f t="shared" si="517"/>
        <v>-2.8985507246376812</v>
      </c>
      <c r="AI139" s="88">
        <f t="shared" si="517"/>
        <v>10.316040548598689</v>
      </c>
      <c r="AJ139" s="91">
        <f t="shared" si="517"/>
        <v>0.55820726478440275</v>
      </c>
      <c r="AK139" s="88">
        <f t="shared" si="517"/>
        <v>1.1117788461538463</v>
      </c>
      <c r="AL139" s="88">
        <f t="shared" si="517"/>
        <v>1.0449927431059507</v>
      </c>
      <c r="AM139" s="88">
        <f t="shared" si="504"/>
        <v>0.98351940457203613</v>
      </c>
      <c r="AN139" s="88">
        <f t="shared" si="504"/>
        <v>-9.8974358974358978</v>
      </c>
      <c r="AO139" s="91">
        <f t="shared" si="494"/>
        <v>-1.9120193972982333</v>
      </c>
      <c r="AP139" s="88">
        <f t="shared" si="505"/>
        <v>0.91055168719871449</v>
      </c>
      <c r="AQ139" s="88">
        <f t="shared" si="505"/>
        <v>0.92616413686647803</v>
      </c>
      <c r="AR139" s="88">
        <f t="shared" si="505"/>
        <v>0.80683436165163747</v>
      </c>
      <c r="AS139" s="88">
        <f t="shared" si="505"/>
        <v>0.29850746268656719</v>
      </c>
      <c r="AT139" s="91">
        <f t="shared" si="495"/>
        <v>0.72266831377393459</v>
      </c>
      <c r="AU139" s="88">
        <f t="shared" si="495"/>
        <v>-0.21723388848660391</v>
      </c>
      <c r="AV139" s="88">
        <f t="shared" ref="AV139:AW139" si="518">(AV92/AV$86)*100</f>
        <v>-0.22321428571428575</v>
      </c>
      <c r="AW139" s="88">
        <f t="shared" si="518"/>
        <v>-0.20501138952164011</v>
      </c>
      <c r="AX139" s="88">
        <f t="shared" ref="AX139" si="519">(AX92/AX$86)*100</f>
        <v>5.7955046275892466</v>
      </c>
      <c r="AY139" s="91">
        <f t="shared" ref="AY139:BC139" si="520">(AY92/AY$86)*100</f>
        <v>1.3798748757527921</v>
      </c>
      <c r="AZ139" s="88">
        <f t="shared" si="520"/>
        <v>-0.25985275010827197</v>
      </c>
      <c r="BA139" s="88">
        <f t="shared" si="520"/>
        <v>0.59321244155215191</v>
      </c>
      <c r="BB139" s="88">
        <f t="shared" si="520"/>
        <v>0.55374098561591056</v>
      </c>
      <c r="BC139" s="88">
        <f t="shared" si="520"/>
        <v>0.53546216656179491</v>
      </c>
      <c r="BD139" s="91">
        <f t="shared" ref="BD139:BH139" si="521">(BD92/BD$86)*100</f>
        <v>0.37689275675955941</v>
      </c>
      <c r="BE139" s="88">
        <f t="shared" si="521"/>
        <v>0.56051658182100095</v>
      </c>
      <c r="BF139" s="88">
        <f t="shared" si="521"/>
        <v>0.54383592378830758</v>
      </c>
      <c r="BG139" s="88">
        <f t="shared" si="521"/>
        <v>0.50867893106036799</v>
      </c>
      <c r="BH139" s="88">
        <f t="shared" si="521"/>
        <v>0.49622582116308162</v>
      </c>
      <c r="BI139" s="91">
        <f t="shared" ref="BI139" si="522">(BI92/BI$86)*100</f>
        <v>0.52604262412494851</v>
      </c>
    </row>
    <row r="140" spans="1:63" x14ac:dyDescent="0.2">
      <c r="A140" s="12" t="s">
        <v>48</v>
      </c>
      <c r="B140" s="88">
        <f t="shared" ref="B140:AL140" si="523">(B93/B$86)*100</f>
        <v>0</v>
      </c>
      <c r="C140" s="88">
        <f t="shared" si="523"/>
        <v>0</v>
      </c>
      <c r="D140" s="88">
        <f t="shared" si="523"/>
        <v>0</v>
      </c>
      <c r="E140" s="88">
        <f t="shared" si="523"/>
        <v>1.8218623481781375</v>
      </c>
      <c r="F140" s="91">
        <f t="shared" si="523"/>
        <v>0.46656298600311047</v>
      </c>
      <c r="G140" s="88">
        <f t="shared" si="523"/>
        <v>2.0449897750511248</v>
      </c>
      <c r="H140" s="88">
        <f t="shared" si="523"/>
        <v>1.556420233463035</v>
      </c>
      <c r="I140" s="88">
        <f t="shared" si="523"/>
        <v>1.8726591760299627</v>
      </c>
      <c r="J140" s="88">
        <f t="shared" si="523"/>
        <v>2.5594149908592323</v>
      </c>
      <c r="K140" s="91">
        <f t="shared" si="523"/>
        <v>2.0153550863723608</v>
      </c>
      <c r="L140" s="88">
        <f t="shared" si="523"/>
        <v>2.5688073394495414</v>
      </c>
      <c r="M140" s="88">
        <f t="shared" si="523"/>
        <v>2.8119507908611596</v>
      </c>
      <c r="N140" s="88">
        <f t="shared" si="523"/>
        <v>2.5996533795493932</v>
      </c>
      <c r="O140" s="88">
        <f t="shared" si="523"/>
        <v>3.0303030303030303</v>
      </c>
      <c r="P140" s="91">
        <f t="shared" si="523"/>
        <v>2.7571115973741795</v>
      </c>
      <c r="Q140" s="88">
        <f t="shared" si="523"/>
        <v>3.0520646319569118</v>
      </c>
      <c r="R140" s="88">
        <f t="shared" si="523"/>
        <v>3.2148900169204735</v>
      </c>
      <c r="S140" s="88">
        <f t="shared" si="523"/>
        <v>3.0995106035889073</v>
      </c>
      <c r="T140" s="88">
        <f t="shared" si="523"/>
        <v>2.8616852146263914</v>
      </c>
      <c r="U140" s="91">
        <f t="shared" si="523"/>
        <v>3.0543933054393304</v>
      </c>
      <c r="V140" s="88">
        <f t="shared" si="523"/>
        <v>2.6359143327841847</v>
      </c>
      <c r="W140" s="88">
        <f t="shared" si="523"/>
        <v>6.5743944636678195</v>
      </c>
      <c r="X140" s="88">
        <f t="shared" si="523"/>
        <v>3.6821705426356592</v>
      </c>
      <c r="Y140" s="88">
        <f t="shared" si="523"/>
        <v>3.0674846625766872</v>
      </c>
      <c r="Z140" s="91">
        <f t="shared" si="523"/>
        <v>3.9524011899702503</v>
      </c>
      <c r="AA140" s="88">
        <f t="shared" si="523"/>
        <v>3.0627871362940278</v>
      </c>
      <c r="AB140" s="88">
        <f t="shared" si="523"/>
        <v>7.8459343794579164</v>
      </c>
      <c r="AC140" s="88">
        <f t="shared" si="523"/>
        <v>2.1464646464646462</v>
      </c>
      <c r="AD140" s="88">
        <f t="shared" si="523"/>
        <v>2.2754491017964074</v>
      </c>
      <c r="AE140" s="91">
        <f t="shared" si="523"/>
        <v>3.7235826903723583</v>
      </c>
      <c r="AF140" s="88">
        <f t="shared" si="523"/>
        <v>5.9171597633136095</v>
      </c>
      <c r="AG140" s="88">
        <f t="shared" si="523"/>
        <v>5.7094594594594588</v>
      </c>
      <c r="AH140" s="88">
        <f t="shared" si="523"/>
        <v>5.4505356017643356</v>
      </c>
      <c r="AI140" s="88">
        <f t="shared" si="523"/>
        <v>5.3965414430530716</v>
      </c>
      <c r="AJ140" s="91">
        <f t="shared" si="523"/>
        <v>5.6063425289216093</v>
      </c>
      <c r="AK140" s="88">
        <f t="shared" si="523"/>
        <v>5.6189903846153841</v>
      </c>
      <c r="AL140" s="88">
        <f t="shared" si="523"/>
        <v>3.8606676342525406</v>
      </c>
      <c r="AM140" s="88">
        <f t="shared" si="504"/>
        <v>-1.2227538543328016</v>
      </c>
      <c r="AN140" s="88">
        <f t="shared" si="504"/>
        <v>2.7948717948717947</v>
      </c>
      <c r="AO140" s="91">
        <f t="shared" si="494"/>
        <v>2.6532732940768962</v>
      </c>
      <c r="AP140" s="88">
        <f t="shared" si="505"/>
        <v>3.642206748794858</v>
      </c>
      <c r="AQ140" s="88">
        <f t="shared" si="505"/>
        <v>3.9876511448417808</v>
      </c>
      <c r="AR140" s="88">
        <f t="shared" si="505"/>
        <v>5.8851447555766496</v>
      </c>
      <c r="AS140" s="88">
        <f t="shared" si="505"/>
        <v>4.1331802525832382</v>
      </c>
      <c r="AT140" s="91">
        <f t="shared" si="495"/>
        <v>4.4410129709697346</v>
      </c>
      <c r="AU140" s="88">
        <f t="shared" si="495"/>
        <v>4.223992276128409</v>
      </c>
      <c r="AV140" s="88">
        <f t="shared" ref="AV140:AW140" si="524">(AV93/AV$86)*100</f>
        <v>4.191468253968254</v>
      </c>
      <c r="AW140" s="88">
        <f t="shared" si="524"/>
        <v>4.2369020501138959</v>
      </c>
      <c r="AX140" s="88">
        <f t="shared" ref="AX140" si="525">(AX93/AX$86)*100</f>
        <v>4.6275892463640371</v>
      </c>
      <c r="AY140" s="91">
        <f t="shared" ref="AY140:BC140" si="526">(AY93/AY$86)*100</f>
        <v>4.3267263053265514</v>
      </c>
      <c r="AZ140" s="88">
        <f t="shared" si="526"/>
        <v>5.5218709398007793</v>
      </c>
      <c r="BA140" s="88">
        <f t="shared" si="526"/>
        <v>6.5253368570736718</v>
      </c>
      <c r="BB140" s="88">
        <f t="shared" si="526"/>
        <v>6.0911508417750158</v>
      </c>
      <c r="BC140" s="88">
        <f t="shared" si="526"/>
        <v>5.8900838321797444</v>
      </c>
      <c r="BD140" s="91">
        <f t="shared" ref="BD140:BH140" si="527">(BD93/BD$86)*100</f>
        <v>6.0157882328929677</v>
      </c>
      <c r="BE140" s="88">
        <f t="shared" si="527"/>
        <v>6.1656824000310095</v>
      </c>
      <c r="BF140" s="88">
        <f t="shared" si="527"/>
        <v>5.9821951616713838</v>
      </c>
      <c r="BG140" s="88">
        <f t="shared" si="527"/>
        <v>5.4259085979772586</v>
      </c>
      <c r="BH140" s="88">
        <f t="shared" si="527"/>
        <v>5.2930754257395369</v>
      </c>
      <c r="BI140" s="91">
        <f t="shared" ref="BI140" si="528">(BI93/BI$86)*100</f>
        <v>5.6987950946869415</v>
      </c>
    </row>
    <row r="141" spans="1:63" x14ac:dyDescent="0.2">
      <c r="A141" s="12" t="str">
        <f>A94</f>
        <v>EBT</v>
      </c>
      <c r="B141" s="88">
        <f t="shared" ref="B141:AT141" si="529">(B94/B$91)*100</f>
        <v>102.12765957446808</v>
      </c>
      <c r="C141" s="88">
        <f t="shared" si="529"/>
        <v>99.038461538461547</v>
      </c>
      <c r="D141" s="88">
        <f t="shared" si="529"/>
        <v>101.8018018018018</v>
      </c>
      <c r="E141" s="88">
        <f t="shared" si="529"/>
        <v>110.1010101010101</v>
      </c>
      <c r="F141" s="91">
        <f t="shared" si="529"/>
        <v>103.18627450980394</v>
      </c>
      <c r="G141" s="88">
        <f t="shared" si="529"/>
        <v>117.02127659574468</v>
      </c>
      <c r="H141" s="88">
        <f t="shared" si="529"/>
        <v>109.00000000000001</v>
      </c>
      <c r="I141" s="88">
        <f t="shared" si="529"/>
        <v>108.04597701149426</v>
      </c>
      <c r="J141" s="88">
        <f t="shared" si="529"/>
        <v>153.91304347826087</v>
      </c>
      <c r="K141" s="91">
        <f t="shared" si="529"/>
        <v>123.73737373737374</v>
      </c>
      <c r="L141" s="88">
        <f t="shared" si="529"/>
        <v>95.454545454545453</v>
      </c>
      <c r="M141" s="88">
        <f t="shared" si="529"/>
        <v>94</v>
      </c>
      <c r="N141" s="88">
        <f t="shared" si="529"/>
        <v>95.098039215686271</v>
      </c>
      <c r="O141" s="88">
        <f t="shared" si="529"/>
        <v>54.285714285714285</v>
      </c>
      <c r="P141" s="91">
        <f t="shared" si="529"/>
        <v>84.050632911392412</v>
      </c>
      <c r="Q141" s="88">
        <f t="shared" si="529"/>
        <v>82.758620689655174</v>
      </c>
      <c r="R141" s="88">
        <f t="shared" si="529"/>
        <v>83.333333333333343</v>
      </c>
      <c r="S141" s="88">
        <f t="shared" si="529"/>
        <v>83.333333333333343</v>
      </c>
      <c r="T141" s="88">
        <f t="shared" si="529"/>
        <v>24.778761061946902</v>
      </c>
      <c r="U141" s="91">
        <f t="shared" si="529"/>
        <v>66.582914572864325</v>
      </c>
      <c r="V141" s="88">
        <f t="shared" si="529"/>
        <v>93.269230769230774</v>
      </c>
      <c r="W141" s="88">
        <f t="shared" si="529"/>
        <v>75.213675213675216</v>
      </c>
      <c r="X141" s="88">
        <f t="shared" si="529"/>
        <v>88.63636363636364</v>
      </c>
      <c r="Y141" s="88">
        <f t="shared" si="529"/>
        <v>106.81818181818181</v>
      </c>
      <c r="Z141" s="91">
        <f t="shared" si="529"/>
        <v>92.989690721649481</v>
      </c>
      <c r="AA141" s="88">
        <f t="shared" si="529"/>
        <v>94.354838709677423</v>
      </c>
      <c r="AB141" s="88">
        <f t="shared" si="529"/>
        <v>68.702290076335885</v>
      </c>
      <c r="AC141" s="88">
        <f t="shared" si="529"/>
        <v>97.70992366412213</v>
      </c>
      <c r="AD141" s="88">
        <f t="shared" si="529"/>
        <v>146.47887323943664</v>
      </c>
      <c r="AE141" s="91">
        <f t="shared" si="529"/>
        <v>102.84090909090908</v>
      </c>
      <c r="AF141" s="88">
        <f t="shared" si="529"/>
        <v>85.192307692307693</v>
      </c>
      <c r="AG141" s="88">
        <f t="shared" si="529"/>
        <v>80.75</v>
      </c>
      <c r="AH141" s="88">
        <f t="shared" si="529"/>
        <v>86.743044189852696</v>
      </c>
      <c r="AI141" s="88">
        <f t="shared" si="529"/>
        <v>21.577380952380899</v>
      </c>
      <c r="AJ141" s="91">
        <f t="shared" si="529"/>
        <v>65.410803449841097</v>
      </c>
      <c r="AK141" s="88">
        <f t="shared" si="529"/>
        <v>23.549488054607544</v>
      </c>
      <c r="AL141" s="88">
        <f t="shared" si="529"/>
        <v>72.385620915032661</v>
      </c>
      <c r="AM141" s="88">
        <f t="shared" si="529"/>
        <v>101.04046242774567</v>
      </c>
      <c r="AN141" s="88">
        <f t="shared" si="529"/>
        <v>139.45868945868943</v>
      </c>
      <c r="AO141" s="91">
        <f t="shared" si="529"/>
        <v>95.671521035598701</v>
      </c>
      <c r="AP141" s="88">
        <f t="shared" si="529"/>
        <v>72.929936305732483</v>
      </c>
      <c r="AQ141" s="88">
        <f t="shared" si="529"/>
        <v>75</v>
      </c>
      <c r="AR141" s="88">
        <f t="shared" si="529"/>
        <v>69.807280513918613</v>
      </c>
      <c r="AS141" s="88">
        <f t="shared" si="529"/>
        <v>85.661218424962854</v>
      </c>
      <c r="AT141" s="91">
        <f t="shared" si="529"/>
        <v>77.233115468409579</v>
      </c>
      <c r="AU141" s="88">
        <f t="shared" ref="AU141:AV141" si="530">(AU94/AU$91)*100</f>
        <v>88.456189151599446</v>
      </c>
      <c r="AV141" s="88">
        <f t="shared" si="530"/>
        <v>76.083707025411059</v>
      </c>
      <c r="AW141" s="88">
        <f t="shared" ref="AW141:AX141" si="531">(AW94/AW$91)*100</f>
        <v>81.309398099260818</v>
      </c>
      <c r="AX141" s="88">
        <f t="shared" si="531"/>
        <v>44.023668639053263</v>
      </c>
      <c r="AY141" s="91">
        <f t="shared" ref="AY141:AZ141" si="532">(AY94/AY$91)*100</f>
        <v>74.967940497563461</v>
      </c>
      <c r="AZ141" s="88">
        <f t="shared" si="532"/>
        <v>-32.786885245901559</v>
      </c>
      <c r="BA141" s="88">
        <f t="shared" ref="BA141:BD141" si="533">(BA94/BA$91)*100</f>
        <v>59.643540310448138</v>
      </c>
      <c r="BB141" s="88">
        <f t="shared" si="533"/>
        <v>67.80502165614314</v>
      </c>
      <c r="BC141" s="88">
        <f t="shared" si="533"/>
        <v>68.233845354941664</v>
      </c>
      <c r="BD141" s="91">
        <f t="shared" si="533"/>
        <v>60.228694925185223</v>
      </c>
      <c r="BE141" s="88">
        <f t="shared" ref="BE141:BI141" si="534">(BE94/BE$91)*100</f>
        <v>61.112329007459607</v>
      </c>
      <c r="BF141" s="88">
        <f t="shared" si="534"/>
        <v>64.038101950384146</v>
      </c>
      <c r="BG141" s="88">
        <f t="shared" si="534"/>
        <v>72.854556318147885</v>
      </c>
      <c r="BH141" s="88">
        <f t="shared" si="534"/>
        <v>73.237913195756136</v>
      </c>
      <c r="BI141" s="91">
        <f t="shared" si="534"/>
        <v>68.61166676023096</v>
      </c>
    </row>
    <row r="142" spans="1:63" x14ac:dyDescent="0.2">
      <c r="A142" s="12"/>
      <c r="B142" s="88"/>
      <c r="C142" s="88"/>
      <c r="D142" s="88"/>
      <c r="E142" s="88"/>
      <c r="F142" s="91"/>
      <c r="G142" s="88"/>
      <c r="H142" s="88"/>
      <c r="I142" s="88"/>
      <c r="J142" s="88"/>
      <c r="K142" s="91"/>
      <c r="L142" s="88"/>
      <c r="M142" s="88"/>
      <c r="N142" s="88"/>
      <c r="O142" s="88"/>
      <c r="P142" s="91"/>
      <c r="Q142" s="88"/>
      <c r="R142" s="88"/>
      <c r="S142" s="88"/>
      <c r="T142" s="88"/>
      <c r="U142" s="91"/>
      <c r="V142" s="88"/>
      <c r="W142" s="88"/>
      <c r="X142" s="88"/>
      <c r="Y142" s="88"/>
      <c r="Z142" s="91"/>
      <c r="AA142" s="88"/>
      <c r="AB142" s="88"/>
      <c r="AC142" s="88"/>
      <c r="AD142" s="88"/>
      <c r="AE142" s="91"/>
      <c r="AF142" s="88"/>
      <c r="AG142" s="88"/>
      <c r="AH142" s="88"/>
      <c r="AI142" s="88"/>
      <c r="AJ142" s="91"/>
      <c r="AK142" s="88"/>
      <c r="AL142" s="88"/>
      <c r="AM142" s="88"/>
      <c r="AN142" s="88"/>
      <c r="AO142" s="91"/>
      <c r="AP142" s="88"/>
      <c r="AQ142" s="88"/>
      <c r="AR142" s="88"/>
      <c r="AS142" s="88"/>
      <c r="AT142" s="91"/>
      <c r="AU142" s="88"/>
      <c r="AV142" s="88"/>
      <c r="AW142" s="88"/>
      <c r="AX142" s="88"/>
      <c r="AY142" s="91"/>
      <c r="AZ142" s="88"/>
      <c r="BA142" s="88"/>
      <c r="BB142" s="88"/>
      <c r="BC142" s="88"/>
      <c r="BD142" s="91"/>
      <c r="BE142" s="88"/>
      <c r="BF142" s="88"/>
      <c r="BG142" s="88"/>
      <c r="BH142" s="88"/>
      <c r="BI142" s="91"/>
    </row>
    <row r="143" spans="1:63" x14ac:dyDescent="0.2">
      <c r="A143" s="12" t="s">
        <v>114</v>
      </c>
      <c r="B143" s="88">
        <f t="shared" ref="B143:AS143" si="535">(B95/B94)*100</f>
        <v>32.291666666666671</v>
      </c>
      <c r="C143" s="88">
        <f t="shared" si="535"/>
        <v>33.980582524271846</v>
      </c>
      <c r="D143" s="88">
        <f t="shared" si="535"/>
        <v>33.628318584070797</v>
      </c>
      <c r="E143" s="88">
        <f t="shared" si="535"/>
        <v>40.366972477064223</v>
      </c>
      <c r="F143" s="92">
        <f t="shared" si="535"/>
        <v>35.154394299287411</v>
      </c>
      <c r="G143" s="88">
        <f t="shared" si="535"/>
        <v>34.545454545454547</v>
      </c>
      <c r="H143" s="88">
        <f t="shared" si="535"/>
        <v>34.862385321100916</v>
      </c>
      <c r="I143" s="88">
        <f t="shared" si="535"/>
        <v>40.425531914893611</v>
      </c>
      <c r="J143" s="88">
        <f t="shared" si="535"/>
        <v>40.677966101694921</v>
      </c>
      <c r="K143" s="92">
        <f t="shared" si="535"/>
        <v>37.95918367346939</v>
      </c>
      <c r="L143" s="88">
        <f t="shared" si="535"/>
        <v>111.90476190476191</v>
      </c>
      <c r="M143" s="88">
        <f t="shared" si="535"/>
        <v>28.723404255319153</v>
      </c>
      <c r="N143" s="88">
        <f t="shared" si="535"/>
        <v>34.020618556701031</v>
      </c>
      <c r="O143" s="88">
        <f t="shared" si="535"/>
        <v>21.052631578947366</v>
      </c>
      <c r="P143" s="92">
        <f t="shared" si="535"/>
        <v>50</v>
      </c>
      <c r="Q143" s="88">
        <f t="shared" si="535"/>
        <v>26.388888888888889</v>
      </c>
      <c r="R143" s="88">
        <f t="shared" si="535"/>
        <v>21.25</v>
      </c>
      <c r="S143" s="88">
        <f t="shared" si="535"/>
        <v>23.52941176470588</v>
      </c>
      <c r="T143" s="88">
        <f t="shared" si="535"/>
        <v>3.5714285714285712</v>
      </c>
      <c r="U143" s="92">
        <f t="shared" si="535"/>
        <v>21.509433962264151</v>
      </c>
      <c r="V143" s="88">
        <f t="shared" si="535"/>
        <v>24.742268041237114</v>
      </c>
      <c r="W143" s="88">
        <f t="shared" si="535"/>
        <v>28.40909090909091</v>
      </c>
      <c r="X143" s="88">
        <f t="shared" si="535"/>
        <v>24.358974358974358</v>
      </c>
      <c r="Y143" s="88">
        <f t="shared" si="535"/>
        <v>35.106382978723403</v>
      </c>
      <c r="Z143" s="92">
        <f t="shared" si="535"/>
        <v>29.711751662971174</v>
      </c>
      <c r="AA143" s="88">
        <f t="shared" si="535"/>
        <v>25.641025641025639</v>
      </c>
      <c r="AB143" s="88">
        <f t="shared" si="535"/>
        <v>24.444444444444443</v>
      </c>
      <c r="AC143" s="88">
        <f t="shared" si="535"/>
        <v>24.21875</v>
      </c>
      <c r="AD143" s="88">
        <f t="shared" si="535"/>
        <v>19.230769230769234</v>
      </c>
      <c r="AE143" s="92">
        <f t="shared" si="535"/>
        <v>22.651933701657459</v>
      </c>
      <c r="AF143" s="88">
        <f t="shared" si="535"/>
        <v>22.799097065462746</v>
      </c>
      <c r="AG143" s="88">
        <f t="shared" si="535"/>
        <v>28.792569659442719</v>
      </c>
      <c r="AH143" s="88">
        <f t="shared" si="535"/>
        <v>24.905660377358497</v>
      </c>
      <c r="AI143" s="88">
        <f t="shared" si="535"/>
        <v>14.482758620689697</v>
      </c>
      <c r="AJ143" s="92">
        <f t="shared" si="535"/>
        <v>24.080499653018762</v>
      </c>
      <c r="AK143" s="88">
        <f t="shared" si="535"/>
        <v>-291.30434782608643</v>
      </c>
      <c r="AL143" s="88">
        <f t="shared" si="535"/>
        <v>25.733634311512425</v>
      </c>
      <c r="AM143" s="88">
        <f t="shared" si="535"/>
        <v>26.201372997711669</v>
      </c>
      <c r="AN143" s="88">
        <f t="shared" si="535"/>
        <v>23.391215526046981</v>
      </c>
      <c r="AO143" s="92">
        <f>(AO95/AO94)*100</f>
        <v>15.687103594080337</v>
      </c>
      <c r="AP143" s="88">
        <f t="shared" si="535"/>
        <v>25.982532751091714</v>
      </c>
      <c r="AQ143" s="88">
        <f t="shared" si="535"/>
        <v>24.432809773123914</v>
      </c>
      <c r="AR143" s="88">
        <f t="shared" si="535"/>
        <v>26.073619631901856</v>
      </c>
      <c r="AS143" s="88">
        <f t="shared" si="535"/>
        <v>22.723330442324364</v>
      </c>
      <c r="AT143" s="92">
        <f>(AT95/AT94)*100</f>
        <v>24.365303244005649</v>
      </c>
      <c r="AU143" s="88">
        <f t="shared" ref="AU143:AV143" si="536">(AU95/AU94)*100</f>
        <v>26.179245283018865</v>
      </c>
      <c r="AV143" s="88">
        <f t="shared" si="536"/>
        <v>24.754420432220037</v>
      </c>
      <c r="AW143" s="88">
        <f t="shared" ref="AW143:AX143" si="537">(AW95/AW94)*100</f>
        <v>25.97402597402597</v>
      </c>
      <c r="AX143" s="88">
        <f t="shared" si="537"/>
        <v>31.182795698924725</v>
      </c>
      <c r="AY143" s="92">
        <f>(AY95/AY94)*100</f>
        <v>26.51385562777968</v>
      </c>
      <c r="AZ143" s="88">
        <f>(AZ95/AZ94)*100</f>
        <v>-436.66666666666742</v>
      </c>
      <c r="BA143" s="179">
        <v>24</v>
      </c>
      <c r="BB143" s="179">
        <v>24</v>
      </c>
      <c r="BC143" s="179">
        <v>24</v>
      </c>
      <c r="BD143" s="92">
        <f>(BD95/BD94)*100</f>
        <v>37.79572676323744</v>
      </c>
      <c r="BE143" s="179">
        <v>24</v>
      </c>
      <c r="BF143" s="179">
        <v>24</v>
      </c>
      <c r="BG143" s="179">
        <v>24</v>
      </c>
      <c r="BH143" s="179">
        <v>24</v>
      </c>
      <c r="BI143" s="92">
        <f>(BI95/BI94)*100</f>
        <v>24</v>
      </c>
    </row>
    <row r="144" spans="1:63" ht="7.5" customHeight="1" x14ac:dyDescent="0.2">
      <c r="AV144" s="205"/>
      <c r="AW144" s="205"/>
    </row>
    <row r="145" spans="1:61" ht="7.5" customHeight="1" x14ac:dyDescent="0.2">
      <c r="AV145" s="205"/>
      <c r="AW145" s="205"/>
    </row>
    <row r="146" spans="1:61" x14ac:dyDescent="0.2">
      <c r="A146" s="69" t="s">
        <v>136</v>
      </c>
      <c r="AV146" s="205"/>
      <c r="AW146" s="205"/>
    </row>
    <row r="147" spans="1:61" x14ac:dyDescent="0.2">
      <c r="A147" s="87" t="s">
        <v>103</v>
      </c>
      <c r="B147" s="88">
        <v>0</v>
      </c>
      <c r="C147" s="88">
        <v>0</v>
      </c>
      <c r="D147" s="88">
        <v>0</v>
      </c>
      <c r="E147" s="88">
        <v>0</v>
      </c>
      <c r="F147" s="89">
        <v>0</v>
      </c>
      <c r="G147" s="88">
        <f t="shared" ref="G147:G155" si="538">IFERROR((G86/B86-1)*100,"NM")</f>
        <v>7.2368421052631637</v>
      </c>
      <c r="H147" s="88">
        <f t="shared" ref="H147:H155" si="539">IFERROR((H86/C86-1)*100,"NM")</f>
        <v>7.0833333333333304</v>
      </c>
      <c r="I147" s="88">
        <f t="shared" ref="I147:I155" si="540">IFERROR((I86/D86-1)*100,"NM")</f>
        <v>7.0140280561122204</v>
      </c>
      <c r="J147" s="88">
        <f t="shared" ref="J147:J155" si="541">IFERROR((J86/E86-1)*100,"NM")</f>
        <v>10.728744939271252</v>
      </c>
      <c r="K147" s="89">
        <f t="shared" ref="K147:K155" si="542">IFERROR((K86/F86-1)*100,"NM")</f>
        <v>8.0352514256091254</v>
      </c>
      <c r="L147" s="88">
        <f t="shared" ref="L147:L155" si="543">IFERROR((L86/G86-1)*100,"NM")</f>
        <v>11.451942740286292</v>
      </c>
      <c r="M147" s="88">
        <f t="shared" ref="M147:M155" si="544">IFERROR((M86/H86-1)*100,"NM")</f>
        <v>10.700389105058372</v>
      </c>
      <c r="N147" s="88">
        <f t="shared" ref="N147:N155" si="545">IFERROR((N86/I86-1)*100,"NM")</f>
        <v>8.0524344569288466</v>
      </c>
      <c r="O147" s="88">
        <f t="shared" ref="O147:O155" si="546">IFERROR((O86/J86-1)*100,"NM")</f>
        <v>8.5923217550274202</v>
      </c>
      <c r="P147" s="89">
        <f t="shared" ref="P147:P155" si="547">IFERROR((P86/K86-1)*100,"NM")</f>
        <v>9.6449136276391521</v>
      </c>
      <c r="Q147" s="88">
        <f t="shared" ref="Q147:Q155" si="548">IFERROR((Q86/L86-1)*100,"NM")</f>
        <v>2.2018348623853212</v>
      </c>
      <c r="R147" s="88">
        <f t="shared" ref="R147:R155" si="549">IFERROR((R86/M86-1)*100,"NM")</f>
        <v>3.8664323374340892</v>
      </c>
      <c r="S147" s="88">
        <f t="shared" ref="S147:S155" si="550">IFERROR((S86/N86-1)*100,"NM")</f>
        <v>6.239168110918536</v>
      </c>
      <c r="T147" s="88">
        <f t="shared" ref="T147:T155" si="551">IFERROR((T86/O86-1)*100,"NM")</f>
        <v>5.8922558922558821</v>
      </c>
      <c r="U147" s="89">
        <f t="shared" ref="U147:U155" si="552">IFERROR((U86/P86-1)*100,"NM")</f>
        <v>4.5951859956236296</v>
      </c>
      <c r="V147" s="88">
        <f t="shared" ref="V147:V155" si="553">IFERROR((V86/Q86-1)*100,"NM")</f>
        <v>8.9766606822262229</v>
      </c>
      <c r="W147" s="88">
        <f t="shared" ref="W147:W155" si="554">IFERROR((W86/R86-1)*100,"NM")</f>
        <v>-2.1996615905245376</v>
      </c>
      <c r="X147" s="88">
        <f t="shared" ref="X147:X155" si="555">IFERROR((X86/S86-1)*100,"NM")</f>
        <v>-15.823817292006526</v>
      </c>
      <c r="Y147" s="88">
        <f t="shared" ref="Y147:Y155" si="556">IFERROR((Y86/T86-1)*100,"NM")</f>
        <v>3.6565977742448297</v>
      </c>
      <c r="Z147" s="89">
        <f t="shared" ref="Z147:Z155" si="557">IFERROR((Z86/U86-1)*100,"NM")</f>
        <v>-1.5481171548117123</v>
      </c>
      <c r="AA147" s="88">
        <f t="shared" ref="AA147:AA155" si="558">IFERROR((AA86/V86-1)*100,"NM")</f>
        <v>7.5782537067545341</v>
      </c>
      <c r="AB147" s="88">
        <f t="shared" ref="AB147:AB155" si="559">IFERROR((AB86/W86-1)*100,"NM")</f>
        <v>21.280276816609</v>
      </c>
      <c r="AC147" s="88">
        <f t="shared" ref="AC147:AC155" si="560">IFERROR((AC86/X86-1)*100,"NM")</f>
        <v>53.488372093023258</v>
      </c>
      <c r="AD147" s="88">
        <f t="shared" ref="AD147:AD155" si="561">IFERROR((AD86/Y86-1)*100,"NM")</f>
        <v>28.067484662576693</v>
      </c>
      <c r="AE147" s="89">
        <f t="shared" ref="AE147:AE155" si="562">IFERROR((AE86/Z86-1)*100,"NM")</f>
        <v>26.689332766680842</v>
      </c>
      <c r="AF147" s="88">
        <f t="shared" ref="AF147:AF155" si="563">IFERROR((AF86/AA86-1)*100,"NM")</f>
        <v>-56.003062787136294</v>
      </c>
      <c r="AG147" s="88">
        <f t="shared" ref="AG147:AG155" si="564">IFERROR((AG86/AB86-1)*100,"NM")</f>
        <v>-57.774607703281021</v>
      </c>
      <c r="AH147" s="88">
        <f t="shared" ref="AH147:AH155" si="565">IFERROR((AH86/AC86-1)*100,"NM")</f>
        <v>-59.924242424242436</v>
      </c>
      <c r="AI147" s="88">
        <f t="shared" ref="AI147:AI155" si="566">IFERROR((AI86/AD86-1)*100,"NM")</f>
        <v>-59.832335329341312</v>
      </c>
      <c r="AJ147" s="89">
        <f t="shared" ref="AJ147:AJ155" si="567">IFERROR((AJ86/AE86-1)*100,"NM")</f>
        <v>-58.534048976853413</v>
      </c>
      <c r="AK147" s="88">
        <f t="shared" ref="AK147:AK155" si="568">IFERROR((AK86/AF86-1)*100,"NM")</f>
        <v>15.837104072398201</v>
      </c>
      <c r="AL147" s="88">
        <f t="shared" ref="AL147:AL155" si="569">IFERROR((AL86/AG86-1)*100,"NM")</f>
        <v>16.38513513513513</v>
      </c>
      <c r="AM147" s="88">
        <f t="shared" ref="AM147:AM155" si="570">IFERROR((AM86/AH86-1)*100,"NM")</f>
        <v>18.525519848771268</v>
      </c>
      <c r="AN147" s="88">
        <f t="shared" ref="AN147:AN155" si="571">IFERROR((AN86/AI86-1)*100,"NM")</f>
        <v>16.279069767441868</v>
      </c>
      <c r="AO147" s="89">
        <f t="shared" ref="AO147:AO155" si="572">IFERROR((AO86/AJ86-1)*100,"NM")</f>
        <v>16.778577784968874</v>
      </c>
      <c r="AP147" s="88">
        <f t="shared" ref="AP147:AP155" si="573">IFERROR((AP86/AK86-1)*100,"NM")</f>
        <v>12.19951923076923</v>
      </c>
      <c r="AQ147" s="88">
        <f t="shared" ref="AQ147:AQ155" si="574">IFERROR((AQ86/AL86-1)*100,"NM")</f>
        <v>12.83018867924528</v>
      </c>
      <c r="AR147" s="88">
        <f t="shared" ref="AR147:AR155" si="575">IFERROR((AR86/AM86-1)*100,"NM")</f>
        <v>12.014885699096233</v>
      </c>
      <c r="AS147" s="88">
        <f t="shared" ref="AS147:AS155" si="576">IFERROR((AS86/AN86-1)*100,"NM")</f>
        <v>11.66666666666667</v>
      </c>
      <c r="AT147" s="89">
        <f t="shared" ref="AT147:AZ155" si="577">IFERROR((AT86/AO86-1)*100,"NM")</f>
        <v>12.15794942847246</v>
      </c>
      <c r="AU147" s="88">
        <f t="shared" si="577"/>
        <v>10.953401178361011</v>
      </c>
      <c r="AV147" s="88">
        <f t="shared" si="577"/>
        <v>3.730383329045539</v>
      </c>
      <c r="AW147" s="88">
        <f t="shared" si="577"/>
        <v>4.1765543426673046</v>
      </c>
      <c r="AX147" s="88">
        <f t="shared" si="577"/>
        <v>4.2020665901262966</v>
      </c>
      <c r="AY147" s="89">
        <f>IFERROR((AY86/AT86-1)*100,"NM")</f>
        <v>5.6392835083384885</v>
      </c>
      <c r="AZ147" s="88">
        <f t="shared" si="577"/>
        <v>11.46512189234854</v>
      </c>
      <c r="BA147" s="88">
        <f t="shared" ref="BA147:BA155" si="578">IFERROR((BA86/AV86-1)*100,"NM")</f>
        <v>25.426839851976801</v>
      </c>
      <c r="BB147" s="88">
        <f t="shared" ref="BB147:BB155" si="579">IFERROR((BB86/AW86-1)*100,"NM")</f>
        <v>23.409918383659512</v>
      </c>
      <c r="BC147" s="88">
        <f t="shared" ref="BC147:BC155" si="580">IFERROR((BC86/AX86-1)*100,"NM")</f>
        <v>23.460483174157744</v>
      </c>
      <c r="BD147" s="89">
        <f t="shared" ref="BD147:BD155" si="581">IFERROR((BD86/AY86-1)*100,"NM")</f>
        <v>21.005334305780487</v>
      </c>
      <c r="BE147" s="88">
        <f t="shared" ref="BE147:BE155" si="582">IFERROR((BE86/AZ86-1)*100,"NM")</f>
        <v>15.898779151218356</v>
      </c>
      <c r="BF147" s="88">
        <f t="shared" ref="BF147:BF155" si="583">IFERROR((BF86/BA86-1)*100,"NM")</f>
        <v>9.079304180549963</v>
      </c>
      <c r="BG147" s="88">
        <f t="shared" ref="BG147:BG155" si="584">IFERROR((BG86/BB86-1)*100,"NM")</f>
        <v>8.8586437935631146</v>
      </c>
      <c r="BH147" s="88">
        <f t="shared" ref="BH147:BH155" si="585">IFERROR((BH86/BC86-1)*100,"NM")</f>
        <v>7.9069535935774038</v>
      </c>
      <c r="BI147" s="89">
        <f t="shared" ref="BI147:BI155" si="586">IFERROR((BI86/BD86-1)*100,"NM")</f>
        <v>10.225860758689521</v>
      </c>
    </row>
    <row r="148" spans="1:61" x14ac:dyDescent="0.2">
      <c r="A148" s="90" t="s">
        <v>104</v>
      </c>
      <c r="B148" s="88">
        <v>0</v>
      </c>
      <c r="C148" s="88">
        <v>0</v>
      </c>
      <c r="D148" s="88">
        <v>0</v>
      </c>
      <c r="E148" s="88">
        <v>0</v>
      </c>
      <c r="F148" s="91">
        <v>0</v>
      </c>
      <c r="G148" s="88">
        <f t="shared" si="538"/>
        <v>8.5714285714285623</v>
      </c>
      <c r="H148" s="88">
        <f t="shared" si="539"/>
        <v>9.7222222222222321</v>
      </c>
      <c r="I148" s="88">
        <f t="shared" si="540"/>
        <v>12.333333333333329</v>
      </c>
      <c r="J148" s="88">
        <f t="shared" si="541"/>
        <v>16.333333333333332</v>
      </c>
      <c r="K148" s="91">
        <f t="shared" si="542"/>
        <v>11.815068493150683</v>
      </c>
      <c r="L148" s="88">
        <f t="shared" si="543"/>
        <v>15.131578947368428</v>
      </c>
      <c r="M148" s="88">
        <f t="shared" si="544"/>
        <v>14.556962025316466</v>
      </c>
      <c r="N148" s="88">
        <f t="shared" si="545"/>
        <v>11.572700296735917</v>
      </c>
      <c r="O148" s="88">
        <f t="shared" si="546"/>
        <v>12.034383954154727</v>
      </c>
      <c r="P148" s="91">
        <f t="shared" si="547"/>
        <v>13.246554364471663</v>
      </c>
      <c r="Q148" s="88">
        <f t="shared" si="548"/>
        <v>6.8571428571428505</v>
      </c>
      <c r="R148" s="88">
        <f t="shared" si="549"/>
        <v>7.182320441988943</v>
      </c>
      <c r="S148" s="88">
        <f t="shared" si="550"/>
        <v>7.9787234042553168</v>
      </c>
      <c r="T148" s="88">
        <f t="shared" si="551"/>
        <v>5.3708439897698135</v>
      </c>
      <c r="U148" s="91">
        <f t="shared" si="552"/>
        <v>6.8289384719405044</v>
      </c>
      <c r="V148" s="88">
        <f t="shared" si="553"/>
        <v>5.8823529411764719</v>
      </c>
      <c r="W148" s="88">
        <f t="shared" si="554"/>
        <v>-4.3814432989690673</v>
      </c>
      <c r="X148" s="88">
        <f t="shared" si="555"/>
        <v>-18.965517241379317</v>
      </c>
      <c r="Y148" s="88">
        <f t="shared" si="556"/>
        <v>-4.3689320388349495</v>
      </c>
      <c r="Z148" s="91">
        <f t="shared" si="557"/>
        <v>-5.6962025316455662</v>
      </c>
      <c r="AA148" s="88">
        <f t="shared" si="558"/>
        <v>7.3232323232323315</v>
      </c>
      <c r="AB148" s="88">
        <f t="shared" si="559"/>
        <v>22.371967654986523</v>
      </c>
      <c r="AC148" s="88">
        <f t="shared" si="560"/>
        <v>62.006079027355618</v>
      </c>
      <c r="AD148" s="88">
        <f t="shared" si="561"/>
        <v>49.492385786802039</v>
      </c>
      <c r="AE148" s="91">
        <f t="shared" si="562"/>
        <v>34.295302013422813</v>
      </c>
      <c r="AF148" s="88">
        <f t="shared" si="563"/>
        <v>-58.800000000000011</v>
      </c>
      <c r="AG148" s="88">
        <f t="shared" si="564"/>
        <v>-58.436123348017624</v>
      </c>
      <c r="AH148" s="88">
        <f t="shared" si="565"/>
        <v>-64.427767354596625</v>
      </c>
      <c r="AI148" s="88">
        <f t="shared" si="566"/>
        <v>-64.974533106960948</v>
      </c>
      <c r="AJ148" s="91">
        <f t="shared" si="567"/>
        <v>-62.033983008495753</v>
      </c>
      <c r="AK148" s="88">
        <f t="shared" si="568"/>
        <v>22.215876641918907</v>
      </c>
      <c r="AL148" s="88">
        <f t="shared" si="569"/>
        <v>15.421303656597797</v>
      </c>
      <c r="AM148" s="88">
        <f t="shared" si="570"/>
        <v>18.934599156118146</v>
      </c>
      <c r="AN148" s="88">
        <f t="shared" si="571"/>
        <v>17.159476490547743</v>
      </c>
      <c r="AO148" s="91">
        <f t="shared" si="572"/>
        <v>18.336185336316959</v>
      </c>
      <c r="AP148" s="88">
        <f t="shared" si="573"/>
        <v>11.495327102803742</v>
      </c>
      <c r="AQ148" s="88">
        <f t="shared" si="574"/>
        <v>11.340679522497688</v>
      </c>
      <c r="AR148" s="88">
        <f t="shared" si="575"/>
        <v>12.594235033259427</v>
      </c>
      <c r="AS148" s="88">
        <f t="shared" si="576"/>
        <v>9.7227968556061306</v>
      </c>
      <c r="AT148" s="91">
        <f t="shared" si="577"/>
        <v>11.256952169076762</v>
      </c>
      <c r="AU148" s="88">
        <f t="shared" si="577"/>
        <v>9.5557418273260595</v>
      </c>
      <c r="AV148" s="88">
        <f t="shared" si="577"/>
        <v>4.2061855670103121</v>
      </c>
      <c r="AW148" s="88">
        <f t="shared" si="577"/>
        <v>2.9539188656951376</v>
      </c>
      <c r="AX148" s="88">
        <f t="shared" si="577"/>
        <v>4.1855203619909576</v>
      </c>
      <c r="AY148" s="91">
        <f t="shared" ref="AY148:AY155" si="587">IFERROR((AY87/AT87-1)*100,"NM")</f>
        <v>5.1589682063587272</v>
      </c>
      <c r="AZ148" s="88">
        <f t="shared" si="577"/>
        <v>10.673297628156098</v>
      </c>
      <c r="BA148" s="88">
        <f t="shared" si="578"/>
        <v>24.578090041622414</v>
      </c>
      <c r="BB148" s="88">
        <f t="shared" si="579"/>
        <v>24.941450946617792</v>
      </c>
      <c r="BC148" s="88">
        <f t="shared" si="580"/>
        <v>24.026091911636115</v>
      </c>
      <c r="BD148" s="91">
        <f t="shared" si="581"/>
        <v>21.06768190354531</v>
      </c>
      <c r="BE148" s="88">
        <f t="shared" si="582"/>
        <v>16.253148097706639</v>
      </c>
      <c r="BF148" s="88">
        <f t="shared" si="583"/>
        <v>9.0965061832438021</v>
      </c>
      <c r="BG148" s="88">
        <f t="shared" si="584"/>
        <v>7.7792173402315923</v>
      </c>
      <c r="BH148" s="88">
        <f t="shared" si="585"/>
        <v>6.0188728177472894</v>
      </c>
      <c r="BI148" s="91">
        <f t="shared" si="586"/>
        <v>9.5563323516330243</v>
      </c>
    </row>
    <row r="149" spans="1:61" x14ac:dyDescent="0.2">
      <c r="A149" s="87" t="s">
        <v>47</v>
      </c>
      <c r="B149" s="88">
        <v>0</v>
      </c>
      <c r="C149" s="88">
        <v>0</v>
      </c>
      <c r="D149" s="88">
        <v>0</v>
      </c>
      <c r="E149" s="88">
        <v>0</v>
      </c>
      <c r="F149" s="91">
        <v>0</v>
      </c>
      <c r="G149" s="88">
        <f t="shared" si="538"/>
        <v>5.1136363636363535</v>
      </c>
      <c r="H149" s="88">
        <f t="shared" si="539"/>
        <v>3.125</v>
      </c>
      <c r="I149" s="88">
        <f t="shared" si="540"/>
        <v>-1.0050251256281451</v>
      </c>
      <c r="J149" s="88">
        <f t="shared" si="541"/>
        <v>2.0618556701030855</v>
      </c>
      <c r="K149" s="91">
        <f t="shared" si="542"/>
        <v>2.233902759526929</v>
      </c>
      <c r="L149" s="88">
        <f t="shared" si="543"/>
        <v>5.4054054054053946</v>
      </c>
      <c r="M149" s="88">
        <f t="shared" si="544"/>
        <v>4.5454545454545414</v>
      </c>
      <c r="N149" s="88">
        <f t="shared" si="545"/>
        <v>2.0304568527918843</v>
      </c>
      <c r="O149" s="88">
        <f t="shared" si="546"/>
        <v>2.5252525252525304</v>
      </c>
      <c r="P149" s="91">
        <f t="shared" si="547"/>
        <v>3.5989717223650297</v>
      </c>
      <c r="Q149" s="88">
        <f t="shared" si="548"/>
        <v>-6.1538461538461542</v>
      </c>
      <c r="R149" s="88">
        <f t="shared" si="549"/>
        <v>-1.9323671497584516</v>
      </c>
      <c r="S149" s="88">
        <f t="shared" si="550"/>
        <v>2.9850746268656803</v>
      </c>
      <c r="T149" s="88">
        <f t="shared" si="551"/>
        <v>6.8965517241379226</v>
      </c>
      <c r="U149" s="91">
        <f t="shared" si="552"/>
        <v>0.49627791563275903</v>
      </c>
      <c r="V149" s="88">
        <f t="shared" si="553"/>
        <v>15.300546448087427</v>
      </c>
      <c r="W149" s="88">
        <f t="shared" si="554"/>
        <v>1.9704433497536922</v>
      </c>
      <c r="X149" s="88">
        <f t="shared" si="555"/>
        <v>-9.661835748792269</v>
      </c>
      <c r="Y149" s="88">
        <f t="shared" si="556"/>
        <v>18.894009216589858</v>
      </c>
      <c r="Z149" s="91">
        <f t="shared" si="557"/>
        <v>6.543209876543199</v>
      </c>
      <c r="AA149" s="88">
        <f t="shared" si="558"/>
        <v>8.0568720379146974</v>
      </c>
      <c r="AB149" s="88">
        <f t="shared" si="559"/>
        <v>19.323671497584538</v>
      </c>
      <c r="AC149" s="88">
        <f t="shared" si="560"/>
        <v>38.502673796791441</v>
      </c>
      <c r="AD149" s="88">
        <f t="shared" si="561"/>
        <v>-4.651162790697672</v>
      </c>
      <c r="AE149" s="91">
        <f t="shared" si="562"/>
        <v>13.557358053302426</v>
      </c>
      <c r="AF149" s="88">
        <f t="shared" si="563"/>
        <v>-50.78947368421052</v>
      </c>
      <c r="AG149" s="88">
        <f t="shared" si="564"/>
        <v>-56.558704453441287</v>
      </c>
      <c r="AH149" s="88">
        <f t="shared" si="565"/>
        <v>-50.656370656370662</v>
      </c>
      <c r="AI149" s="88">
        <f t="shared" si="566"/>
        <v>-47.520325203252042</v>
      </c>
      <c r="AJ149" s="91">
        <f t="shared" si="567"/>
        <v>-51.387755102040835</v>
      </c>
      <c r="AK149" s="88">
        <f t="shared" si="568"/>
        <v>5.8823529411764719</v>
      </c>
      <c r="AL149" s="88">
        <f t="shared" si="569"/>
        <v>18.080149114631851</v>
      </c>
      <c r="AM149" s="88">
        <f t="shared" si="570"/>
        <v>17.918622848200314</v>
      </c>
      <c r="AN149" s="88">
        <f t="shared" si="571"/>
        <v>14.872192099147984</v>
      </c>
      <c r="AO149" s="91">
        <f t="shared" si="572"/>
        <v>14.294710327455951</v>
      </c>
      <c r="AP149" s="88">
        <f t="shared" si="573"/>
        <v>13.468013468013451</v>
      </c>
      <c r="AQ149" s="88">
        <f t="shared" si="574"/>
        <v>15.390686661404885</v>
      </c>
      <c r="AR149" s="88">
        <f t="shared" si="575"/>
        <v>11.147976111479752</v>
      </c>
      <c r="AS149" s="88">
        <f t="shared" si="576"/>
        <v>14.834794335805789</v>
      </c>
      <c r="AT149" s="91">
        <f t="shared" si="577"/>
        <v>13.645546372819094</v>
      </c>
      <c r="AU149" s="88">
        <f t="shared" si="577"/>
        <v>13.427299703264129</v>
      </c>
      <c r="AV149" s="88">
        <f t="shared" si="577"/>
        <v>2.941176470588247</v>
      </c>
      <c r="AW149" s="88">
        <f t="shared" si="577"/>
        <v>6.0298507462686946</v>
      </c>
      <c r="AX149" s="88">
        <f t="shared" si="577"/>
        <v>4.2278332354668269</v>
      </c>
      <c r="AY149" s="91">
        <f t="shared" si="587"/>
        <v>6.4156431803490621</v>
      </c>
      <c r="AZ149" s="88">
        <f t="shared" si="577"/>
        <v>12.81883584041854</v>
      </c>
      <c r="BA149" s="88">
        <f t="shared" si="578"/>
        <v>26.851949998664871</v>
      </c>
      <c r="BB149" s="88">
        <f t="shared" si="579"/>
        <v>21.155737010026108</v>
      </c>
      <c r="BC149" s="88">
        <f t="shared" si="580"/>
        <v>22.580045460550522</v>
      </c>
      <c r="BD149" s="91">
        <f t="shared" si="581"/>
        <v>20.905748575592131</v>
      </c>
      <c r="BE149" s="88">
        <f t="shared" si="582"/>
        <v>15.304466477484668</v>
      </c>
      <c r="BF149" s="88">
        <f t="shared" si="583"/>
        <v>9.0509385609868875</v>
      </c>
      <c r="BG149" s="88">
        <f t="shared" si="584"/>
        <v>10.497037383358233</v>
      </c>
      <c r="BH149" s="88">
        <f t="shared" si="585"/>
        <v>10.880648294789186</v>
      </c>
      <c r="BI149" s="91">
        <f t="shared" si="586"/>
        <v>11.296708369580898</v>
      </c>
    </row>
    <row r="150" spans="1:61" x14ac:dyDescent="0.2">
      <c r="A150" s="90" t="s">
        <v>106</v>
      </c>
      <c r="B150" s="88">
        <v>0</v>
      </c>
      <c r="C150" s="88">
        <v>0</v>
      </c>
      <c r="D150" s="88">
        <v>0</v>
      </c>
      <c r="E150" s="88">
        <v>0</v>
      </c>
      <c r="F150" s="91">
        <v>0</v>
      </c>
      <c r="G150" s="88">
        <f t="shared" si="538"/>
        <v>9.1954022988505848</v>
      </c>
      <c r="H150" s="88">
        <f t="shared" si="539"/>
        <v>4.3010752688172005</v>
      </c>
      <c r="I150" s="88">
        <f t="shared" si="540"/>
        <v>7.5268817204301008</v>
      </c>
      <c r="J150" s="88">
        <f t="shared" si="541"/>
        <v>-9.7826086956521721</v>
      </c>
      <c r="K150" s="91">
        <f t="shared" si="542"/>
        <v>2.7397260273972712</v>
      </c>
      <c r="L150" s="88">
        <f t="shared" si="543"/>
        <v>12.631578947368416</v>
      </c>
      <c r="M150" s="88">
        <f t="shared" si="544"/>
        <v>14.432989690721643</v>
      </c>
      <c r="N150" s="88">
        <f t="shared" si="545"/>
        <v>10.000000000000009</v>
      </c>
      <c r="O150" s="88">
        <f t="shared" si="546"/>
        <v>22.891566265060238</v>
      </c>
      <c r="P150" s="91">
        <f t="shared" si="547"/>
        <v>14.666666666666671</v>
      </c>
      <c r="Q150" s="88">
        <f t="shared" si="548"/>
        <v>-1.8691588785046731</v>
      </c>
      <c r="R150" s="88">
        <f t="shared" si="549"/>
        <v>1.8018018018018056</v>
      </c>
      <c r="S150" s="88">
        <f t="shared" si="550"/>
        <v>5.4545454545454453</v>
      </c>
      <c r="T150" s="88">
        <f t="shared" si="551"/>
        <v>12.745098039215685</v>
      </c>
      <c r="U150" s="91">
        <f t="shared" si="552"/>
        <v>4.4186046511627941</v>
      </c>
      <c r="V150" s="88">
        <f t="shared" si="553"/>
        <v>11.428571428571432</v>
      </c>
      <c r="W150" s="88">
        <f t="shared" si="554"/>
        <v>-15.044247787610621</v>
      </c>
      <c r="X150" s="88">
        <f t="shared" si="555"/>
        <v>-8.6206896551724093</v>
      </c>
      <c r="Y150" s="88">
        <f t="shared" si="556"/>
        <v>6.956521739130439</v>
      </c>
      <c r="Z150" s="91">
        <f t="shared" si="557"/>
        <v>-1.5590200445434244</v>
      </c>
      <c r="AA150" s="88">
        <f t="shared" si="558"/>
        <v>0</v>
      </c>
      <c r="AB150" s="88">
        <f t="shared" si="559"/>
        <v>34.375</v>
      </c>
      <c r="AC150" s="88">
        <f t="shared" si="560"/>
        <v>28.301886792452823</v>
      </c>
      <c r="AD150" s="88">
        <f t="shared" si="561"/>
        <v>12.195121951219523</v>
      </c>
      <c r="AE150" s="91">
        <f t="shared" si="562"/>
        <v>17.647058823529417</v>
      </c>
      <c r="AF150" s="88">
        <f t="shared" si="563"/>
        <v>-48.547008547008538</v>
      </c>
      <c r="AG150" s="88">
        <f t="shared" si="564"/>
        <v>-51.007751937984494</v>
      </c>
      <c r="AH150" s="88">
        <f t="shared" si="565"/>
        <v>-56.470588235294116</v>
      </c>
      <c r="AI150" s="88">
        <f t="shared" si="566"/>
        <v>-55.000000000000007</v>
      </c>
      <c r="AJ150" s="91">
        <f t="shared" si="567"/>
        <v>-52.942307692307686</v>
      </c>
      <c r="AK150" s="88">
        <f t="shared" si="568"/>
        <v>9.6345514950165967</v>
      </c>
      <c r="AL150" s="88">
        <f t="shared" si="569"/>
        <v>-0.9493670886076</v>
      </c>
      <c r="AM150" s="88">
        <f t="shared" si="570"/>
        <v>10.810810810810789</v>
      </c>
      <c r="AN150" s="88">
        <f t="shared" si="571"/>
        <v>13.204508856682761</v>
      </c>
      <c r="AO150" s="91">
        <f t="shared" si="572"/>
        <v>8.0915406620351469</v>
      </c>
      <c r="AP150" s="88">
        <f t="shared" si="573"/>
        <v>12.87878787878789</v>
      </c>
      <c r="AQ150" s="88">
        <f t="shared" si="574"/>
        <v>15.495207667731625</v>
      </c>
      <c r="AR150" s="88">
        <f t="shared" si="575"/>
        <v>17.682926829268308</v>
      </c>
      <c r="AS150" s="88">
        <f t="shared" si="576"/>
        <v>15.362731152204834</v>
      </c>
      <c r="AT150" s="91">
        <f t="shared" si="577"/>
        <v>15.349716446124773</v>
      </c>
      <c r="AU150" s="88">
        <f t="shared" si="577"/>
        <v>11.140939597315436</v>
      </c>
      <c r="AV150" s="88">
        <f t="shared" si="577"/>
        <v>19.363762102351313</v>
      </c>
      <c r="AW150" s="88">
        <f t="shared" si="577"/>
        <v>10.751295336787559</v>
      </c>
      <c r="AX150" s="88">
        <f t="shared" si="577"/>
        <v>17.509247842170161</v>
      </c>
      <c r="AY150" s="91">
        <f t="shared" si="587"/>
        <v>14.683710258931493</v>
      </c>
      <c r="AZ150" s="88">
        <f t="shared" si="577"/>
        <v>28.985507246376805</v>
      </c>
      <c r="BA150" s="88">
        <f t="shared" si="578"/>
        <v>23.646737957994191</v>
      </c>
      <c r="BB150" s="88">
        <f t="shared" si="579"/>
        <v>26.729717357722894</v>
      </c>
      <c r="BC150" s="88">
        <f t="shared" si="580"/>
        <v>14.639471317569708</v>
      </c>
      <c r="BD150" s="91">
        <f t="shared" si="581"/>
        <v>23.210191301585038</v>
      </c>
      <c r="BE150" s="88">
        <f t="shared" si="582"/>
        <v>4.2377124728725457</v>
      </c>
      <c r="BF150" s="88">
        <f t="shared" si="583"/>
        <v>5.9775230190177053</v>
      </c>
      <c r="BG150" s="88">
        <f t="shared" si="584"/>
        <v>5.0485912607884043</v>
      </c>
      <c r="BH150" s="88">
        <f t="shared" si="585"/>
        <v>5.69347762242709</v>
      </c>
      <c r="BI150" s="91">
        <f t="shared" si="586"/>
        <v>5.2410620148160447</v>
      </c>
    </row>
    <row r="151" spans="1:61" x14ac:dyDescent="0.2">
      <c r="A151" s="90" t="s">
        <v>115</v>
      </c>
      <c r="B151" s="88">
        <v>0</v>
      </c>
      <c r="C151" s="88">
        <v>0</v>
      </c>
      <c r="D151" s="88">
        <v>0</v>
      </c>
      <c r="E151" s="88">
        <v>0</v>
      </c>
      <c r="F151" s="91">
        <v>0</v>
      </c>
      <c r="G151" s="88">
        <f t="shared" si="538"/>
        <v>-19.999999999999996</v>
      </c>
      <c r="H151" s="88">
        <f t="shared" si="539"/>
        <v>-120</v>
      </c>
      <c r="I151" s="88">
        <f t="shared" si="540"/>
        <v>-300</v>
      </c>
      <c r="J151" s="88">
        <f t="shared" si="541"/>
        <v>-100</v>
      </c>
      <c r="K151" s="91">
        <f t="shared" si="542"/>
        <v>-158.33333333333334</v>
      </c>
      <c r="L151" s="88">
        <f t="shared" si="543"/>
        <v>-100</v>
      </c>
      <c r="M151" s="88">
        <f t="shared" si="544"/>
        <v>-500</v>
      </c>
      <c r="N151" s="88">
        <f t="shared" si="545"/>
        <v>-210</v>
      </c>
      <c r="O151" s="88" t="str">
        <f t="shared" si="546"/>
        <v>NM</v>
      </c>
      <c r="P151" s="91">
        <f t="shared" si="547"/>
        <v>-371.42857142857144</v>
      </c>
      <c r="Q151" s="88" t="str">
        <f t="shared" si="548"/>
        <v>NM</v>
      </c>
      <c r="R151" s="88">
        <f t="shared" si="549"/>
        <v>50</v>
      </c>
      <c r="S151" s="88">
        <f t="shared" si="550"/>
        <v>0</v>
      </c>
      <c r="T151" s="88">
        <f t="shared" si="551"/>
        <v>175</v>
      </c>
      <c r="U151" s="91">
        <f t="shared" si="552"/>
        <v>94.736842105263165</v>
      </c>
      <c r="V151" s="88">
        <f t="shared" si="553"/>
        <v>11.111111111111116</v>
      </c>
      <c r="W151" s="88">
        <f t="shared" si="554"/>
        <v>0</v>
      </c>
      <c r="X151" s="88">
        <f t="shared" si="555"/>
        <v>-36.363636363636367</v>
      </c>
      <c r="Y151" s="88">
        <f t="shared" si="556"/>
        <v>272.72727272727269</v>
      </c>
      <c r="Z151" s="91">
        <f t="shared" si="557"/>
        <v>72.972972972972983</v>
      </c>
      <c r="AA151" s="88">
        <f t="shared" si="558"/>
        <v>30.000000000000004</v>
      </c>
      <c r="AB151" s="88">
        <f t="shared" si="559"/>
        <v>116.66666666666666</v>
      </c>
      <c r="AC151" s="88">
        <f t="shared" si="560"/>
        <v>14.285714285714279</v>
      </c>
      <c r="AD151" s="88">
        <f t="shared" si="561"/>
        <v>-17.073170731707322</v>
      </c>
      <c r="AE151" s="91">
        <f t="shared" si="562"/>
        <v>6.25</v>
      </c>
      <c r="AF151" s="88">
        <f t="shared" si="563"/>
        <v>-100</v>
      </c>
      <c r="AG151" s="88">
        <f t="shared" si="564"/>
        <v>-131.53846153846155</v>
      </c>
      <c r="AH151" s="88">
        <f t="shared" si="565"/>
        <v>-193.75</v>
      </c>
      <c r="AI151" s="88">
        <f t="shared" si="566"/>
        <v>-99.411764705882348</v>
      </c>
      <c r="AJ151" s="91">
        <f t="shared" si="567"/>
        <v>-116.76470588235294</v>
      </c>
      <c r="AK151" s="185" t="str">
        <f t="shared" si="568"/>
        <v>NM</v>
      </c>
      <c r="AL151" s="88">
        <f t="shared" si="569"/>
        <v>-29.268292682926823</v>
      </c>
      <c r="AM151" s="88">
        <f t="shared" si="570"/>
        <v>-118.66666666666666</v>
      </c>
      <c r="AN151" s="88">
        <f>IFERROR((AN90/AI90-1)*100,"NM")</f>
        <v>-4000.0000000000009</v>
      </c>
      <c r="AO151" s="91">
        <f t="shared" si="572"/>
        <v>187.719298245614</v>
      </c>
      <c r="AP151" s="88">
        <f t="shared" si="573"/>
        <v>-110.63829787234043</v>
      </c>
      <c r="AQ151" s="88">
        <f t="shared" si="574"/>
        <v>-186.20689655172416</v>
      </c>
      <c r="AR151" s="88">
        <f t="shared" si="575"/>
        <v>121.42857142857144</v>
      </c>
      <c r="AS151" s="88">
        <f t="shared" si="576"/>
        <v>-682.05128205128199</v>
      </c>
      <c r="AT151" s="91">
        <f t="shared" si="577"/>
        <v>-263.10975609756099</v>
      </c>
      <c r="AU151" s="88">
        <f t="shared" si="577"/>
        <v>2847.9999999999995</v>
      </c>
      <c r="AV151" s="88">
        <f t="shared" si="577"/>
        <v>8.0000000000000071</v>
      </c>
      <c r="AW151" s="88">
        <f t="shared" si="577"/>
        <v>-16.129032258064512</v>
      </c>
      <c r="AX151" s="88">
        <f t="shared" si="577"/>
        <v>-94.933920704845804</v>
      </c>
      <c r="AY151" s="91">
        <f t="shared" si="587"/>
        <v>51.962616822429887</v>
      </c>
      <c r="AZ151" s="88">
        <f t="shared" si="577"/>
        <v>-164.31478968792405</v>
      </c>
      <c r="BA151" s="88">
        <f t="shared" si="578"/>
        <v>85.185185185185162</v>
      </c>
      <c r="BB151" s="88">
        <f t="shared" si="579"/>
        <v>92.307692307692292</v>
      </c>
      <c r="BC151" s="88">
        <f t="shared" si="580"/>
        <v>117.39130434782608</v>
      </c>
      <c r="BD151" s="91">
        <f t="shared" si="581"/>
        <v>-139.85239852398524</v>
      </c>
      <c r="BE151" s="88">
        <f t="shared" si="582"/>
        <v>-110.54852320675106</v>
      </c>
      <c r="BF151" s="88">
        <f t="shared" si="583"/>
        <v>0</v>
      </c>
      <c r="BG151" s="88">
        <f t="shared" si="584"/>
        <v>0</v>
      </c>
      <c r="BH151" s="88">
        <f t="shared" si="585"/>
        <v>0</v>
      </c>
      <c r="BI151" s="91">
        <f t="shared" si="586"/>
        <v>-161.72839506172838</v>
      </c>
    </row>
    <row r="152" spans="1:61" x14ac:dyDescent="0.2">
      <c r="A152" s="12" t="s">
        <v>108</v>
      </c>
      <c r="B152" s="88">
        <v>0</v>
      </c>
      <c r="C152" s="88">
        <v>0</v>
      </c>
      <c r="D152" s="88">
        <v>0</v>
      </c>
      <c r="E152" s="88">
        <v>0</v>
      </c>
      <c r="F152" s="91">
        <v>0</v>
      </c>
      <c r="G152" s="88">
        <f t="shared" si="538"/>
        <v>0</v>
      </c>
      <c r="H152" s="88">
        <f t="shared" si="539"/>
        <v>-3.8461538461538436</v>
      </c>
      <c r="I152" s="88">
        <f t="shared" si="540"/>
        <v>-21.621621621621621</v>
      </c>
      <c r="J152" s="88">
        <f t="shared" si="541"/>
        <v>16.161616161616156</v>
      </c>
      <c r="K152" s="91">
        <f t="shared" si="542"/>
        <v>-2.9411764705882359</v>
      </c>
      <c r="L152" s="88">
        <f t="shared" si="543"/>
        <v>-6.3829787234042534</v>
      </c>
      <c r="M152" s="88">
        <f t="shared" si="544"/>
        <v>0</v>
      </c>
      <c r="N152" s="88">
        <f t="shared" si="545"/>
        <v>17.241379310344819</v>
      </c>
      <c r="O152" s="88">
        <f t="shared" si="546"/>
        <v>-8.6956521739130483</v>
      </c>
      <c r="P152" s="91">
        <f t="shared" si="547"/>
        <v>-0.2525252525252486</v>
      </c>
      <c r="Q152" s="88">
        <f t="shared" si="548"/>
        <v>-1.1363636363636354</v>
      </c>
      <c r="R152" s="88">
        <f t="shared" si="549"/>
        <v>-4.0000000000000036</v>
      </c>
      <c r="S152" s="88">
        <f t="shared" si="550"/>
        <v>0</v>
      </c>
      <c r="T152" s="88">
        <f t="shared" si="551"/>
        <v>7.6190476190476142</v>
      </c>
      <c r="U152" s="91">
        <f t="shared" si="552"/>
        <v>0.75949367088608</v>
      </c>
      <c r="V152" s="88">
        <f t="shared" si="553"/>
        <v>19.540229885057482</v>
      </c>
      <c r="W152" s="88">
        <f t="shared" si="554"/>
        <v>21.875</v>
      </c>
      <c r="X152" s="88">
        <f t="shared" si="555"/>
        <v>-13.725490196078427</v>
      </c>
      <c r="Y152" s="88">
        <f t="shared" si="556"/>
        <v>55.752212389380531</v>
      </c>
      <c r="Z152" s="91">
        <f t="shared" si="557"/>
        <v>21.859296482412049</v>
      </c>
      <c r="AA152" s="88">
        <f t="shared" si="558"/>
        <v>19.23076923076923</v>
      </c>
      <c r="AB152" s="88">
        <f t="shared" si="559"/>
        <v>11.965811965811968</v>
      </c>
      <c r="AC152" s="88">
        <f t="shared" si="560"/>
        <v>48.863636363636353</v>
      </c>
      <c r="AD152" s="88">
        <f t="shared" si="561"/>
        <v>-19.318181818181824</v>
      </c>
      <c r="AE152" s="91">
        <f t="shared" si="562"/>
        <v>8.8659793814432888</v>
      </c>
      <c r="AF152" s="88">
        <f t="shared" si="563"/>
        <v>-58.064516129032249</v>
      </c>
      <c r="AG152" s="88">
        <f t="shared" si="564"/>
        <v>-69.465648854961827</v>
      </c>
      <c r="AH152" s="88">
        <f t="shared" si="565"/>
        <v>-53.358778625954216</v>
      </c>
      <c r="AI152" s="88">
        <f t="shared" si="566"/>
        <v>-52.676056338028197</v>
      </c>
      <c r="AJ152" s="91">
        <f t="shared" si="567"/>
        <v>-58.27651515151517</v>
      </c>
      <c r="AK152" s="88">
        <f t="shared" si="568"/>
        <v>-43.653846153846146</v>
      </c>
      <c r="AL152" s="88">
        <f t="shared" si="569"/>
        <v>52.999999999999915</v>
      </c>
      <c r="AM152" s="88">
        <f t="shared" si="570"/>
        <v>41.571194762684158</v>
      </c>
      <c r="AN152" s="88">
        <f t="shared" si="571"/>
        <v>4.4642857142858094</v>
      </c>
      <c r="AO152" s="91">
        <f t="shared" si="572"/>
        <v>12.210621879255633</v>
      </c>
      <c r="AP152" s="88">
        <f t="shared" si="573"/>
        <v>114.33447098976094</v>
      </c>
      <c r="AQ152" s="88">
        <f t="shared" si="574"/>
        <v>24.836601307189543</v>
      </c>
      <c r="AR152" s="88">
        <f t="shared" si="575"/>
        <v>7.9768786127167202</v>
      </c>
      <c r="AS152" s="88">
        <f t="shared" si="576"/>
        <v>91.737891737891729</v>
      </c>
      <c r="AT152" s="91">
        <f t="shared" si="577"/>
        <v>48.543689320388324</v>
      </c>
      <c r="AU152" s="88">
        <f t="shared" si="577"/>
        <v>128.9808917197453</v>
      </c>
      <c r="AV152" s="88">
        <f t="shared" si="577"/>
        <v>-12.434554973821976</v>
      </c>
      <c r="AW152" s="88">
        <f t="shared" si="577"/>
        <v>1.3918629550321748</v>
      </c>
      <c r="AX152" s="88">
        <f t="shared" si="577"/>
        <v>-37.221396731054988</v>
      </c>
      <c r="AY152" s="91">
        <f t="shared" si="587"/>
        <v>6.1819172113289911</v>
      </c>
      <c r="AZ152" s="88">
        <f t="shared" si="577"/>
        <v>-87.273991655076486</v>
      </c>
      <c r="BA152" s="88">
        <f t="shared" si="578"/>
        <v>33.340881749240125</v>
      </c>
      <c r="BB152" s="88">
        <f t="shared" si="579"/>
        <v>18.076748245990835</v>
      </c>
      <c r="BC152" s="88">
        <f t="shared" si="580"/>
        <v>34.11617103767248</v>
      </c>
      <c r="BD152" s="91">
        <f t="shared" si="581"/>
        <v>-14.68276609232413</v>
      </c>
      <c r="BE152" s="88">
        <f t="shared" si="582"/>
        <v>405.87064345701151</v>
      </c>
      <c r="BF152" s="88">
        <f t="shared" si="583"/>
        <v>12.220049213956719</v>
      </c>
      <c r="BG152" s="88">
        <f t="shared" si="584"/>
        <v>15.307282344354057</v>
      </c>
      <c r="BH152" s="88">
        <f t="shared" si="585"/>
        <v>15.401170642552131</v>
      </c>
      <c r="BI152" s="91">
        <f t="shared" si="586"/>
        <v>35.997237864740761</v>
      </c>
    </row>
    <row r="153" spans="1:61" x14ac:dyDescent="0.2">
      <c r="A153" s="12" t="s">
        <v>134</v>
      </c>
      <c r="B153" s="88">
        <v>0</v>
      </c>
      <c r="C153" s="88">
        <v>0</v>
      </c>
      <c r="D153" s="88">
        <v>0</v>
      </c>
      <c r="E153" s="88">
        <v>0</v>
      </c>
      <c r="F153" s="91">
        <v>0</v>
      </c>
      <c r="G153" s="88">
        <f t="shared" si="538"/>
        <v>1200</v>
      </c>
      <c r="H153" s="88">
        <f t="shared" si="539"/>
        <v>-1800</v>
      </c>
      <c r="I153" s="88">
        <f t="shared" si="540"/>
        <v>750</v>
      </c>
      <c r="J153" s="88">
        <f t="shared" si="541"/>
        <v>300</v>
      </c>
      <c r="K153" s="91">
        <f t="shared" si="542"/>
        <v>518.18181818181813</v>
      </c>
      <c r="L153" s="88">
        <f t="shared" si="543"/>
        <v>-61.53846153846154</v>
      </c>
      <c r="M153" s="88">
        <f t="shared" si="544"/>
        <v>-41.17647058823529</v>
      </c>
      <c r="N153" s="88">
        <f t="shared" si="545"/>
        <v>-41.17647058823529</v>
      </c>
      <c r="O153" s="88">
        <f t="shared" si="546"/>
        <v>-139.47368421052633</v>
      </c>
      <c r="P153" s="91">
        <f t="shared" si="547"/>
        <v>-100</v>
      </c>
      <c r="Q153" s="88">
        <f t="shared" si="548"/>
        <v>-80</v>
      </c>
      <c r="R153" s="88">
        <f t="shared" si="549"/>
        <v>-70</v>
      </c>
      <c r="S153" s="88">
        <f t="shared" si="550"/>
        <v>-80</v>
      </c>
      <c r="T153" s="88">
        <f t="shared" si="551"/>
        <v>123.33333333333334</v>
      </c>
      <c r="U153" s="186" t="str">
        <f t="shared" si="552"/>
        <v>NM</v>
      </c>
      <c r="V153" s="88">
        <f t="shared" si="553"/>
        <v>350</v>
      </c>
      <c r="W153" s="88">
        <f t="shared" si="554"/>
        <v>200</v>
      </c>
      <c r="X153" s="88">
        <f t="shared" si="555"/>
        <v>350</v>
      </c>
      <c r="Y153" s="88">
        <f t="shared" si="556"/>
        <v>-147.76119402985074</v>
      </c>
      <c r="Z153" s="91">
        <f t="shared" si="557"/>
        <v>-198.33333333333334</v>
      </c>
      <c r="AA153" s="88">
        <f t="shared" si="558"/>
        <v>44.444444444444443</v>
      </c>
      <c r="AB153" s="88">
        <f t="shared" si="559"/>
        <v>55.555555555555557</v>
      </c>
      <c r="AC153" s="88">
        <f t="shared" si="560"/>
        <v>55.555555555555557</v>
      </c>
      <c r="AD153" s="88">
        <f t="shared" si="561"/>
        <v>165.625</v>
      </c>
      <c r="AE153" s="91">
        <f t="shared" si="562"/>
        <v>113.55932203389831</v>
      </c>
      <c r="AF153" s="88">
        <f t="shared" si="563"/>
        <v>-28.46153846153846</v>
      </c>
      <c r="AG153" s="88">
        <f t="shared" si="564"/>
        <v>-34.285714285714285</v>
      </c>
      <c r="AH153" s="88">
        <f t="shared" si="565"/>
        <v>-34.285714285714285</v>
      </c>
      <c r="AI153" s="88">
        <f t="shared" si="566"/>
        <v>-140.70588235294119</v>
      </c>
      <c r="AJ153" s="91">
        <f t="shared" si="567"/>
        <v>-105.47619047619048</v>
      </c>
      <c r="AK153" s="88">
        <f t="shared" si="568"/>
        <v>-139.78494623655914</v>
      </c>
      <c r="AL153" s="88">
        <f t="shared" si="569"/>
        <v>-139.13043478260869</v>
      </c>
      <c r="AM153" s="88">
        <f t="shared" si="570"/>
        <v>-140.21739130434781</v>
      </c>
      <c r="AN153" s="88">
        <f t="shared" si="571"/>
        <v>-211.56069364161851</v>
      </c>
      <c r="AO153" s="91">
        <f t="shared" si="572"/>
        <v>-499.99999999999989</v>
      </c>
      <c r="AP153" s="88">
        <f t="shared" si="573"/>
        <v>-8.1081081081081141</v>
      </c>
      <c r="AQ153" s="88">
        <f t="shared" si="574"/>
        <v>0</v>
      </c>
      <c r="AR153" s="88">
        <f t="shared" si="575"/>
        <v>-8.1081081081081141</v>
      </c>
      <c r="AS153" s="88">
        <f t="shared" si="576"/>
        <v>-103.36787564766838</v>
      </c>
      <c r="AT153" s="91">
        <f t="shared" si="577"/>
        <v>-142.39130434782606</v>
      </c>
      <c r="AU153" s="88">
        <f t="shared" si="577"/>
        <v>-126.47058823529412</v>
      </c>
      <c r="AV153" s="88">
        <f t="shared" si="577"/>
        <v>-125</v>
      </c>
      <c r="AW153" s="88">
        <f t="shared" si="577"/>
        <v>-126.47058823529412</v>
      </c>
      <c r="AX153" s="88">
        <f t="shared" si="577"/>
        <v>1923.0769230769231</v>
      </c>
      <c r="AY153" s="91">
        <f t="shared" si="587"/>
        <v>101.7094017094017</v>
      </c>
      <c r="AZ153" s="88">
        <f t="shared" si="577"/>
        <v>33.333333333333329</v>
      </c>
      <c r="BA153" s="88">
        <f t="shared" si="578"/>
        <v>-433.33333333333331</v>
      </c>
      <c r="BB153" s="88">
        <f t="shared" si="579"/>
        <v>-433.33333333333331</v>
      </c>
      <c r="BC153" s="88">
        <f t="shared" si="580"/>
        <v>-88.593155893536121</v>
      </c>
      <c r="BD153" s="91">
        <f t="shared" si="581"/>
        <v>-66.949152542372886</v>
      </c>
      <c r="BE153" s="88">
        <f t="shared" si="582"/>
        <v>-350</v>
      </c>
      <c r="BF153" s="88">
        <f t="shared" si="583"/>
        <v>0</v>
      </c>
      <c r="BG153" s="88">
        <f t="shared" si="584"/>
        <v>0</v>
      </c>
      <c r="BH153" s="88">
        <f t="shared" si="585"/>
        <v>0</v>
      </c>
      <c r="BI153" s="91">
        <f t="shared" si="586"/>
        <v>53.846153846153854</v>
      </c>
    </row>
    <row r="154" spans="1:61" x14ac:dyDescent="0.2">
      <c r="A154" s="12" t="s">
        <v>48</v>
      </c>
      <c r="B154" s="88">
        <v>0</v>
      </c>
      <c r="C154" s="88">
        <v>0</v>
      </c>
      <c r="D154" s="88">
        <v>0</v>
      </c>
      <c r="E154" s="88">
        <v>0</v>
      </c>
      <c r="F154" s="91">
        <v>0</v>
      </c>
      <c r="G154" s="88" t="str">
        <f t="shared" si="538"/>
        <v>NM</v>
      </c>
      <c r="H154" s="88" t="str">
        <f t="shared" si="539"/>
        <v>NM</v>
      </c>
      <c r="I154" s="88" t="str">
        <f t="shared" si="540"/>
        <v>NM</v>
      </c>
      <c r="J154" s="88">
        <f t="shared" si="541"/>
        <v>55.555555555555557</v>
      </c>
      <c r="K154" s="91">
        <f t="shared" si="542"/>
        <v>366.66666666666669</v>
      </c>
      <c r="L154" s="88">
        <f t="shared" si="543"/>
        <v>39.999999999999993</v>
      </c>
      <c r="M154" s="88">
        <f t="shared" si="544"/>
        <v>100</v>
      </c>
      <c r="N154" s="88">
        <f t="shared" si="545"/>
        <v>50</v>
      </c>
      <c r="O154" s="88">
        <f t="shared" si="546"/>
        <v>28.57142857142858</v>
      </c>
      <c r="P154" s="91">
        <f t="shared" si="547"/>
        <v>50</v>
      </c>
      <c r="Q154" s="88">
        <f t="shared" si="548"/>
        <v>21.42857142857142</v>
      </c>
      <c r="R154" s="88">
        <f t="shared" si="549"/>
        <v>18.75</v>
      </c>
      <c r="S154" s="88">
        <f t="shared" si="550"/>
        <v>26.666666666666661</v>
      </c>
      <c r="T154" s="88">
        <f t="shared" si="551"/>
        <v>0</v>
      </c>
      <c r="U154" s="91">
        <f t="shared" si="552"/>
        <v>15.873015873015884</v>
      </c>
      <c r="V154" s="88">
        <f t="shared" si="553"/>
        <v>-5.8823529411764719</v>
      </c>
      <c r="W154" s="88">
        <f t="shared" si="554"/>
        <v>100</v>
      </c>
      <c r="X154" s="88">
        <f t="shared" si="555"/>
        <v>0</v>
      </c>
      <c r="Y154" s="88">
        <f t="shared" si="556"/>
        <v>11.111111111111116</v>
      </c>
      <c r="Z154" s="91">
        <f t="shared" si="557"/>
        <v>27.397260273972602</v>
      </c>
      <c r="AA154" s="88">
        <f t="shared" si="558"/>
        <v>25</v>
      </c>
      <c r="AB154" s="88">
        <f t="shared" si="559"/>
        <v>44.736842105263165</v>
      </c>
      <c r="AC154" s="88">
        <f t="shared" si="560"/>
        <v>-10.526315789473683</v>
      </c>
      <c r="AD154" s="88">
        <f t="shared" si="561"/>
        <v>-5.0000000000000044</v>
      </c>
      <c r="AE154" s="91">
        <f t="shared" si="562"/>
        <v>19.354838709677423</v>
      </c>
      <c r="AF154" s="88">
        <f t="shared" si="563"/>
        <v>-15.000000000000002</v>
      </c>
      <c r="AG154" s="88">
        <f t="shared" si="564"/>
        <v>-69.27272727272728</v>
      </c>
      <c r="AH154" s="88">
        <f t="shared" si="565"/>
        <v>1.7647058823529349</v>
      </c>
      <c r="AI154" s="88">
        <f t="shared" si="566"/>
        <v>-4.7368421052631504</v>
      </c>
      <c r="AJ154" s="91">
        <f t="shared" si="567"/>
        <v>-37.567567567567565</v>
      </c>
      <c r="AK154" s="88">
        <f t="shared" si="568"/>
        <v>9.9999999999999858</v>
      </c>
      <c r="AL154" s="88">
        <f t="shared" si="569"/>
        <v>-21.301775147928982</v>
      </c>
      <c r="AM154" s="88">
        <f t="shared" si="570"/>
        <v>-126.58959537572254</v>
      </c>
      <c r="AN154" s="88">
        <f t="shared" si="571"/>
        <v>-39.77900552486188</v>
      </c>
      <c r="AO154" s="91">
        <f t="shared" si="572"/>
        <v>-44.73304473304475</v>
      </c>
      <c r="AP154" s="88">
        <f t="shared" si="573"/>
        <v>-27.27272727272727</v>
      </c>
      <c r="AQ154" s="88">
        <f t="shared" si="574"/>
        <v>16.541353383458635</v>
      </c>
      <c r="AR154" s="88">
        <f t="shared" si="575"/>
        <v>-639.13043478260875</v>
      </c>
      <c r="AS154" s="88">
        <f t="shared" si="576"/>
        <v>65.13761467889907</v>
      </c>
      <c r="AT154" s="91">
        <f t="shared" si="577"/>
        <v>87.728459530026143</v>
      </c>
      <c r="AU154" s="88">
        <f t="shared" si="577"/>
        <v>28.676470588235304</v>
      </c>
      <c r="AV154" s="88">
        <f t="shared" si="577"/>
        <v>9.0322580645161299</v>
      </c>
      <c r="AW154" s="88">
        <f t="shared" si="577"/>
        <v>-25</v>
      </c>
      <c r="AX154" s="88">
        <f t="shared" si="577"/>
        <v>16.666666666666675</v>
      </c>
      <c r="AY154" s="91">
        <f t="shared" si="587"/>
        <v>2.9207232267037364</v>
      </c>
      <c r="AZ154" s="88">
        <f t="shared" si="577"/>
        <v>45.714285714285708</v>
      </c>
      <c r="BA154" s="88">
        <f t="shared" si="578"/>
        <v>95.266272189349138</v>
      </c>
      <c r="BB154" s="88">
        <f t="shared" si="579"/>
        <v>77.419354838709651</v>
      </c>
      <c r="BC154" s="88">
        <f t="shared" si="580"/>
        <v>57.142857142857139</v>
      </c>
      <c r="BD154" s="91">
        <f t="shared" si="581"/>
        <v>68.243243243243242</v>
      </c>
      <c r="BE154" s="88">
        <f t="shared" si="582"/>
        <v>29.411764705882359</v>
      </c>
      <c r="BF154" s="88">
        <f t="shared" si="583"/>
        <v>0</v>
      </c>
      <c r="BG154" s="88">
        <f t="shared" si="584"/>
        <v>-3.0303030303030276</v>
      </c>
      <c r="BH154" s="88">
        <f t="shared" si="585"/>
        <v>-3.0303030303030276</v>
      </c>
      <c r="BI154" s="91">
        <f t="shared" si="586"/>
        <v>4.4176706827309342</v>
      </c>
    </row>
    <row r="155" spans="1:61" x14ac:dyDescent="0.2">
      <c r="A155" s="12" t="s">
        <v>49</v>
      </c>
      <c r="B155" s="88">
        <v>0</v>
      </c>
      <c r="C155" s="88">
        <v>0</v>
      </c>
      <c r="D155" s="88">
        <v>0</v>
      </c>
      <c r="E155" s="88">
        <v>0</v>
      </c>
      <c r="F155" s="91">
        <v>0</v>
      </c>
      <c r="G155" s="88">
        <f t="shared" si="538"/>
        <v>14.583333333333325</v>
      </c>
      <c r="H155" s="88">
        <f t="shared" si="539"/>
        <v>5.8252427184465994</v>
      </c>
      <c r="I155" s="88">
        <f t="shared" si="540"/>
        <v>-16.814159292035402</v>
      </c>
      <c r="J155" s="88">
        <f t="shared" si="541"/>
        <v>62.385321100917437</v>
      </c>
      <c r="K155" s="91">
        <f t="shared" si="542"/>
        <v>16.389548693586708</v>
      </c>
      <c r="L155" s="88">
        <f t="shared" si="543"/>
        <v>-23.636363636363633</v>
      </c>
      <c r="M155" s="88">
        <f t="shared" si="544"/>
        <v>-13.761467889908252</v>
      </c>
      <c r="N155" s="88">
        <f t="shared" si="545"/>
        <v>3.1914893617021267</v>
      </c>
      <c r="O155" s="88">
        <f t="shared" si="546"/>
        <v>-67.796610169491515</v>
      </c>
      <c r="P155" s="91">
        <f t="shared" si="547"/>
        <v>-32.244897959183675</v>
      </c>
      <c r="Q155" s="88">
        <f t="shared" si="548"/>
        <v>-14.28571428571429</v>
      </c>
      <c r="R155" s="88">
        <f t="shared" si="549"/>
        <v>-14.893617021276595</v>
      </c>
      <c r="S155" s="88">
        <f t="shared" si="550"/>
        <v>-12.371134020618557</v>
      </c>
      <c r="T155" s="88">
        <f t="shared" si="551"/>
        <v>-50.877192982456144</v>
      </c>
      <c r="U155" s="91">
        <f t="shared" si="552"/>
        <v>-20.180722891566262</v>
      </c>
      <c r="V155" s="88">
        <f t="shared" si="553"/>
        <v>34.722222222222229</v>
      </c>
      <c r="W155" s="88">
        <f t="shared" si="554"/>
        <v>10.000000000000009</v>
      </c>
      <c r="X155" s="88">
        <f t="shared" si="555"/>
        <v>-8.2352941176470633</v>
      </c>
      <c r="Y155" s="88">
        <f t="shared" si="556"/>
        <v>571.42857142857144</v>
      </c>
      <c r="Z155" s="91">
        <f t="shared" si="557"/>
        <v>70.188679245283026</v>
      </c>
      <c r="AA155" s="88">
        <f t="shared" si="558"/>
        <v>20.618556701030922</v>
      </c>
      <c r="AB155" s="88">
        <f t="shared" si="559"/>
        <v>2.2727272727272707</v>
      </c>
      <c r="AC155" s="88">
        <f t="shared" si="560"/>
        <v>64.102564102564102</v>
      </c>
      <c r="AD155" s="88">
        <f t="shared" si="561"/>
        <v>10.638297872340431</v>
      </c>
      <c r="AE155" s="91">
        <f t="shared" si="562"/>
        <v>20.399113082039921</v>
      </c>
      <c r="AF155" s="88">
        <f t="shared" si="563"/>
        <v>-62.136752136752129</v>
      </c>
      <c r="AG155" s="88">
        <f t="shared" si="564"/>
        <v>-64.1111111111111</v>
      </c>
      <c r="AH155" s="88">
        <f t="shared" si="565"/>
        <v>-58.593750000000021</v>
      </c>
      <c r="AI155" s="88">
        <f t="shared" si="566"/>
        <v>-93.028846153846175</v>
      </c>
      <c r="AJ155" s="91">
        <f t="shared" si="567"/>
        <v>-73.462246777163926</v>
      </c>
      <c r="AK155" s="88">
        <f t="shared" si="568"/>
        <v>-84.424379232505615</v>
      </c>
      <c r="AL155" s="88">
        <f t="shared" si="569"/>
        <v>37.151702786377605</v>
      </c>
      <c r="AM155" s="88">
        <f t="shared" si="570"/>
        <v>64.905660377358572</v>
      </c>
      <c r="AN155" s="88">
        <f t="shared" si="571"/>
        <v>575.17241379310553</v>
      </c>
      <c r="AO155" s="91">
        <f t="shared" si="572"/>
        <v>64.122137404580343</v>
      </c>
      <c r="AP155" s="88">
        <f t="shared" si="573"/>
        <v>563.76811594202752</v>
      </c>
      <c r="AQ155" s="88">
        <f t="shared" si="574"/>
        <v>29.345372460496645</v>
      </c>
      <c r="AR155" s="88">
        <f t="shared" si="575"/>
        <v>-25.400457665903943</v>
      </c>
      <c r="AS155" s="88">
        <f t="shared" si="576"/>
        <v>17.773237997957093</v>
      </c>
      <c r="AT155" s="91">
        <f t="shared" si="577"/>
        <v>19.915433403805459</v>
      </c>
      <c r="AU155" s="88">
        <f t="shared" si="577"/>
        <v>177.72925764192155</v>
      </c>
      <c r="AV155" s="88">
        <f t="shared" si="577"/>
        <v>-11.169284467713759</v>
      </c>
      <c r="AW155" s="88">
        <f t="shared" si="577"/>
        <v>18.098159509202549</v>
      </c>
      <c r="AX155" s="88">
        <f t="shared" si="577"/>
        <v>-67.736339982653959</v>
      </c>
      <c r="AY155" s="91">
        <f t="shared" si="587"/>
        <v>3.0677009873060879</v>
      </c>
      <c r="AZ155" s="88">
        <f t="shared" si="577"/>
        <v>-104.71698113207546</v>
      </c>
      <c r="BA155" s="88">
        <f t="shared" si="578"/>
        <v>4.5285852460543286</v>
      </c>
      <c r="BB155" s="88">
        <f t="shared" si="579"/>
        <v>-1.5341810533073708</v>
      </c>
      <c r="BC155" s="88">
        <f t="shared" si="580"/>
        <v>107.87141001836895</v>
      </c>
      <c r="BD155" s="91">
        <f t="shared" si="581"/>
        <v>-31.456758465265743</v>
      </c>
      <c r="BE155" s="88">
        <f t="shared" si="582"/>
        <v>-1042.9054625438878</v>
      </c>
      <c r="BF155" s="88">
        <f t="shared" si="583"/>
        <v>20.488470587679153</v>
      </c>
      <c r="BG155" s="88">
        <f t="shared" si="584"/>
        <v>23.894376703413698</v>
      </c>
      <c r="BH155" s="88">
        <f t="shared" si="585"/>
        <v>23.864350224485452</v>
      </c>
      <c r="BI155" s="91">
        <f t="shared" si="586"/>
        <v>54.926105841712491</v>
      </c>
    </row>
    <row r="156" spans="1:61" x14ac:dyDescent="0.2">
      <c r="A156" s="12"/>
      <c r="B156" s="88"/>
      <c r="C156" s="88"/>
      <c r="D156" s="88"/>
      <c r="E156" s="88"/>
      <c r="F156" s="91"/>
      <c r="G156" s="88"/>
      <c r="H156" s="88"/>
      <c r="I156" s="88"/>
      <c r="J156" s="88"/>
      <c r="K156" s="91"/>
      <c r="L156" s="88"/>
      <c r="M156" s="88"/>
      <c r="N156" s="88"/>
      <c r="O156" s="88"/>
      <c r="P156" s="91"/>
      <c r="Q156" s="88"/>
      <c r="R156" s="88"/>
      <c r="S156" s="88"/>
      <c r="T156" s="88"/>
      <c r="U156" s="91"/>
      <c r="V156" s="88"/>
      <c r="W156" s="88"/>
      <c r="X156" s="88"/>
      <c r="Y156" s="88"/>
      <c r="Z156" s="91"/>
      <c r="AA156" s="88"/>
      <c r="AB156" s="88"/>
      <c r="AC156" s="88"/>
      <c r="AD156" s="88"/>
      <c r="AE156" s="91"/>
      <c r="AF156" s="88"/>
      <c r="AG156" s="88"/>
      <c r="AH156" s="88"/>
      <c r="AI156" s="88"/>
      <c r="AJ156" s="91"/>
      <c r="AK156" s="88"/>
      <c r="AL156" s="88"/>
      <c r="AM156" s="88"/>
      <c r="AN156" s="88"/>
      <c r="AO156" s="91"/>
      <c r="AP156" s="88"/>
      <c r="AQ156" s="88"/>
      <c r="AR156" s="88"/>
      <c r="AS156" s="88"/>
      <c r="AT156" s="91"/>
      <c r="AU156" s="88"/>
      <c r="AV156" s="88"/>
      <c r="AW156" s="88"/>
      <c r="AX156" s="88"/>
      <c r="AY156" s="91"/>
      <c r="AZ156" s="88"/>
      <c r="BA156" s="88"/>
      <c r="BB156" s="88"/>
      <c r="BC156" s="88"/>
      <c r="BD156" s="91"/>
      <c r="BE156" s="88"/>
      <c r="BF156" s="88"/>
      <c r="BG156" s="88"/>
      <c r="BH156" s="88"/>
      <c r="BI156" s="91"/>
    </row>
    <row r="157" spans="1:61" x14ac:dyDescent="0.2">
      <c r="A157" s="12" t="s">
        <v>137</v>
      </c>
      <c r="B157" s="88">
        <v>0</v>
      </c>
      <c r="C157" s="88">
        <v>0</v>
      </c>
      <c r="D157" s="88">
        <v>0</v>
      </c>
      <c r="E157" s="88">
        <v>0</v>
      </c>
      <c r="F157" s="91">
        <v>0</v>
      </c>
      <c r="G157" s="88">
        <f t="shared" ref="G157:AZ157" si="588">IFERROR((G114/B114-1)*100,"NM")</f>
        <v>10.769230769230752</v>
      </c>
      <c r="H157" s="88">
        <f t="shared" si="588"/>
        <v>4.2331714087439076</v>
      </c>
      <c r="I157" s="88">
        <f t="shared" si="588"/>
        <v>-23.333333333333329</v>
      </c>
      <c r="J157" s="88">
        <f t="shared" si="588"/>
        <v>-2.9139183434916949</v>
      </c>
      <c r="K157" s="91">
        <f t="shared" si="588"/>
        <v>-4.3973875457419815</v>
      </c>
      <c r="L157" s="88">
        <f t="shared" si="588"/>
        <v>-16.838558855885587</v>
      </c>
      <c r="M157" s="88">
        <f t="shared" si="588"/>
        <v>-7.190412782956046</v>
      </c>
      <c r="N157" s="88">
        <f t="shared" si="588"/>
        <v>-6.477373558118904</v>
      </c>
      <c r="O157" s="88">
        <f t="shared" si="588"/>
        <v>1.5937788728056734</v>
      </c>
      <c r="P157" s="91">
        <f t="shared" si="588"/>
        <v>-7.3377800964221311</v>
      </c>
      <c r="Q157" s="88">
        <f t="shared" si="588"/>
        <v>-7.6136669357008362</v>
      </c>
      <c r="R157" s="88">
        <f t="shared" si="588"/>
        <v>4.2639277933395503</v>
      </c>
      <c r="S157" s="88">
        <f t="shared" si="588"/>
        <v>17.084826762246095</v>
      </c>
      <c r="T157" s="88">
        <f t="shared" si="588"/>
        <v>16.605616605616589</v>
      </c>
      <c r="U157" s="91">
        <f t="shared" si="588"/>
        <v>7.9780345517624474</v>
      </c>
      <c r="V157" s="88">
        <f t="shared" si="588"/>
        <v>29.411764705882359</v>
      </c>
      <c r="W157" s="88">
        <f t="shared" si="588"/>
        <v>11.03524928548747</v>
      </c>
      <c r="X157" s="88">
        <f t="shared" si="588"/>
        <v>-23.064516129032242</v>
      </c>
      <c r="Y157" s="88">
        <f t="shared" si="588"/>
        <v>15.161290322580644</v>
      </c>
      <c r="Z157" s="91">
        <f t="shared" si="588"/>
        <v>6.6994005600340412</v>
      </c>
      <c r="AA157" s="88">
        <f t="shared" si="588"/>
        <v>18.548387096774199</v>
      </c>
      <c r="AB157" s="88">
        <f t="shared" si="588"/>
        <v>17.767242652488548</v>
      </c>
      <c r="AC157" s="88">
        <f t="shared" si="588"/>
        <v>91.772347664707695</v>
      </c>
      <c r="AD157" s="88">
        <f t="shared" si="588"/>
        <v>10.397672915319989</v>
      </c>
      <c r="AE157" s="91">
        <f t="shared" si="588"/>
        <v>29.885333465030794</v>
      </c>
      <c r="AF157" s="88">
        <f t="shared" si="588"/>
        <v>-60.315398886827445</v>
      </c>
      <c r="AG157" s="88">
        <f t="shared" si="588"/>
        <v>-69.011796749169434</v>
      </c>
      <c r="AH157" s="88">
        <f t="shared" si="588"/>
        <v>-60.946368715083821</v>
      </c>
      <c r="AI157" s="88">
        <f t="shared" si="588"/>
        <v>-58.159776552937373</v>
      </c>
      <c r="AJ157" s="91">
        <f t="shared" si="588"/>
        <v>-62.020624766032206</v>
      </c>
      <c r="AK157" s="88">
        <f t="shared" si="588"/>
        <v>-1.9457939776566513</v>
      </c>
      <c r="AL157" s="88">
        <f t="shared" si="588"/>
        <v>62.046234020756216</v>
      </c>
      <c r="AM157" s="88">
        <f t="shared" si="588"/>
        <v>99.25734997986315</v>
      </c>
      <c r="AN157" s="88">
        <f t="shared" si="588"/>
        <v>82.417146864233985</v>
      </c>
      <c r="AO157" s="91">
        <f t="shared" si="588"/>
        <v>60.557390404599268</v>
      </c>
      <c r="AP157" s="88">
        <f t="shared" si="588"/>
        <v>80.104174405892635</v>
      </c>
      <c r="AQ157" s="88">
        <f t="shared" si="588"/>
        <v>58.758807340497235</v>
      </c>
      <c r="AR157" s="88">
        <f t="shared" si="588"/>
        <v>5.3010952758863139</v>
      </c>
      <c r="AS157" s="88">
        <f t="shared" si="588"/>
        <v>20.582811193457061</v>
      </c>
      <c r="AT157" s="91">
        <f t="shared" si="588"/>
        <v>33.48748434351829</v>
      </c>
      <c r="AU157" s="88">
        <f t="shared" si="588"/>
        <v>11.520433234719007</v>
      </c>
      <c r="AV157" s="88">
        <f t="shared" si="588"/>
        <v>-6.7040694050122029</v>
      </c>
      <c r="AW157" s="88">
        <f t="shared" si="588"/>
        <v>5.9151251127232962</v>
      </c>
      <c r="AX157" s="88">
        <f t="shared" si="588"/>
        <v>-2.7136273525398602</v>
      </c>
      <c r="AY157" s="91">
        <f t="shared" ref="AY157" si="589">IFERROR((AY114/AT114-1)*100,"NM")</f>
        <v>1.5197926840986087</v>
      </c>
      <c r="AZ157" s="88">
        <f t="shared" si="588"/>
        <v>14.755807416067523</v>
      </c>
      <c r="BA157" s="88">
        <f t="shared" ref="BA157" si="590">IFERROR((BA114/AV114-1)*100,"NM")</f>
        <v>0.53356994702185023</v>
      </c>
      <c r="BB157" s="88">
        <f t="shared" ref="BB157" si="591">IFERROR((BB114/AW114-1)*100,"NM")</f>
        <v>1.3522981046127036</v>
      </c>
      <c r="BC157" s="88">
        <f t="shared" ref="BC157" si="592">IFERROR((BC114/AX114-1)*100,"NM")</f>
        <v>8.3548256993189582</v>
      </c>
      <c r="BD157" s="91">
        <f t="shared" ref="BD157" si="593">IFERROR((BD114/AY114-1)*100,"NM")</f>
        <v>5.925781702229882</v>
      </c>
      <c r="BE157" s="88">
        <f t="shared" ref="BE157" si="594">IFERROR((BE114/AZ114-1)*100,"NM")</f>
        <v>-1.2678800588210137</v>
      </c>
      <c r="BF157" s="88">
        <f t="shared" ref="BF157" si="595">IFERROR((BF114/BA114-1)*100,"NM")</f>
        <v>18.644151088076999</v>
      </c>
      <c r="BG157" s="88">
        <f t="shared" ref="BG157" si="596">IFERROR((BG114/BB114-1)*100,"NM")</f>
        <v>22.343352704226959</v>
      </c>
      <c r="BH157" s="88">
        <f t="shared" ref="BH157" si="597">IFERROR((BH114/BC114-1)*100,"NM")</f>
        <v>22.34358703043393</v>
      </c>
      <c r="BI157" s="91">
        <f t="shared" ref="BI157" si="598">IFERROR((BI114/BD114-1)*100,"NM")</f>
        <v>16.390978581875657</v>
      </c>
    </row>
    <row r="158" spans="1:61" x14ac:dyDescent="0.2">
      <c r="A158" s="12" t="s">
        <v>28</v>
      </c>
      <c r="B158" s="88">
        <v>0</v>
      </c>
      <c r="C158" s="88">
        <v>0</v>
      </c>
      <c r="D158" s="88">
        <v>0</v>
      </c>
      <c r="E158" s="88">
        <v>0</v>
      </c>
      <c r="F158" s="91">
        <v>0</v>
      </c>
      <c r="G158" s="88">
        <f t="shared" ref="G158:AM158" si="599">IFERROR((G113/B113-1)*100,"NM")</f>
        <v>0</v>
      </c>
      <c r="H158" s="88">
        <f t="shared" si="599"/>
        <v>0</v>
      </c>
      <c r="I158" s="88">
        <f t="shared" si="599"/>
        <v>19.999999999999996</v>
      </c>
      <c r="J158" s="88">
        <f t="shared" si="599"/>
        <v>18.71345029239766</v>
      </c>
      <c r="K158" s="91">
        <f t="shared" si="599"/>
        <v>8.7882822902796356</v>
      </c>
      <c r="L158" s="88">
        <f t="shared" si="599"/>
        <v>-1.4634146341463428</v>
      </c>
      <c r="M158" s="88">
        <f t="shared" si="599"/>
        <v>-2.4390243902439046</v>
      </c>
      <c r="N158" s="88">
        <f t="shared" si="599"/>
        <v>-3.9215686274509776</v>
      </c>
      <c r="O158" s="88">
        <f t="shared" si="599"/>
        <v>-5.9113300492610872</v>
      </c>
      <c r="P158" s="91">
        <f t="shared" si="599"/>
        <v>-3.4271725826193422</v>
      </c>
      <c r="Q158" s="88">
        <f t="shared" si="599"/>
        <v>-6.4356435643564307</v>
      </c>
      <c r="R158" s="88">
        <f t="shared" si="599"/>
        <v>-5.5000000000000053</v>
      </c>
      <c r="S158" s="88">
        <f t="shared" si="599"/>
        <v>-3.5714285714285698</v>
      </c>
      <c r="T158" s="88">
        <f t="shared" si="599"/>
        <v>-1.0471204188481686</v>
      </c>
      <c r="U158" s="91">
        <f t="shared" si="599"/>
        <v>-4.1825095057034245</v>
      </c>
      <c r="V158" s="88">
        <f t="shared" si="599"/>
        <v>0</v>
      </c>
      <c r="W158" s="88">
        <f t="shared" si="599"/>
        <v>-0.52910052910053462</v>
      </c>
      <c r="X158" s="88">
        <f t="shared" si="599"/>
        <v>-1.5873015873015928</v>
      </c>
      <c r="Y158" s="88">
        <f t="shared" si="599"/>
        <v>-1.5873015873015928</v>
      </c>
      <c r="Z158" s="91">
        <f t="shared" si="599"/>
        <v>-0.92592592592593004</v>
      </c>
      <c r="AA158" s="88">
        <f t="shared" si="599"/>
        <v>-1.5873015873015928</v>
      </c>
      <c r="AB158" s="88">
        <f t="shared" si="599"/>
        <v>-2.6595744680851019</v>
      </c>
      <c r="AC158" s="88">
        <f t="shared" si="599"/>
        <v>-1.6129032258064502</v>
      </c>
      <c r="AD158" s="88">
        <f t="shared" si="599"/>
        <v>-2.1505376344086002</v>
      </c>
      <c r="AE158" s="91">
        <f t="shared" si="599"/>
        <v>-2.0026702269692942</v>
      </c>
      <c r="AF158" s="88">
        <f t="shared" si="599"/>
        <v>-2.1505376344086002</v>
      </c>
      <c r="AG158" s="88">
        <f t="shared" si="599"/>
        <v>-1.0928961748633892</v>
      </c>
      <c r="AH158" s="88">
        <f t="shared" si="599"/>
        <v>-2.1857923497267784</v>
      </c>
      <c r="AI158" s="88">
        <f t="shared" si="599"/>
        <v>-1.8681318681318726</v>
      </c>
      <c r="AJ158" s="91">
        <f t="shared" si="599"/>
        <v>-1.8256130790190728</v>
      </c>
      <c r="AK158" s="88">
        <f t="shared" si="599"/>
        <v>-3.1318681318681207</v>
      </c>
      <c r="AL158" s="88">
        <f t="shared" si="599"/>
        <v>-4.5856353591160248</v>
      </c>
      <c r="AM158" s="88">
        <f t="shared" si="599"/>
        <v>-9.2178770949720708</v>
      </c>
      <c r="AN158" s="88">
        <f t="shared" ref="AN158:AZ158" si="600">IFERROR((AN113/AI113-1)*100,"NM")</f>
        <v>-22.060470324748049</v>
      </c>
      <c r="AO158" s="91">
        <f t="shared" si="600"/>
        <v>-9.7002497918401325</v>
      </c>
      <c r="AP158" s="88">
        <f t="shared" si="600"/>
        <v>-24.730572887124236</v>
      </c>
      <c r="AQ158" s="88">
        <f t="shared" si="600"/>
        <v>-24.319629415170819</v>
      </c>
      <c r="AR158" s="88">
        <f t="shared" si="600"/>
        <v>-19.876923076923081</v>
      </c>
      <c r="AS158" s="88">
        <f t="shared" si="600"/>
        <v>-6.3936781609195243</v>
      </c>
      <c r="AT158" s="91">
        <f t="shared" si="600"/>
        <v>-19.486706623636096</v>
      </c>
      <c r="AU158" s="88">
        <f t="shared" si="600"/>
        <v>-2.4114544084400835</v>
      </c>
      <c r="AV158" s="88">
        <f t="shared" si="600"/>
        <v>-1.912777352716144</v>
      </c>
      <c r="AW158" s="88">
        <f t="shared" si="600"/>
        <v>-1.5360983102918557</v>
      </c>
      <c r="AX158" s="88">
        <f t="shared" si="600"/>
        <v>-1.4581734458940954</v>
      </c>
      <c r="AY158" s="91">
        <f>IFERROR((AY113/AT113-1)*100,"NM")</f>
        <v>-1.8324107654132504</v>
      </c>
      <c r="AZ158" s="88">
        <f t="shared" si="600"/>
        <v>-1.0038610038610174</v>
      </c>
      <c r="BA158" s="179">
        <v>0</v>
      </c>
      <c r="BB158" s="179">
        <v>0</v>
      </c>
      <c r="BC158" s="179">
        <v>-0.121557632398754</v>
      </c>
      <c r="BD158" s="91">
        <f>IFERROR((BD113/AY113-1)*100,"NM")</f>
        <v>-0.28311880225547759</v>
      </c>
      <c r="BE158" s="179">
        <v>0</v>
      </c>
      <c r="BF158" s="179">
        <v>0</v>
      </c>
      <c r="BG158" s="179">
        <v>0</v>
      </c>
      <c r="BH158" s="179">
        <v>0</v>
      </c>
      <c r="BI158" s="91">
        <f>IFERROR((BI113/BD113-1)*100,"NM")</f>
        <v>0</v>
      </c>
    </row>
    <row r="159" spans="1:61" x14ac:dyDescent="0.2">
      <c r="A159" s="87" t="s">
        <v>202</v>
      </c>
      <c r="F159" s="92" t="str">
        <f t="shared" ref="F159:AZ159" si="601">IFERROR((F128/A128-1)*100,"NM")</f>
        <v>NM</v>
      </c>
      <c r="G159" s="88" t="str">
        <f t="shared" si="601"/>
        <v>NM</v>
      </c>
      <c r="H159" s="88" t="str">
        <f t="shared" si="601"/>
        <v>NM</v>
      </c>
      <c r="I159" s="88" t="str">
        <f t="shared" si="601"/>
        <v>NM</v>
      </c>
      <c r="J159" s="88" t="str">
        <f t="shared" si="601"/>
        <v>NM</v>
      </c>
      <c r="K159" s="92">
        <f t="shared" si="601"/>
        <v>1.5909090909090873</v>
      </c>
      <c r="L159" s="88" t="str">
        <f t="shared" si="601"/>
        <v>NM</v>
      </c>
      <c r="M159" s="88" t="str">
        <f t="shared" si="601"/>
        <v>NM</v>
      </c>
      <c r="N159" s="88" t="str">
        <f t="shared" si="601"/>
        <v>NM</v>
      </c>
      <c r="O159" s="88" t="str">
        <f t="shared" si="601"/>
        <v>NM</v>
      </c>
      <c r="P159" s="92">
        <f t="shared" si="601"/>
        <v>4.2505592841163287</v>
      </c>
      <c r="Q159" s="88" t="str">
        <f t="shared" si="601"/>
        <v>NM</v>
      </c>
      <c r="R159" s="88" t="str">
        <f t="shared" si="601"/>
        <v>NM</v>
      </c>
      <c r="S159" s="88" t="str">
        <f t="shared" si="601"/>
        <v>NM</v>
      </c>
      <c r="T159" s="88" t="str">
        <f t="shared" si="601"/>
        <v>NM</v>
      </c>
      <c r="U159" s="92">
        <f t="shared" si="601"/>
        <v>2.5751072961373467</v>
      </c>
      <c r="V159" s="88" t="str">
        <f t="shared" si="601"/>
        <v>NM</v>
      </c>
      <c r="W159" s="88" t="str">
        <f t="shared" si="601"/>
        <v>NM</v>
      </c>
      <c r="X159" s="88" t="str">
        <f t="shared" si="601"/>
        <v>NM</v>
      </c>
      <c r="Y159" s="88" t="str">
        <f t="shared" si="601"/>
        <v>NM</v>
      </c>
      <c r="Z159" s="92">
        <f t="shared" si="601"/>
        <v>5.2301255230125632</v>
      </c>
      <c r="AA159" s="88">
        <f t="shared" si="601"/>
        <v>20.833333333333325</v>
      </c>
      <c r="AB159" s="88">
        <f t="shared" si="601"/>
        <v>13.432835820895516</v>
      </c>
      <c r="AC159" s="88">
        <f t="shared" si="601"/>
        <v>74.74747474747474</v>
      </c>
      <c r="AD159" s="88">
        <f t="shared" si="601"/>
        <v>3.3333333333333437</v>
      </c>
      <c r="AE159" s="92">
        <f t="shared" si="601"/>
        <v>24.254473161033797</v>
      </c>
      <c r="AF159" s="88">
        <f t="shared" si="601"/>
        <v>-50.068965517241359</v>
      </c>
      <c r="AG159" s="88">
        <f t="shared" si="601"/>
        <v>-54.34210526315789</v>
      </c>
      <c r="AH159" s="88">
        <f t="shared" si="601"/>
        <v>-50.057803468208107</v>
      </c>
      <c r="AI159" s="88">
        <f t="shared" si="601"/>
        <v>-43.548387096774213</v>
      </c>
      <c r="AJ159" s="92">
        <f t="shared" si="601"/>
        <v>-49.488000000000007</v>
      </c>
      <c r="AK159" s="88">
        <f t="shared" si="601"/>
        <v>1.2430939226519166</v>
      </c>
      <c r="AL159" s="88">
        <f t="shared" si="601"/>
        <v>25.504322766570596</v>
      </c>
      <c r="AM159" s="88">
        <f t="shared" si="601"/>
        <v>27.777777777777814</v>
      </c>
      <c r="AN159" s="88">
        <f t="shared" si="601"/>
        <v>24.80000000000009</v>
      </c>
      <c r="AO159" s="92">
        <f t="shared" si="601"/>
        <v>20.367437440608228</v>
      </c>
      <c r="AP159" s="88">
        <f t="shared" si="601"/>
        <v>23.055934515688925</v>
      </c>
      <c r="AQ159" s="88">
        <f t="shared" si="601"/>
        <v>20.665901262916165</v>
      </c>
      <c r="AR159" s="88">
        <f t="shared" si="601"/>
        <v>11.594202898550666</v>
      </c>
      <c r="AS159" s="88">
        <f t="shared" si="601"/>
        <v>13.644688644688618</v>
      </c>
      <c r="AT159" s="92">
        <f>IFERROR((AT128/AO128-1)*100,"NM")</f>
        <v>16.473684210526287</v>
      </c>
      <c r="AU159" s="88">
        <f t="shared" si="601"/>
        <v>13.968957871396913</v>
      </c>
      <c r="AV159" s="88">
        <f t="shared" si="601"/>
        <v>-0.6660323501426868</v>
      </c>
      <c r="AW159" s="88">
        <f t="shared" si="601"/>
        <v>5.1136363636364424</v>
      </c>
      <c r="AX159" s="88">
        <f t="shared" si="601"/>
        <v>4.8348106365833976</v>
      </c>
      <c r="AY159" s="92">
        <f>IFERROR((AY128/AT128-1)*100,"NM")</f>
        <v>5.4676909173068555</v>
      </c>
      <c r="AZ159" s="88">
        <f t="shared" si="601"/>
        <v>14.202334630350189</v>
      </c>
      <c r="BA159" s="88">
        <f t="shared" ref="BA159" si="602">IFERROR((BA128/AV128-1)*100,"NM")</f>
        <v>21.578066123534501</v>
      </c>
      <c r="BB159" s="88">
        <f t="shared" ref="BB159" si="603">IFERROR((BB128/AW128-1)*100,"NM")</f>
        <v>16.657123360758884</v>
      </c>
      <c r="BC159" s="88">
        <f t="shared" ref="BC159" si="604">IFERROR((BC128/AX128-1)*100,"NM")</f>
        <v>18.524593054624994</v>
      </c>
      <c r="BD159" s="92">
        <f>IFERROR((BD128/AY128-1)*100,"NM")</f>
        <v>17.737568840878314</v>
      </c>
      <c r="BE159" s="88">
        <f t="shared" ref="BE159" si="605">IFERROR((BE128/AZ128-1)*100,"NM")</f>
        <v>14.969614780777828</v>
      </c>
      <c r="BF159" s="88">
        <f t="shared" ref="BF159" si="606">IFERROR((BF128/BA128-1)*100,"NM")</f>
        <v>13.376494232548986</v>
      </c>
      <c r="BG159" s="88">
        <f t="shared" ref="BG159" si="607">IFERROR((BG128/BB128-1)*100,"NM")</f>
        <v>15.465649193420262</v>
      </c>
      <c r="BH159" s="88">
        <f t="shared" ref="BH159" si="608">IFERROR((BH128/BC128-1)*100,"NM")</f>
        <v>15.412834273348054</v>
      </c>
      <c r="BI159" s="92">
        <f>IFERROR((BI128/BD128-1)*100,"NM")</f>
        <v>14.862391613565929</v>
      </c>
    </row>
  </sheetData>
  <pageMargins left="0.7" right="0.7" top="0.75" bottom="0.75" header="0.3" footer="0.3"/>
  <pageSetup scale="32"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8217-9CC3-4D78-9630-8FF8346982F1}">
  <sheetPr>
    <pageSetUpPr fitToPage="1"/>
  </sheetPr>
  <dimension ref="A1:BI88"/>
  <sheetViews>
    <sheetView zoomScale="85" zoomScaleNormal="85" workbookViewId="0">
      <pane xSplit="1" ySplit="7" topLeftCell="K31" activePane="bottomRight" state="frozen"/>
      <selection pane="topRight" activeCell="B1" sqref="B1"/>
      <selection pane="bottomLeft" activeCell="A8" sqref="A8"/>
      <selection pane="bottomRight" activeCell="A5" sqref="A5:BI84"/>
    </sheetView>
  </sheetViews>
  <sheetFormatPr defaultColWidth="9.140625" defaultRowHeight="12.75" outlineLevelRow="1" outlineLevelCol="1" x14ac:dyDescent="0.2"/>
  <cols>
    <col min="1" max="1" width="42.140625" style="4" customWidth="1"/>
    <col min="2" max="3" width="9.85546875" style="3" hidden="1" customWidth="1" outlineLevel="1"/>
    <col min="4" max="4" width="11" style="3" hidden="1" customWidth="1" outlineLevel="1"/>
    <col min="5" max="5" width="9.85546875" style="3" hidden="1" customWidth="1" outlineLevel="1"/>
    <col min="6" max="6" width="9.85546875" style="3" hidden="1" customWidth="1" collapsed="1"/>
    <col min="7" max="9" width="11" style="3" hidden="1" customWidth="1" outlineLevel="1"/>
    <col min="10" max="10" width="11.140625" style="3" hidden="1" customWidth="1" outlineLevel="1"/>
    <col min="11" max="11" width="10" style="3" hidden="1" customWidth="1" collapsed="1"/>
    <col min="12" max="15" width="10" style="3" hidden="1" customWidth="1" outlineLevel="1"/>
    <col min="16" max="16" width="10" style="3" hidden="1" customWidth="1" collapsed="1"/>
    <col min="17" max="20" width="10" style="3" hidden="1" customWidth="1" outlineLevel="1"/>
    <col min="21" max="21" width="10" style="3" hidden="1" customWidth="1" collapsed="1"/>
    <col min="22" max="25" width="10" style="3" hidden="1" customWidth="1" outlineLevel="1"/>
    <col min="26" max="26" width="10" style="3" customWidth="1" collapsed="1"/>
    <col min="27" max="30" width="10" style="3" hidden="1" customWidth="1" outlineLevel="1"/>
    <col min="31" max="31" width="10" style="3" customWidth="1" collapsed="1"/>
    <col min="32" max="35" width="10" style="3" hidden="1" customWidth="1" outlineLevel="1"/>
    <col min="36" max="36" width="10" style="3" customWidth="1" collapsed="1"/>
    <col min="37" max="40" width="10" style="3" hidden="1" customWidth="1" outlineLevel="1"/>
    <col min="41" max="41" width="10" style="3" customWidth="1" collapsed="1"/>
    <col min="42" max="44" width="10" style="3" hidden="1" customWidth="1" outlineLevel="1"/>
    <col min="45" max="45" width="8.140625" style="3" hidden="1" customWidth="1" outlineLevel="1"/>
    <col min="46" max="46" width="10" style="3" customWidth="1" collapsed="1"/>
    <col min="47" max="50" width="10" style="3" customWidth="1" outlineLevel="1"/>
    <col min="51" max="51" width="10" style="3" customWidth="1"/>
    <col min="52" max="55" width="10" style="3" customWidth="1" outlineLevel="1"/>
    <col min="56" max="56" width="10" style="3" customWidth="1"/>
    <col min="57" max="60" width="10" style="3" customWidth="1" outlineLevel="1"/>
    <col min="61" max="61" width="10" style="3" customWidth="1"/>
    <col min="62" max="16384" width="9.140625" style="3"/>
  </cols>
  <sheetData>
    <row r="1" spans="1:61" x14ac:dyDescent="0.2">
      <c r="A1" s="1"/>
      <c r="AR1" s="217"/>
      <c r="AS1" s="217"/>
      <c r="AT1" s="217"/>
      <c r="AU1" s="220"/>
      <c r="AV1" s="220"/>
      <c r="AW1" s="220"/>
      <c r="AX1" s="220"/>
      <c r="AY1" s="220"/>
      <c r="AZ1" s="220"/>
      <c r="BA1" s="220"/>
      <c r="BB1" s="220"/>
      <c r="BC1" s="220"/>
      <c r="BD1" s="220"/>
      <c r="BE1" s="220"/>
      <c r="BF1" s="220"/>
      <c r="BG1" s="220"/>
      <c r="BH1" s="220"/>
      <c r="BI1" s="220"/>
    </row>
    <row r="2" spans="1:61" x14ac:dyDescent="0.2">
      <c r="A2" s="5"/>
      <c r="E2" s="2"/>
      <c r="J2" s="2"/>
      <c r="AR2" s="217"/>
      <c r="AS2" s="217"/>
      <c r="AT2" s="217"/>
      <c r="AU2" s="220"/>
      <c r="AV2" s="220"/>
      <c r="AW2" s="220"/>
      <c r="AX2" s="220"/>
      <c r="AY2" s="220"/>
      <c r="AZ2" s="220"/>
      <c r="BA2" s="220"/>
      <c r="BB2" s="220"/>
      <c r="BC2" s="220"/>
      <c r="BD2" s="220"/>
      <c r="BE2" s="220"/>
      <c r="BF2" s="220"/>
      <c r="BG2" s="220"/>
      <c r="BH2" s="220"/>
      <c r="BI2" s="220"/>
    </row>
    <row r="3" spans="1:61" x14ac:dyDescent="0.2">
      <c r="A3" s="6"/>
      <c r="E3" s="2"/>
      <c r="J3" s="2"/>
      <c r="U3" s="7"/>
      <c r="V3" s="7"/>
      <c r="W3" s="7"/>
      <c r="X3" s="7"/>
      <c r="Y3" s="7"/>
      <c r="Z3" s="7"/>
      <c r="AA3" s="7"/>
      <c r="AB3" s="7"/>
      <c r="AC3" s="7"/>
      <c r="AD3" s="7"/>
      <c r="AE3" s="7"/>
      <c r="AF3" s="7"/>
      <c r="AG3" s="7"/>
      <c r="AH3" s="7"/>
      <c r="AI3" s="7"/>
      <c r="AJ3" s="7"/>
      <c r="AK3" s="7"/>
      <c r="AL3" s="7"/>
      <c r="AM3" s="7"/>
      <c r="AN3" s="7"/>
      <c r="AO3" s="7"/>
      <c r="AP3" s="7"/>
      <c r="AQ3" s="7"/>
      <c r="AR3" s="217"/>
      <c r="AS3" s="217"/>
      <c r="AT3" s="217"/>
      <c r="AU3" s="220"/>
      <c r="AV3" s="220"/>
      <c r="AW3" s="220"/>
      <c r="AX3" s="220"/>
      <c r="AY3" s="220"/>
      <c r="AZ3" s="220"/>
      <c r="BA3" s="220"/>
      <c r="BB3" s="220"/>
      <c r="BC3" s="220"/>
      <c r="BD3" s="220"/>
      <c r="BE3" s="220"/>
      <c r="BF3" s="220"/>
      <c r="BG3" s="220"/>
      <c r="BH3" s="220"/>
      <c r="BI3" s="220"/>
    </row>
    <row r="4" spans="1:61" x14ac:dyDescent="0.2">
      <c r="A4" s="5"/>
      <c r="P4" s="7"/>
      <c r="Q4" s="7"/>
      <c r="R4" s="7"/>
      <c r="S4" s="7"/>
      <c r="T4" s="7"/>
      <c r="U4" s="7"/>
      <c r="V4" s="7"/>
      <c r="W4" s="7"/>
      <c r="X4" s="7"/>
      <c r="Y4" s="7"/>
      <c r="Z4" s="7"/>
      <c r="AA4" s="7"/>
      <c r="AB4" s="7"/>
      <c r="AC4" s="7"/>
      <c r="AD4" s="7"/>
      <c r="AE4" s="7"/>
      <c r="AF4" s="7"/>
      <c r="AG4" s="7"/>
      <c r="AH4" s="7"/>
      <c r="AI4" s="7"/>
      <c r="AJ4" s="7"/>
      <c r="AK4" s="7"/>
      <c r="AL4" s="7"/>
      <c r="AM4" s="7"/>
      <c r="AN4" s="7"/>
      <c r="AO4" s="7"/>
      <c r="AP4" s="7"/>
      <c r="AQ4" s="7"/>
      <c r="AR4" s="217"/>
      <c r="AS4" s="217"/>
      <c r="AT4" s="217"/>
      <c r="AU4" s="220"/>
      <c r="AV4" s="220"/>
      <c r="AW4" s="220"/>
      <c r="AX4" s="220"/>
      <c r="AY4" s="220"/>
      <c r="AZ4" s="220"/>
      <c r="BA4" s="220"/>
      <c r="BB4" s="220"/>
      <c r="BC4" s="220"/>
      <c r="BD4" s="220"/>
      <c r="BE4" s="220"/>
      <c r="BF4" s="220"/>
      <c r="BG4" s="220"/>
      <c r="BH4" s="220"/>
      <c r="BI4" s="220"/>
    </row>
    <row r="5" spans="1:61" x14ac:dyDescent="0.2">
      <c r="A5" s="8" t="s">
        <v>189</v>
      </c>
      <c r="K5" s="9"/>
      <c r="P5" s="9"/>
      <c r="U5" s="9"/>
      <c r="Z5" s="9"/>
      <c r="AE5" s="9"/>
      <c r="AJ5" s="9"/>
      <c r="AO5" s="9"/>
      <c r="AS5" s="217"/>
      <c r="AT5" s="217"/>
      <c r="AU5" s="217"/>
      <c r="AV5" s="217"/>
      <c r="AW5" s="217"/>
      <c r="AX5" s="217"/>
      <c r="AY5" s="217"/>
      <c r="AZ5" s="217"/>
      <c r="BA5" s="217"/>
      <c r="BB5" s="217"/>
      <c r="BC5" s="217"/>
      <c r="BD5" s="217"/>
      <c r="BE5" s="217"/>
      <c r="BF5" s="217"/>
      <c r="BG5" s="217"/>
      <c r="BH5" s="217"/>
      <c r="BI5" s="217"/>
    </row>
    <row r="6" spans="1:61" x14ac:dyDescent="0.2">
      <c r="A6" s="10" t="s">
        <v>0</v>
      </c>
      <c r="F6" s="11"/>
      <c r="K6" s="11"/>
      <c r="P6" s="11"/>
      <c r="U6" s="11"/>
      <c r="Z6" s="11"/>
      <c r="AE6" s="11"/>
      <c r="AJ6" s="11"/>
      <c r="AO6" s="11"/>
      <c r="AT6" s="11"/>
      <c r="AY6" s="11"/>
      <c r="BD6" s="11"/>
      <c r="BI6" s="11"/>
    </row>
    <row r="7" spans="1:61" x14ac:dyDescent="0.2">
      <c r="A7" s="12" t="s">
        <v>53</v>
      </c>
      <c r="B7" s="13" t="str">
        <f>IS!B7</f>
        <v>1Q16</v>
      </c>
      <c r="C7" s="13" t="str">
        <f>IS!C7</f>
        <v>2Q16</v>
      </c>
      <c r="D7" s="13" t="str">
        <f>IS!D7</f>
        <v>3Q16</v>
      </c>
      <c r="E7" s="13" t="str">
        <f>IS!E7</f>
        <v>4Q16</v>
      </c>
      <c r="F7" s="14" t="str">
        <f>IS!F7</f>
        <v>FY16</v>
      </c>
      <c r="G7" s="13" t="str">
        <f>IS!G7</f>
        <v>1Q17</v>
      </c>
      <c r="H7" s="13" t="str">
        <f>IS!H7</f>
        <v>2Q17</v>
      </c>
      <c r="I7" s="13" t="str">
        <f>IS!I7</f>
        <v>3Q17</v>
      </c>
      <c r="J7" s="13" t="str">
        <f>IS!J7</f>
        <v>4Q17</v>
      </c>
      <c r="K7" s="14" t="str">
        <f>IS!K7</f>
        <v>FY17</v>
      </c>
      <c r="L7" s="13" t="str">
        <f>IS!L7</f>
        <v>1Q18</v>
      </c>
      <c r="M7" s="13" t="str">
        <f>IS!M7</f>
        <v>2Q18</v>
      </c>
      <c r="N7" s="13" t="str">
        <f>IS!N7</f>
        <v>3Q18</v>
      </c>
      <c r="O7" s="13" t="str">
        <f>IS!O7</f>
        <v>4Q18</v>
      </c>
      <c r="P7" s="14" t="str">
        <f>IS!P7</f>
        <v>FY18</v>
      </c>
      <c r="Q7" s="13" t="str">
        <f>IS!Q7</f>
        <v>1Q19</v>
      </c>
      <c r="R7" s="13" t="str">
        <f>IS!R7</f>
        <v>2Q19</v>
      </c>
      <c r="S7" s="13" t="str">
        <f>IS!S7</f>
        <v>3Q19</v>
      </c>
      <c r="T7" s="13" t="str">
        <f>IS!T7</f>
        <v>4Q19</v>
      </c>
      <c r="U7" s="14" t="str">
        <f>IS!U7</f>
        <v>FY19</v>
      </c>
      <c r="V7" s="13" t="str">
        <f>IS!V7</f>
        <v>1Q20</v>
      </c>
      <c r="W7" s="13" t="str">
        <f>IS!W7</f>
        <v>2Q20</v>
      </c>
      <c r="X7" s="13" t="str">
        <f>IS!X7</f>
        <v>3Q20</v>
      </c>
      <c r="Y7" s="13" t="str">
        <f>IS!Y7</f>
        <v>4Q20</v>
      </c>
      <c r="Z7" s="14" t="str">
        <f>IS!Z7</f>
        <v>FY20</v>
      </c>
      <c r="AA7" s="13" t="str">
        <f>IS!AA7</f>
        <v>1Q21</v>
      </c>
      <c r="AB7" s="13" t="str">
        <f>IS!AB7</f>
        <v>2Q21</v>
      </c>
      <c r="AC7" s="13" t="str">
        <f>IS!AC7</f>
        <v>3Q21</v>
      </c>
      <c r="AD7" s="13" t="str">
        <f>IS!AD7</f>
        <v>4Q21</v>
      </c>
      <c r="AE7" s="14" t="str">
        <f>IS!AE7</f>
        <v>FY21</v>
      </c>
      <c r="AF7" s="13" t="str">
        <f>IS!AF7</f>
        <v>1Q22</v>
      </c>
      <c r="AG7" s="13" t="str">
        <f>IS!AG7</f>
        <v>2Q22</v>
      </c>
      <c r="AH7" s="13" t="str">
        <f>IS!AH7</f>
        <v>3Q22</v>
      </c>
      <c r="AI7" s="13" t="str">
        <f>IS!AI7</f>
        <v>4Q22</v>
      </c>
      <c r="AJ7" s="14" t="str">
        <f>IS!AJ7</f>
        <v>FY22</v>
      </c>
      <c r="AK7" s="13" t="str">
        <f>IS!AK7</f>
        <v>1Q23</v>
      </c>
      <c r="AL7" s="13" t="str">
        <f>IS!AL7</f>
        <v>2Q23</v>
      </c>
      <c r="AM7" s="13" t="str">
        <f>IS!AM7</f>
        <v>3Q23</v>
      </c>
      <c r="AN7" s="13" t="str">
        <f>IS!AN7</f>
        <v>4Q23</v>
      </c>
      <c r="AO7" s="14" t="str">
        <f>IS!AO7</f>
        <v>FY23</v>
      </c>
      <c r="AP7" s="13" t="str">
        <f>IS!AP7</f>
        <v>1Q24</v>
      </c>
      <c r="AQ7" s="13" t="str">
        <f>IS!AQ7</f>
        <v>2Q24</v>
      </c>
      <c r="AR7" s="13" t="str">
        <f>IS!AR7</f>
        <v>3Q24</v>
      </c>
      <c r="AS7" s="13" t="str">
        <f>IS!AS7</f>
        <v>4Q24</v>
      </c>
      <c r="AT7" s="14" t="str">
        <f>IS!AT7</f>
        <v>FY24</v>
      </c>
      <c r="AU7" s="13" t="str">
        <f>IS!AU7</f>
        <v>1Q25</v>
      </c>
      <c r="AV7" s="13" t="str">
        <f>IS!AV7</f>
        <v>2Q25</v>
      </c>
      <c r="AW7" s="13" t="str">
        <f>IS!AW7</f>
        <v>3Q25</v>
      </c>
      <c r="AX7" s="13" t="str">
        <f>IS!AX7</f>
        <v>4Q25</v>
      </c>
      <c r="AY7" s="14" t="str">
        <f>IS!AY7</f>
        <v>FY25</v>
      </c>
      <c r="AZ7" s="13" t="str">
        <f>IS!AZ7</f>
        <v>1Q26</v>
      </c>
      <c r="BA7" s="13" t="str">
        <f>IS!BA7</f>
        <v>2Q26E</v>
      </c>
      <c r="BB7" s="13" t="str">
        <f>IS!BB7</f>
        <v>3Q26E</v>
      </c>
      <c r="BC7" s="13" t="str">
        <f>IS!BC7</f>
        <v>4Q26E</v>
      </c>
      <c r="BD7" s="14" t="str">
        <f>IS!BD7</f>
        <v>FY26E</v>
      </c>
      <c r="BE7" s="13" t="str">
        <f>IS!BE7</f>
        <v>1Q27E</v>
      </c>
      <c r="BF7" s="13" t="str">
        <f>IS!BF7</f>
        <v>2Q27E</v>
      </c>
      <c r="BG7" s="13" t="str">
        <f>IS!BG7</f>
        <v>3Q27E</v>
      </c>
      <c r="BH7" s="13" t="str">
        <f>IS!BH7</f>
        <v>4Q27E</v>
      </c>
      <c r="BI7" s="14" t="str">
        <f>IS!BI7</f>
        <v>FY27E</v>
      </c>
    </row>
    <row r="8" spans="1:61" x14ac:dyDescent="0.2">
      <c r="F8" s="15"/>
      <c r="K8" s="15"/>
      <c r="P8" s="15"/>
      <c r="U8" s="15"/>
      <c r="Z8" s="15"/>
      <c r="AE8" s="15"/>
      <c r="AJ8" s="15"/>
      <c r="AO8" s="15"/>
      <c r="AT8" s="15"/>
      <c r="AY8" s="15"/>
      <c r="BD8" s="15"/>
      <c r="BI8" s="15"/>
    </row>
    <row r="9" spans="1:61" x14ac:dyDescent="0.2">
      <c r="A9" s="5" t="s">
        <v>1</v>
      </c>
      <c r="F9" s="15"/>
      <c r="K9" s="15"/>
      <c r="P9" s="15"/>
      <c r="U9" s="15"/>
      <c r="Z9" s="15"/>
      <c r="AE9" s="15"/>
      <c r="AJ9" s="15"/>
      <c r="AO9" s="15"/>
      <c r="AT9" s="15"/>
      <c r="AY9" s="15"/>
      <c r="BD9" s="15"/>
      <c r="BI9" s="15"/>
    </row>
    <row r="10" spans="1:61" x14ac:dyDescent="0.2">
      <c r="A10" s="4" t="s">
        <v>2</v>
      </c>
      <c r="F10" s="15"/>
      <c r="K10" s="15"/>
      <c r="P10" s="15"/>
      <c r="U10" s="15"/>
      <c r="Z10" s="15"/>
      <c r="AE10" s="15"/>
      <c r="AJ10" s="15"/>
      <c r="AO10" s="15"/>
      <c r="AT10" s="15"/>
      <c r="AY10" s="15"/>
      <c r="BD10" s="15"/>
      <c r="BI10" s="15"/>
    </row>
    <row r="11" spans="1:61" x14ac:dyDescent="0.2">
      <c r="A11" s="4" t="s">
        <v>3</v>
      </c>
      <c r="B11" s="16"/>
      <c r="C11" s="60"/>
      <c r="D11" s="60"/>
      <c r="E11" s="60">
        <v>172</v>
      </c>
      <c r="F11" s="154">
        <f>E11</f>
        <v>172</v>
      </c>
      <c r="G11" s="155">
        <v>236</v>
      </c>
      <c r="H11" s="155">
        <v>135</v>
      </c>
      <c r="I11" s="155">
        <v>132</v>
      </c>
      <c r="J11" s="155">
        <v>201</v>
      </c>
      <c r="K11" s="154">
        <f>J11</f>
        <v>201</v>
      </c>
      <c r="L11" s="155">
        <v>115</v>
      </c>
      <c r="M11" s="155">
        <v>127</v>
      </c>
      <c r="N11" s="155">
        <v>107</v>
      </c>
      <c r="O11" s="155">
        <v>96</v>
      </c>
      <c r="P11" s="154">
        <f>O11</f>
        <v>96</v>
      </c>
      <c r="Q11" s="155">
        <v>99</v>
      </c>
      <c r="R11" s="155">
        <v>114</v>
      </c>
      <c r="S11" s="155">
        <v>126</v>
      </c>
      <c r="T11" s="155">
        <v>159</v>
      </c>
      <c r="U11" s="154">
        <f>T11</f>
        <v>159</v>
      </c>
      <c r="V11" s="155">
        <v>162</v>
      </c>
      <c r="W11" s="155">
        <v>774</v>
      </c>
      <c r="X11" s="155">
        <v>751</v>
      </c>
      <c r="Y11" s="155">
        <v>760</v>
      </c>
      <c r="Z11" s="154">
        <f>Y11</f>
        <v>760</v>
      </c>
      <c r="AA11" s="155">
        <v>527</v>
      </c>
      <c r="AB11" s="155">
        <v>247</v>
      </c>
      <c r="AC11" s="155">
        <v>226</v>
      </c>
      <c r="AD11" s="155">
        <v>230</v>
      </c>
      <c r="AE11" s="154">
        <f>AD11</f>
        <v>230</v>
      </c>
      <c r="AF11" s="155">
        <v>152</v>
      </c>
      <c r="AG11" s="155">
        <v>118</v>
      </c>
      <c r="AH11" s="155">
        <v>98</v>
      </c>
      <c r="AI11" s="155">
        <v>23.4</v>
      </c>
      <c r="AJ11" s="154">
        <f>AI11</f>
        <v>23.4</v>
      </c>
      <c r="AK11" s="155">
        <v>21</v>
      </c>
      <c r="AL11" s="155">
        <v>2334.5</v>
      </c>
      <c r="AM11" s="155">
        <v>526.70000000000005</v>
      </c>
      <c r="AN11" s="155">
        <v>409.1</v>
      </c>
      <c r="AO11" s="154">
        <f>AN11</f>
        <v>409.1</v>
      </c>
      <c r="AP11" s="155">
        <v>420.7</v>
      </c>
      <c r="AQ11" s="155">
        <v>494.5</v>
      </c>
      <c r="AR11" s="155">
        <v>65.7</v>
      </c>
      <c r="AS11" s="155">
        <v>68.3</v>
      </c>
      <c r="AT11" s="154">
        <f>AS11</f>
        <v>68.3</v>
      </c>
      <c r="AU11" s="155">
        <v>60</v>
      </c>
      <c r="AV11" s="155">
        <v>61.9</v>
      </c>
      <c r="AW11" s="155">
        <v>68.3</v>
      </c>
      <c r="AX11" s="155">
        <v>51.6</v>
      </c>
      <c r="AY11" s="154">
        <f>AX11</f>
        <v>51.6</v>
      </c>
      <c r="AZ11" s="155">
        <v>69.900000000000006</v>
      </c>
      <c r="BA11" s="155">
        <f>CF!BA42</f>
        <v>71.058485827368102</v>
      </c>
      <c r="BB11" s="155">
        <f>CF!BB42</f>
        <v>74.260015804524329</v>
      </c>
      <c r="BC11" s="155">
        <f>CF!BC42</f>
        <v>76.878198527627745</v>
      </c>
      <c r="BD11" s="154">
        <f>BC11</f>
        <v>76.878198527627745</v>
      </c>
      <c r="BE11" s="155">
        <f>CF!BE42</f>
        <v>79.015503813388648</v>
      </c>
      <c r="BF11" s="155">
        <f>CF!BF42</f>
        <v>81.348377123875736</v>
      </c>
      <c r="BG11" s="155">
        <f>CF!BG42</f>
        <v>84.509122465245696</v>
      </c>
      <c r="BH11" s="155">
        <f>CF!BH42</f>
        <v>88.150574441665796</v>
      </c>
      <c r="BI11" s="154">
        <f>BH11</f>
        <v>88.150574441665796</v>
      </c>
    </row>
    <row r="12" spans="1:61" s="21" customFormat="1" x14ac:dyDescent="0.2">
      <c r="A12" s="18" t="s">
        <v>50</v>
      </c>
      <c r="B12" s="19"/>
      <c r="C12" s="61"/>
      <c r="D12" s="61"/>
      <c r="E12" s="61">
        <v>363</v>
      </c>
      <c r="F12" s="154">
        <f t="shared" ref="F12:F15" si="0">E12</f>
        <v>363</v>
      </c>
      <c r="G12" s="156">
        <v>353</v>
      </c>
      <c r="H12" s="155">
        <v>405</v>
      </c>
      <c r="I12" s="156">
        <v>403</v>
      </c>
      <c r="J12" s="156">
        <v>385</v>
      </c>
      <c r="K12" s="154">
        <f t="shared" ref="K12:K15" si="1">J12</f>
        <v>385</v>
      </c>
      <c r="L12" s="156">
        <v>418</v>
      </c>
      <c r="M12" s="156">
        <v>435</v>
      </c>
      <c r="N12" s="156">
        <v>461</v>
      </c>
      <c r="O12" s="156">
        <v>409</v>
      </c>
      <c r="P12" s="154">
        <f t="shared" ref="P12:P15" si="2">O12</f>
        <v>409</v>
      </c>
      <c r="Q12" s="156">
        <v>331</v>
      </c>
      <c r="R12" s="156">
        <v>368</v>
      </c>
      <c r="S12" s="156">
        <v>423</v>
      </c>
      <c r="T12" s="156">
        <v>401</v>
      </c>
      <c r="U12" s="154">
        <f t="shared" ref="U12:U15" si="3">T12</f>
        <v>401</v>
      </c>
      <c r="V12" s="156">
        <v>395</v>
      </c>
      <c r="W12" s="156">
        <v>352</v>
      </c>
      <c r="X12" s="156">
        <v>396</v>
      </c>
      <c r="Y12" s="156">
        <v>433</v>
      </c>
      <c r="Z12" s="154">
        <f t="shared" ref="Z12:Z15" si="4">Y12</f>
        <v>433</v>
      </c>
      <c r="AA12" s="156">
        <v>430</v>
      </c>
      <c r="AB12" s="156">
        <v>448</v>
      </c>
      <c r="AC12" s="156">
        <v>490</v>
      </c>
      <c r="AD12" s="156">
        <v>496</v>
      </c>
      <c r="AE12" s="154">
        <f t="shared" ref="AE12:AE15" si="5">AD12</f>
        <v>496</v>
      </c>
      <c r="AF12" s="155">
        <v>530</v>
      </c>
      <c r="AG12" s="155">
        <v>563</v>
      </c>
      <c r="AH12" s="155">
        <v>583</v>
      </c>
      <c r="AI12" s="155">
        <v>66.099999999999994</v>
      </c>
      <c r="AJ12" s="154">
        <f t="shared" ref="AJ12:AJ15" si="6">AI12</f>
        <v>66.099999999999994</v>
      </c>
      <c r="AK12" s="155">
        <v>56.9</v>
      </c>
      <c r="AL12" s="155">
        <v>61.1</v>
      </c>
      <c r="AM12" s="155">
        <v>71.900000000000006</v>
      </c>
      <c r="AN12" s="155">
        <v>81.3</v>
      </c>
      <c r="AO12" s="154">
        <f t="shared" ref="AO12:AO15" si="7">AN12</f>
        <v>81.3</v>
      </c>
      <c r="AP12" s="155">
        <v>83.5</v>
      </c>
      <c r="AQ12" s="155">
        <v>109.6</v>
      </c>
      <c r="AR12" s="155">
        <v>97.5</v>
      </c>
      <c r="AS12" s="155">
        <v>86.4</v>
      </c>
      <c r="AT12" s="154">
        <f t="shared" ref="AT12:AT15" si="8">AS12</f>
        <v>86.4</v>
      </c>
      <c r="AU12" s="155">
        <v>84.7</v>
      </c>
      <c r="AV12" s="155">
        <v>86.1</v>
      </c>
      <c r="AW12" s="155">
        <v>89.8</v>
      </c>
      <c r="AX12" s="155">
        <v>89.6</v>
      </c>
      <c r="AY12" s="154">
        <f t="shared" ref="AY12:AY15" si="9">AX12</f>
        <v>89.6</v>
      </c>
      <c r="AZ12" s="155">
        <v>98.5</v>
      </c>
      <c r="BA12" s="155">
        <f>2*(BA70/BA79)-AZ12</f>
        <v>99.821967954184515</v>
      </c>
      <c r="BB12" s="155">
        <f>2*(BB70/BB79)-BA12</f>
        <v>104.23435660486081</v>
      </c>
      <c r="BC12" s="155">
        <f>2*(BC70/BC79)-BB12</f>
        <v>107.18589722318742</v>
      </c>
      <c r="BD12" s="154">
        <f t="shared" ref="BD12:BD15" si="10">BC12</f>
        <v>107.18589722318742</v>
      </c>
      <c r="BE12" s="155">
        <f>2*(BE70/BE79)-BD12</f>
        <v>111.27147507082333</v>
      </c>
      <c r="BF12" s="155">
        <f>2*(BF70/BF79)-BE12</f>
        <v>116.20768692425881</v>
      </c>
      <c r="BG12" s="155">
        <f>2*(BG70/BG79)-BF12</f>
        <v>121.36048048193075</v>
      </c>
      <c r="BH12" s="155">
        <f>2*(BH70/BH79)-BG12</f>
        <v>126.92020175297162</v>
      </c>
      <c r="BI12" s="154">
        <f t="shared" ref="BI12:BI15" si="11">BH12</f>
        <v>126.92020175297162</v>
      </c>
    </row>
    <row r="13" spans="1:61" s="21" customFormat="1" x14ac:dyDescent="0.2">
      <c r="A13" s="18" t="s">
        <v>4</v>
      </c>
      <c r="B13" s="19"/>
      <c r="C13" s="61"/>
      <c r="D13" s="61"/>
      <c r="E13" s="61">
        <v>139</v>
      </c>
      <c r="F13" s="154">
        <f t="shared" si="0"/>
        <v>139</v>
      </c>
      <c r="G13" s="156">
        <v>141</v>
      </c>
      <c r="H13" s="155">
        <v>156</v>
      </c>
      <c r="I13" s="156">
        <v>181</v>
      </c>
      <c r="J13" s="156">
        <v>175</v>
      </c>
      <c r="K13" s="154">
        <f t="shared" si="1"/>
        <v>175</v>
      </c>
      <c r="L13" s="156">
        <v>170</v>
      </c>
      <c r="M13" s="156">
        <v>194</v>
      </c>
      <c r="N13" s="156">
        <v>196</v>
      </c>
      <c r="O13" s="156">
        <v>176</v>
      </c>
      <c r="P13" s="154">
        <f t="shared" si="2"/>
        <v>176</v>
      </c>
      <c r="Q13" s="156">
        <v>200</v>
      </c>
      <c r="R13" s="156">
        <v>192</v>
      </c>
      <c r="S13" s="156">
        <v>200</v>
      </c>
      <c r="T13" s="156">
        <v>194</v>
      </c>
      <c r="U13" s="154">
        <f t="shared" si="3"/>
        <v>194</v>
      </c>
      <c r="V13" s="156">
        <v>194</v>
      </c>
      <c r="W13" s="156">
        <v>209</v>
      </c>
      <c r="X13" s="156">
        <v>189</v>
      </c>
      <c r="Y13" s="156">
        <v>199</v>
      </c>
      <c r="Z13" s="154">
        <f t="shared" si="4"/>
        <v>199</v>
      </c>
      <c r="AA13" s="156">
        <v>213</v>
      </c>
      <c r="AB13" s="156">
        <v>218</v>
      </c>
      <c r="AC13" s="156">
        <v>247</v>
      </c>
      <c r="AD13" s="156">
        <v>258</v>
      </c>
      <c r="AE13" s="154">
        <f t="shared" si="5"/>
        <v>258</v>
      </c>
      <c r="AF13" s="155">
        <v>264</v>
      </c>
      <c r="AG13" s="155">
        <v>276</v>
      </c>
      <c r="AH13" s="155">
        <v>306</v>
      </c>
      <c r="AI13" s="155">
        <v>29.4</v>
      </c>
      <c r="AJ13" s="154">
        <f t="shared" si="6"/>
        <v>29.4</v>
      </c>
      <c r="AK13" s="155">
        <v>31.2</v>
      </c>
      <c r="AL13" s="155">
        <v>33.5</v>
      </c>
      <c r="AM13" s="155">
        <v>34.1</v>
      </c>
      <c r="AN13" s="155">
        <v>33.299999999999997</v>
      </c>
      <c r="AO13" s="154">
        <f t="shared" si="7"/>
        <v>33.299999999999997</v>
      </c>
      <c r="AP13" s="155">
        <v>31.5</v>
      </c>
      <c r="AQ13" s="156">
        <v>37.5</v>
      </c>
      <c r="AR13" s="155">
        <v>40.200000000000003</v>
      </c>
      <c r="AS13" s="155">
        <v>39.700000000000003</v>
      </c>
      <c r="AT13" s="154">
        <f t="shared" si="8"/>
        <v>39.700000000000003</v>
      </c>
      <c r="AU13" s="155">
        <v>38</v>
      </c>
      <c r="AV13" s="155">
        <v>41.5</v>
      </c>
      <c r="AW13" s="155">
        <v>41.3</v>
      </c>
      <c r="AX13" s="155">
        <v>42.6</v>
      </c>
      <c r="AY13" s="154">
        <f t="shared" si="9"/>
        <v>42.6</v>
      </c>
      <c r="AZ13" s="156">
        <v>48.5</v>
      </c>
      <c r="BA13" s="156">
        <f>2*(BA71/BA78)-AZ13</f>
        <v>48.663220226907342</v>
      </c>
      <c r="BB13" s="156">
        <f>2*(BB71/BB78)-BA13</f>
        <v>50.606370282046726</v>
      </c>
      <c r="BC13" s="156">
        <f>2*(BC71/BC78)-BB13</f>
        <v>52.456514515502334</v>
      </c>
      <c r="BD13" s="154">
        <f t="shared" si="10"/>
        <v>52.456514515502334</v>
      </c>
      <c r="BE13" s="156">
        <f>2*(BE71/BE78)-BD13</f>
        <v>54.311852927883479</v>
      </c>
      <c r="BF13" s="156">
        <f>2*(BF71/BF78)-BE13</f>
        <v>55.59068740591016</v>
      </c>
      <c r="BG13" s="156">
        <f>2*(BG71/BG78)-BF13</f>
        <v>57.593762612532799</v>
      </c>
      <c r="BH13" s="156">
        <f>2*(BH71/BH78)-BG13</f>
        <v>60.363968430676508</v>
      </c>
      <c r="BI13" s="154">
        <f t="shared" si="11"/>
        <v>60.363968430676508</v>
      </c>
    </row>
    <row r="14" spans="1:61" x14ac:dyDescent="0.2">
      <c r="A14" s="4" t="s">
        <v>51</v>
      </c>
      <c r="B14" s="2"/>
      <c r="C14" s="62"/>
      <c r="D14" s="62"/>
      <c r="E14" s="62">
        <v>56</v>
      </c>
      <c r="F14" s="154">
        <f t="shared" si="0"/>
        <v>56</v>
      </c>
      <c r="G14" s="155">
        <v>29</v>
      </c>
      <c r="H14" s="155">
        <v>36</v>
      </c>
      <c r="I14" s="155">
        <v>32</v>
      </c>
      <c r="J14" s="155">
        <v>29</v>
      </c>
      <c r="K14" s="154">
        <f t="shared" si="1"/>
        <v>29</v>
      </c>
      <c r="L14" s="155">
        <v>32</v>
      </c>
      <c r="M14" s="155">
        <v>39</v>
      </c>
      <c r="N14" s="155">
        <v>26</v>
      </c>
      <c r="O14" s="155">
        <v>44</v>
      </c>
      <c r="P14" s="154">
        <f t="shared" si="2"/>
        <v>44</v>
      </c>
      <c r="Q14" s="155">
        <v>38</v>
      </c>
      <c r="R14" s="155">
        <v>59</v>
      </c>
      <c r="S14" s="155">
        <v>52</v>
      </c>
      <c r="T14" s="155">
        <v>43</v>
      </c>
      <c r="U14" s="154">
        <f t="shared" si="3"/>
        <v>43</v>
      </c>
      <c r="V14" s="155">
        <v>43</v>
      </c>
      <c r="W14" s="155">
        <v>49</v>
      </c>
      <c r="X14" s="155">
        <v>43</v>
      </c>
      <c r="Y14" s="155">
        <v>46</v>
      </c>
      <c r="Z14" s="154">
        <f t="shared" si="4"/>
        <v>46</v>
      </c>
      <c r="AA14" s="155">
        <v>44</v>
      </c>
      <c r="AB14" s="155">
        <v>55</v>
      </c>
      <c r="AC14" s="155">
        <v>53</v>
      </c>
      <c r="AD14" s="155">
        <v>53</v>
      </c>
      <c r="AE14" s="154">
        <f t="shared" si="5"/>
        <v>53</v>
      </c>
      <c r="AF14" s="155">
        <v>55</v>
      </c>
      <c r="AG14" s="155">
        <v>59</v>
      </c>
      <c r="AH14" s="155">
        <v>64</v>
      </c>
      <c r="AI14" s="155">
        <v>38</v>
      </c>
      <c r="AJ14" s="154">
        <f t="shared" si="6"/>
        <v>38</v>
      </c>
      <c r="AK14" s="155">
        <v>38.700000000000003</v>
      </c>
      <c r="AL14" s="155">
        <v>29</v>
      </c>
      <c r="AM14" s="155">
        <f>30.3+424.1</f>
        <v>454.40000000000003</v>
      </c>
      <c r="AN14" s="155">
        <f>65.5+347.5</f>
        <v>413</v>
      </c>
      <c r="AO14" s="154">
        <f t="shared" si="7"/>
        <v>413</v>
      </c>
      <c r="AP14" s="155">
        <f>55.2+119.7</f>
        <v>174.9</v>
      </c>
      <c r="AQ14" s="155">
        <v>59.8</v>
      </c>
      <c r="AR14" s="155">
        <v>53</v>
      </c>
      <c r="AS14" s="155">
        <v>61</v>
      </c>
      <c r="AT14" s="154">
        <f t="shared" si="8"/>
        <v>61</v>
      </c>
      <c r="AU14" s="155">
        <v>30</v>
      </c>
      <c r="AV14" s="155">
        <v>40.5</v>
      </c>
      <c r="AW14" s="155">
        <v>39.6</v>
      </c>
      <c r="AX14" s="155">
        <v>59.9</v>
      </c>
      <c r="AY14" s="154">
        <f t="shared" si="9"/>
        <v>59.9</v>
      </c>
      <c r="AZ14" s="157">
        <v>38.299999999999997</v>
      </c>
      <c r="BA14" s="157">
        <f t="shared" ref="BA14:BA15" si="12">AZ14</f>
        <v>38.299999999999997</v>
      </c>
      <c r="BB14" s="157">
        <f t="shared" ref="BB14:BB15" si="13">BA14</f>
        <v>38.299999999999997</v>
      </c>
      <c r="BC14" s="157">
        <f t="shared" ref="BC14:BC15" si="14">BB14</f>
        <v>38.299999999999997</v>
      </c>
      <c r="BD14" s="154">
        <f t="shared" si="10"/>
        <v>38.299999999999997</v>
      </c>
      <c r="BE14" s="157">
        <f>BD14</f>
        <v>38.299999999999997</v>
      </c>
      <c r="BF14" s="157">
        <f t="shared" ref="BF14:BF15" si="15">BE14</f>
        <v>38.299999999999997</v>
      </c>
      <c r="BG14" s="157">
        <f t="shared" ref="BG14:BG15" si="16">BF14</f>
        <v>38.299999999999997</v>
      </c>
      <c r="BH14" s="157">
        <f t="shared" ref="BH14:BH15" si="17">BG14</f>
        <v>38.299999999999997</v>
      </c>
      <c r="BI14" s="154">
        <f t="shared" si="11"/>
        <v>38.299999999999997</v>
      </c>
    </row>
    <row r="15" spans="1:61" x14ac:dyDescent="0.2">
      <c r="A15" s="22" t="s">
        <v>52</v>
      </c>
      <c r="B15" s="23"/>
      <c r="C15" s="63"/>
      <c r="D15" s="63"/>
      <c r="E15" s="63">
        <v>0</v>
      </c>
      <c r="F15" s="158">
        <f t="shared" si="0"/>
        <v>0</v>
      </c>
      <c r="G15" s="159">
        <v>0</v>
      </c>
      <c r="H15" s="159">
        <v>0</v>
      </c>
      <c r="I15" s="159">
        <v>0</v>
      </c>
      <c r="J15" s="159">
        <v>0</v>
      </c>
      <c r="K15" s="158">
        <f t="shared" si="1"/>
        <v>0</v>
      </c>
      <c r="L15" s="159">
        <v>0</v>
      </c>
      <c r="M15" s="159">
        <v>0</v>
      </c>
      <c r="N15" s="159">
        <v>0</v>
      </c>
      <c r="O15" s="159">
        <v>0</v>
      </c>
      <c r="P15" s="158">
        <f t="shared" si="2"/>
        <v>0</v>
      </c>
      <c r="Q15" s="159">
        <v>0</v>
      </c>
      <c r="R15" s="159">
        <v>0</v>
      </c>
      <c r="S15" s="159">
        <v>0</v>
      </c>
      <c r="T15" s="159">
        <v>0</v>
      </c>
      <c r="U15" s="158">
        <f t="shared" si="3"/>
        <v>0</v>
      </c>
      <c r="V15" s="159">
        <v>0</v>
      </c>
      <c r="W15" s="159">
        <v>0</v>
      </c>
      <c r="X15" s="159">
        <v>0</v>
      </c>
      <c r="Y15" s="159">
        <v>0</v>
      </c>
      <c r="Z15" s="158">
        <f t="shared" si="4"/>
        <v>0</v>
      </c>
      <c r="AA15" s="159">
        <v>0</v>
      </c>
      <c r="AB15" s="159">
        <v>0</v>
      </c>
      <c r="AC15" s="159">
        <v>0</v>
      </c>
      <c r="AD15" s="159">
        <v>0</v>
      </c>
      <c r="AE15" s="158">
        <f t="shared" si="5"/>
        <v>0</v>
      </c>
      <c r="AF15" s="159">
        <v>0</v>
      </c>
      <c r="AG15" s="159">
        <v>0</v>
      </c>
      <c r="AH15" s="159">
        <v>0</v>
      </c>
      <c r="AI15" s="159">
        <v>1464.2</v>
      </c>
      <c r="AJ15" s="158">
        <f t="shared" si="6"/>
        <v>1464.2</v>
      </c>
      <c r="AK15" s="159">
        <v>1553.6</v>
      </c>
      <c r="AL15" s="159">
        <v>0</v>
      </c>
      <c r="AM15" s="159">
        <f t="shared" ref="AM15:AN15" si="18">AL15</f>
        <v>0</v>
      </c>
      <c r="AN15" s="159">
        <f t="shared" si="18"/>
        <v>0</v>
      </c>
      <c r="AO15" s="158">
        <f t="shared" si="7"/>
        <v>0</v>
      </c>
      <c r="AP15" s="159">
        <f>AO15</f>
        <v>0</v>
      </c>
      <c r="AQ15" s="159">
        <f t="shared" ref="AQ15:AS15" si="19">AP15</f>
        <v>0</v>
      </c>
      <c r="AR15" s="159">
        <v>0</v>
      </c>
      <c r="AS15" s="159">
        <f t="shared" si="19"/>
        <v>0</v>
      </c>
      <c r="AT15" s="158">
        <f t="shared" si="8"/>
        <v>0</v>
      </c>
      <c r="AU15" s="159">
        <f>AT15</f>
        <v>0</v>
      </c>
      <c r="AV15" s="159">
        <f t="shared" ref="AV15" si="20">AU15</f>
        <v>0</v>
      </c>
      <c r="AW15" s="159">
        <f t="shared" ref="AW15" si="21">AV15</f>
        <v>0</v>
      </c>
      <c r="AX15" s="159">
        <f t="shared" ref="AX15" si="22">AW15</f>
        <v>0</v>
      </c>
      <c r="AY15" s="158">
        <f t="shared" si="9"/>
        <v>0</v>
      </c>
      <c r="AZ15" s="160">
        <f>AY15</f>
        <v>0</v>
      </c>
      <c r="BA15" s="160">
        <f t="shared" si="12"/>
        <v>0</v>
      </c>
      <c r="BB15" s="160">
        <f t="shared" si="13"/>
        <v>0</v>
      </c>
      <c r="BC15" s="160">
        <f t="shared" si="14"/>
        <v>0</v>
      </c>
      <c r="BD15" s="158">
        <f t="shared" si="10"/>
        <v>0</v>
      </c>
      <c r="BE15" s="160">
        <f>BD15</f>
        <v>0</v>
      </c>
      <c r="BF15" s="160">
        <f t="shared" si="15"/>
        <v>0</v>
      </c>
      <c r="BG15" s="160">
        <f t="shared" si="16"/>
        <v>0</v>
      </c>
      <c r="BH15" s="160">
        <f t="shared" si="17"/>
        <v>0</v>
      </c>
      <c r="BI15" s="158">
        <f t="shared" si="11"/>
        <v>0</v>
      </c>
    </row>
    <row r="16" spans="1:61" x14ac:dyDescent="0.2">
      <c r="A16" s="24" t="s">
        <v>5</v>
      </c>
      <c r="B16" s="2"/>
      <c r="C16" s="62"/>
      <c r="D16" s="62"/>
      <c r="E16" s="62">
        <f>SUM(E11:E15)</f>
        <v>730</v>
      </c>
      <c r="F16" s="161">
        <f>SUM(F11:F15)</f>
        <v>730</v>
      </c>
      <c r="G16" s="155">
        <f>SUM(G11:G15)</f>
        <v>759</v>
      </c>
      <c r="H16" s="155">
        <f t="shared" ref="H16:J16" si="23">SUM(H11:H15)</f>
        <v>732</v>
      </c>
      <c r="I16" s="155">
        <f t="shared" si="23"/>
        <v>748</v>
      </c>
      <c r="J16" s="155">
        <f t="shared" si="23"/>
        <v>790</v>
      </c>
      <c r="K16" s="161">
        <f>SUM(K11:K15)</f>
        <v>790</v>
      </c>
      <c r="L16" s="155">
        <f>SUM(L11:L15)</f>
        <v>735</v>
      </c>
      <c r="M16" s="155">
        <f t="shared" ref="M16:O16" si="24">SUM(M11:M15)</f>
        <v>795</v>
      </c>
      <c r="N16" s="155">
        <f t="shared" si="24"/>
        <v>790</v>
      </c>
      <c r="O16" s="155">
        <f t="shared" si="24"/>
        <v>725</v>
      </c>
      <c r="P16" s="161">
        <f>SUM(P11:P15)</f>
        <v>725</v>
      </c>
      <c r="Q16" s="155">
        <f>SUM(Q11:Q15)</f>
        <v>668</v>
      </c>
      <c r="R16" s="155">
        <f t="shared" ref="R16" si="25">SUM(R11:R15)</f>
        <v>733</v>
      </c>
      <c r="S16" s="155">
        <f t="shared" ref="S16" si="26">SUM(S11:S15)</f>
        <v>801</v>
      </c>
      <c r="T16" s="155">
        <f t="shared" ref="T16" si="27">SUM(T11:T15)</f>
        <v>797</v>
      </c>
      <c r="U16" s="161">
        <f>SUM(U11:U15)</f>
        <v>797</v>
      </c>
      <c r="V16" s="155">
        <f>SUM(V11:V15)</f>
        <v>794</v>
      </c>
      <c r="W16" s="155">
        <f t="shared" ref="W16" si="28">SUM(W11:W15)</f>
        <v>1384</v>
      </c>
      <c r="X16" s="155">
        <f t="shared" ref="X16" si="29">SUM(X11:X15)</f>
        <v>1379</v>
      </c>
      <c r="Y16" s="155">
        <f t="shared" ref="Y16" si="30">SUM(Y11:Y15)</f>
        <v>1438</v>
      </c>
      <c r="Z16" s="161">
        <f>SUM(Z11:Z15)</f>
        <v>1438</v>
      </c>
      <c r="AA16" s="155">
        <f>SUM(AA11:AA15)</f>
        <v>1214</v>
      </c>
      <c r="AB16" s="155">
        <f t="shared" ref="AB16" si="31">SUM(AB11:AB15)</f>
        <v>968</v>
      </c>
      <c r="AC16" s="155">
        <f t="shared" ref="AC16" si="32">SUM(AC11:AC15)</f>
        <v>1016</v>
      </c>
      <c r="AD16" s="155">
        <f t="shared" ref="AD16" si="33">SUM(AD11:AD15)</f>
        <v>1037</v>
      </c>
      <c r="AE16" s="161">
        <f>SUM(AE11:AE15)</f>
        <v>1037</v>
      </c>
      <c r="AF16" s="155">
        <f>SUM(AF11:AF15)</f>
        <v>1001</v>
      </c>
      <c r="AG16" s="155">
        <f t="shared" ref="AG16" si="34">SUM(AG11:AG15)</f>
        <v>1016</v>
      </c>
      <c r="AH16" s="155">
        <f t="shared" ref="AH16" si="35">SUM(AH11:AH15)</f>
        <v>1051</v>
      </c>
      <c r="AI16" s="155">
        <f t="shared" ref="AI16" si="36">SUM(AI11:AI15)</f>
        <v>1621.1000000000001</v>
      </c>
      <c r="AJ16" s="161">
        <f>SUM(AJ11:AJ15)</f>
        <v>1621.1000000000001</v>
      </c>
      <c r="AK16" s="155">
        <f>SUM(AK11:AK15)</f>
        <v>1701.3999999999999</v>
      </c>
      <c r="AL16" s="155">
        <f t="shared" ref="AL16" si="37">SUM(AL11:AL15)</f>
        <v>2458.1</v>
      </c>
      <c r="AM16" s="155">
        <f t="shared" ref="AM16" si="38">SUM(AM11:AM15)</f>
        <v>1087.1000000000001</v>
      </c>
      <c r="AN16" s="155">
        <f t="shared" ref="AN16" si="39">SUM(AN11:AN15)</f>
        <v>936.7</v>
      </c>
      <c r="AO16" s="161">
        <f>SUM(AO11:AO15)</f>
        <v>936.7</v>
      </c>
      <c r="AP16" s="155">
        <f>SUM(AP11:AP15)</f>
        <v>710.6</v>
      </c>
      <c r="AQ16" s="155">
        <f t="shared" ref="AQ16:AS16" si="40">SUM(AQ11:AQ15)</f>
        <v>701.4</v>
      </c>
      <c r="AR16" s="155">
        <f t="shared" si="40"/>
        <v>256.39999999999998</v>
      </c>
      <c r="AS16" s="155">
        <f t="shared" si="40"/>
        <v>255.39999999999998</v>
      </c>
      <c r="AT16" s="161">
        <f>SUM(AT11:AT15)</f>
        <v>255.39999999999998</v>
      </c>
      <c r="AU16" s="155">
        <f>SUM(AU11:AU15)</f>
        <v>212.7</v>
      </c>
      <c r="AV16" s="155">
        <f t="shared" ref="AV16:AX16" si="41">SUM(AV11:AV15)</f>
        <v>230</v>
      </c>
      <c r="AW16" s="155">
        <f t="shared" si="41"/>
        <v>238.99999999999997</v>
      </c>
      <c r="AX16" s="155">
        <f t="shared" si="41"/>
        <v>243.7</v>
      </c>
      <c r="AY16" s="161">
        <f>SUM(AY11:AY15)</f>
        <v>243.7</v>
      </c>
      <c r="AZ16" s="155">
        <f>SUM(AZ11:AZ15)</f>
        <v>255.2</v>
      </c>
      <c r="BA16" s="155">
        <f t="shared" ref="BA16:BC16" si="42">SUM(BA11:BA15)</f>
        <v>257.84367400845997</v>
      </c>
      <c r="BB16" s="155">
        <f t="shared" si="42"/>
        <v>267.40074269143184</v>
      </c>
      <c r="BC16" s="155">
        <f t="shared" si="42"/>
        <v>274.82061026631749</v>
      </c>
      <c r="BD16" s="161">
        <f>SUM(BD11:BD15)</f>
        <v>274.82061026631749</v>
      </c>
      <c r="BE16" s="155">
        <f>SUM(BE11:BE15)</f>
        <v>282.89883181209547</v>
      </c>
      <c r="BF16" s="155">
        <f t="shared" ref="BF16:BH16" si="43">SUM(BF11:BF15)</f>
        <v>291.44675145404472</v>
      </c>
      <c r="BG16" s="155">
        <f t="shared" si="43"/>
        <v>301.76336555970926</v>
      </c>
      <c r="BH16" s="155">
        <f t="shared" si="43"/>
        <v>313.73474462531391</v>
      </c>
      <c r="BI16" s="161">
        <f>SUM(BI11:BI15)</f>
        <v>313.73474462531391</v>
      </c>
    </row>
    <row r="17" spans="1:61" x14ac:dyDescent="0.2">
      <c r="B17" s="2"/>
      <c r="C17" s="62"/>
      <c r="D17" s="62"/>
      <c r="E17" s="62"/>
      <c r="F17" s="161"/>
      <c r="G17" s="150"/>
      <c r="H17" s="150"/>
      <c r="I17" s="162"/>
      <c r="J17" s="155"/>
      <c r="K17" s="161"/>
      <c r="L17" s="150"/>
      <c r="M17" s="150"/>
      <c r="N17" s="150"/>
      <c r="O17" s="150"/>
      <c r="P17" s="161"/>
      <c r="Q17" s="150"/>
      <c r="R17" s="150"/>
      <c r="S17" s="150"/>
      <c r="T17" s="150"/>
      <c r="U17" s="161"/>
      <c r="V17" s="150"/>
      <c r="W17" s="150"/>
      <c r="X17" s="150"/>
      <c r="Y17" s="150"/>
      <c r="Z17" s="161"/>
      <c r="AA17" s="150"/>
      <c r="AB17" s="150"/>
      <c r="AC17" s="150"/>
      <c r="AD17" s="150"/>
      <c r="AE17" s="161"/>
      <c r="AF17" s="150"/>
      <c r="AG17" s="150"/>
      <c r="AH17" s="150"/>
      <c r="AI17" s="150"/>
      <c r="AJ17" s="161"/>
      <c r="AK17" s="150"/>
      <c r="AL17" s="150"/>
      <c r="AM17" s="162"/>
      <c r="AN17" s="150"/>
      <c r="AO17" s="161"/>
      <c r="AP17" s="150"/>
      <c r="AQ17" s="150"/>
      <c r="AR17" s="150"/>
      <c r="AS17" s="150"/>
      <c r="AT17" s="161"/>
      <c r="AU17" s="150"/>
      <c r="AV17" s="150"/>
      <c r="AW17" s="150"/>
      <c r="AX17" s="150"/>
      <c r="AY17" s="161"/>
      <c r="AZ17" s="150"/>
      <c r="BA17" s="150"/>
      <c r="BB17" s="150"/>
      <c r="BC17" s="150"/>
      <c r="BD17" s="161"/>
      <c r="BE17" s="150"/>
      <c r="BF17" s="150"/>
      <c r="BG17" s="150"/>
      <c r="BH17" s="150"/>
      <c r="BI17" s="161"/>
    </row>
    <row r="18" spans="1:61" x14ac:dyDescent="0.2">
      <c r="A18" s="4" t="s">
        <v>54</v>
      </c>
      <c r="B18" s="2"/>
      <c r="C18" s="62"/>
      <c r="D18" s="62"/>
      <c r="E18" s="62">
        <v>324</v>
      </c>
      <c r="F18" s="154">
        <f t="shared" ref="F18:F23" si="44">E18</f>
        <v>324</v>
      </c>
      <c r="G18" s="155">
        <v>331</v>
      </c>
      <c r="H18" s="155">
        <v>349</v>
      </c>
      <c r="I18" s="155">
        <v>369</v>
      </c>
      <c r="J18" s="155">
        <v>391</v>
      </c>
      <c r="K18" s="154">
        <f t="shared" ref="K18:K23" si="45">J18</f>
        <v>391</v>
      </c>
      <c r="L18" s="155">
        <v>384</v>
      </c>
      <c r="M18" s="155">
        <v>390</v>
      </c>
      <c r="N18" s="155">
        <v>399</v>
      </c>
      <c r="O18" s="155">
        <v>420</v>
      </c>
      <c r="P18" s="154">
        <f t="shared" ref="P18:P23" si="46">O18</f>
        <v>420</v>
      </c>
      <c r="Q18" s="155">
        <v>428</v>
      </c>
      <c r="R18" s="155">
        <v>441</v>
      </c>
      <c r="S18" s="155">
        <v>455</v>
      </c>
      <c r="T18" s="155">
        <v>498</v>
      </c>
      <c r="U18" s="154">
        <f t="shared" ref="U18:U23" si="47">T18</f>
        <v>498</v>
      </c>
      <c r="V18" s="155">
        <v>479</v>
      </c>
      <c r="W18" s="155">
        <v>509</v>
      </c>
      <c r="X18" s="155">
        <v>559</v>
      </c>
      <c r="Y18" s="155">
        <v>613</v>
      </c>
      <c r="Z18" s="154">
        <f t="shared" ref="Z18:Z23" si="48">Y18</f>
        <v>613</v>
      </c>
      <c r="AA18" s="155">
        <v>713</v>
      </c>
      <c r="AB18" s="155">
        <v>741</v>
      </c>
      <c r="AC18" s="155">
        <v>773</v>
      </c>
      <c r="AD18" s="155">
        <v>817</v>
      </c>
      <c r="AE18" s="154">
        <f t="shared" ref="AE18:AE23" si="49">AD18</f>
        <v>817</v>
      </c>
      <c r="AF18" s="155">
        <v>824</v>
      </c>
      <c r="AG18" s="155">
        <v>843</v>
      </c>
      <c r="AH18" s="155">
        <v>874</v>
      </c>
      <c r="AI18" s="155">
        <v>668.6</v>
      </c>
      <c r="AJ18" s="154">
        <f t="shared" ref="AJ18:AJ23" si="50">AI18</f>
        <v>668.6</v>
      </c>
      <c r="AK18" s="155">
        <v>693.3</v>
      </c>
      <c r="AL18" s="155">
        <v>722.5</v>
      </c>
      <c r="AM18" s="155">
        <v>761.6</v>
      </c>
      <c r="AN18" s="155">
        <v>818.3</v>
      </c>
      <c r="AO18" s="154">
        <f t="shared" ref="AO18:AO23" si="51">AN18</f>
        <v>818.3</v>
      </c>
      <c r="AP18" s="155">
        <v>841.5</v>
      </c>
      <c r="AQ18" s="155">
        <v>877.9</v>
      </c>
      <c r="AR18" s="155">
        <v>927.2</v>
      </c>
      <c r="AS18" s="155">
        <v>958.7</v>
      </c>
      <c r="AT18" s="154">
        <f t="shared" ref="AT18:AT23" si="52">AS18</f>
        <v>958.7</v>
      </c>
      <c r="AU18" s="155">
        <v>934.14</v>
      </c>
      <c r="AV18" s="155">
        <v>995.5</v>
      </c>
      <c r="AW18" s="155">
        <v>1050.5</v>
      </c>
      <c r="AX18" s="155">
        <v>1134.5999999999999</v>
      </c>
      <c r="AY18" s="154">
        <f t="shared" ref="AY18:AY23" si="53">AX18</f>
        <v>1134.5999999999999</v>
      </c>
      <c r="AZ18" s="157">
        <v>1217.3</v>
      </c>
      <c r="BA18" s="157">
        <f t="shared" ref="BA18:BA22" si="54">AZ18</f>
        <v>1217.3</v>
      </c>
      <c r="BB18" s="157">
        <f t="shared" ref="BB18:BB22" si="55">BA18</f>
        <v>1217.3</v>
      </c>
      <c r="BC18" s="157">
        <f t="shared" ref="BC18:BC22" si="56">BB18</f>
        <v>1217.3</v>
      </c>
      <c r="BD18" s="154">
        <f t="shared" ref="BD18:BD23" si="57">BC18</f>
        <v>1217.3</v>
      </c>
      <c r="BE18" s="157">
        <f>BD18</f>
        <v>1217.3</v>
      </c>
      <c r="BF18" s="157">
        <f t="shared" ref="BF18:BF22" si="58">BE18</f>
        <v>1217.3</v>
      </c>
      <c r="BG18" s="157">
        <f t="shared" ref="BG18:BG22" si="59">BF18</f>
        <v>1217.3</v>
      </c>
      <c r="BH18" s="157">
        <f t="shared" ref="BH18:BH22" si="60">BG18</f>
        <v>1217.3</v>
      </c>
      <c r="BI18" s="154">
        <f t="shared" ref="BI18:BI23" si="61">BH18</f>
        <v>1217.3</v>
      </c>
    </row>
    <row r="19" spans="1:61" x14ac:dyDescent="0.2">
      <c r="A19" s="4" t="s">
        <v>56</v>
      </c>
      <c r="B19" s="2"/>
      <c r="C19" s="62"/>
      <c r="D19" s="62"/>
      <c r="E19" s="62">
        <v>0</v>
      </c>
      <c r="F19" s="154">
        <f t="shared" si="44"/>
        <v>0</v>
      </c>
      <c r="G19" s="155">
        <v>0</v>
      </c>
      <c r="H19" s="155">
        <v>0</v>
      </c>
      <c r="I19" s="155">
        <v>0</v>
      </c>
      <c r="J19" s="155">
        <v>0</v>
      </c>
      <c r="K19" s="154">
        <f t="shared" si="45"/>
        <v>0</v>
      </c>
      <c r="L19" s="155">
        <v>0</v>
      </c>
      <c r="M19" s="155">
        <v>0</v>
      </c>
      <c r="N19" s="155">
        <v>0</v>
      </c>
      <c r="O19" s="155">
        <v>0</v>
      </c>
      <c r="P19" s="154">
        <f t="shared" si="46"/>
        <v>0</v>
      </c>
      <c r="Q19" s="155">
        <v>0</v>
      </c>
      <c r="R19" s="155">
        <v>0</v>
      </c>
      <c r="S19" s="155">
        <v>0</v>
      </c>
      <c r="T19" s="155">
        <v>0</v>
      </c>
      <c r="U19" s="154">
        <f t="shared" si="47"/>
        <v>0</v>
      </c>
      <c r="V19" s="155">
        <v>253</v>
      </c>
      <c r="W19" s="155">
        <v>254</v>
      </c>
      <c r="X19" s="155">
        <v>261</v>
      </c>
      <c r="Y19" s="155">
        <v>261</v>
      </c>
      <c r="Z19" s="154">
        <f t="shared" si="48"/>
        <v>261</v>
      </c>
      <c r="AA19" s="155">
        <v>293</v>
      </c>
      <c r="AB19" s="155">
        <v>299</v>
      </c>
      <c r="AC19" s="155">
        <v>311</v>
      </c>
      <c r="AD19" s="155">
        <v>307</v>
      </c>
      <c r="AE19" s="154">
        <f t="shared" si="49"/>
        <v>307</v>
      </c>
      <c r="AF19" s="155">
        <v>309</v>
      </c>
      <c r="AG19" s="155">
        <v>313</v>
      </c>
      <c r="AH19" s="155">
        <v>321</v>
      </c>
      <c r="AI19" s="155">
        <v>248.1</v>
      </c>
      <c r="AJ19" s="154">
        <f t="shared" si="50"/>
        <v>248.1</v>
      </c>
      <c r="AK19" s="155">
        <v>253.5</v>
      </c>
      <c r="AL19" s="155">
        <v>258.7</v>
      </c>
      <c r="AM19" s="155">
        <v>264.3</v>
      </c>
      <c r="AN19" s="155">
        <v>266.5</v>
      </c>
      <c r="AO19" s="154">
        <f t="shared" si="51"/>
        <v>266.5</v>
      </c>
      <c r="AP19" s="155">
        <v>273.10000000000002</v>
      </c>
      <c r="AQ19" s="155">
        <v>288.10000000000002</v>
      </c>
      <c r="AR19" s="155">
        <v>289.3</v>
      </c>
      <c r="AS19" s="155">
        <v>298.60000000000002</v>
      </c>
      <c r="AT19" s="154">
        <f t="shared" si="52"/>
        <v>298.60000000000002</v>
      </c>
      <c r="AU19" s="155">
        <v>290.7</v>
      </c>
      <c r="AV19" s="155">
        <v>313.2</v>
      </c>
      <c r="AW19" s="155">
        <v>329.3</v>
      </c>
      <c r="AX19" s="155">
        <v>331.8</v>
      </c>
      <c r="AY19" s="154">
        <f t="shared" si="53"/>
        <v>331.8</v>
      </c>
      <c r="AZ19" s="157">
        <v>403.3</v>
      </c>
      <c r="BA19" s="157">
        <f t="shared" si="54"/>
        <v>403.3</v>
      </c>
      <c r="BB19" s="157">
        <f t="shared" si="55"/>
        <v>403.3</v>
      </c>
      <c r="BC19" s="157">
        <f t="shared" si="56"/>
        <v>403.3</v>
      </c>
      <c r="BD19" s="154">
        <f t="shared" si="57"/>
        <v>403.3</v>
      </c>
      <c r="BE19" s="157">
        <f>BD19</f>
        <v>403.3</v>
      </c>
      <c r="BF19" s="157">
        <f t="shared" si="58"/>
        <v>403.3</v>
      </c>
      <c r="BG19" s="157">
        <f t="shared" si="59"/>
        <v>403.3</v>
      </c>
      <c r="BH19" s="157">
        <f t="shared" si="60"/>
        <v>403.3</v>
      </c>
      <c r="BI19" s="154">
        <f t="shared" si="61"/>
        <v>403.3</v>
      </c>
    </row>
    <row r="20" spans="1:61" x14ac:dyDescent="0.2">
      <c r="A20" s="4" t="s">
        <v>55</v>
      </c>
      <c r="B20" s="2"/>
      <c r="C20" s="62"/>
      <c r="D20" s="62"/>
      <c r="E20" s="62">
        <v>267</v>
      </c>
      <c r="F20" s="154">
        <f t="shared" si="44"/>
        <v>267</v>
      </c>
      <c r="G20" s="155">
        <v>270</v>
      </c>
      <c r="H20" s="155">
        <v>317</v>
      </c>
      <c r="I20" s="155">
        <v>334</v>
      </c>
      <c r="J20" s="155">
        <v>335</v>
      </c>
      <c r="K20" s="154">
        <f t="shared" si="45"/>
        <v>335</v>
      </c>
      <c r="L20" s="155">
        <v>393</v>
      </c>
      <c r="M20" s="155">
        <v>396</v>
      </c>
      <c r="N20" s="155">
        <v>398</v>
      </c>
      <c r="O20" s="155">
        <v>448</v>
      </c>
      <c r="P20" s="154">
        <f t="shared" si="46"/>
        <v>448</v>
      </c>
      <c r="Q20" s="155">
        <v>473</v>
      </c>
      <c r="R20" s="155">
        <v>478</v>
      </c>
      <c r="S20" s="155">
        <v>490</v>
      </c>
      <c r="T20" s="155">
        <v>504</v>
      </c>
      <c r="U20" s="154">
        <f t="shared" si="47"/>
        <v>504</v>
      </c>
      <c r="V20" s="155">
        <v>507</v>
      </c>
      <c r="W20" s="155">
        <v>503</v>
      </c>
      <c r="X20" s="155">
        <v>510</v>
      </c>
      <c r="Y20" s="155">
        <v>529</v>
      </c>
      <c r="Z20" s="154">
        <f t="shared" si="48"/>
        <v>529</v>
      </c>
      <c r="AA20" s="155">
        <v>739</v>
      </c>
      <c r="AB20" s="155">
        <v>732</v>
      </c>
      <c r="AC20" s="155">
        <v>773</v>
      </c>
      <c r="AD20" s="155">
        <v>775</v>
      </c>
      <c r="AE20" s="154">
        <f t="shared" si="49"/>
        <v>775</v>
      </c>
      <c r="AF20" s="155">
        <v>782</v>
      </c>
      <c r="AG20" s="155">
        <v>788</v>
      </c>
      <c r="AH20" s="155">
        <v>804</v>
      </c>
      <c r="AI20" s="155">
        <v>663.1</v>
      </c>
      <c r="AJ20" s="154">
        <f t="shared" si="50"/>
        <v>663.1</v>
      </c>
      <c r="AK20" s="155">
        <v>668.2</v>
      </c>
      <c r="AL20" s="155">
        <v>673.1</v>
      </c>
      <c r="AM20" s="155">
        <v>678</v>
      </c>
      <c r="AN20" s="155">
        <v>680.6</v>
      </c>
      <c r="AO20" s="154">
        <f t="shared" si="51"/>
        <v>680.6</v>
      </c>
      <c r="AP20" s="155">
        <v>685.6</v>
      </c>
      <c r="AQ20" s="155">
        <v>692.3</v>
      </c>
      <c r="AR20" s="155">
        <v>693.7</v>
      </c>
      <c r="AS20" s="155">
        <v>705.6</v>
      </c>
      <c r="AT20" s="154">
        <f t="shared" si="52"/>
        <v>705.6</v>
      </c>
      <c r="AU20" s="155">
        <v>689.5</v>
      </c>
      <c r="AV20" s="155">
        <v>690.8</v>
      </c>
      <c r="AW20" s="155">
        <v>713.1</v>
      </c>
      <c r="AX20" s="155">
        <v>740.5</v>
      </c>
      <c r="AY20" s="154">
        <f t="shared" si="53"/>
        <v>740.5</v>
      </c>
      <c r="AZ20" s="157">
        <v>1304.9000000000001</v>
      </c>
      <c r="BA20" s="157">
        <f t="shared" si="54"/>
        <v>1304.9000000000001</v>
      </c>
      <c r="BB20" s="157">
        <f t="shared" si="55"/>
        <v>1304.9000000000001</v>
      </c>
      <c r="BC20" s="157">
        <f t="shared" si="56"/>
        <v>1304.9000000000001</v>
      </c>
      <c r="BD20" s="154">
        <f t="shared" si="57"/>
        <v>1304.9000000000001</v>
      </c>
      <c r="BE20" s="157">
        <f>BD20</f>
        <v>1304.9000000000001</v>
      </c>
      <c r="BF20" s="157">
        <f t="shared" si="58"/>
        <v>1304.9000000000001</v>
      </c>
      <c r="BG20" s="157">
        <f t="shared" si="59"/>
        <v>1304.9000000000001</v>
      </c>
      <c r="BH20" s="157">
        <f t="shared" si="60"/>
        <v>1304.9000000000001</v>
      </c>
      <c r="BI20" s="154">
        <f t="shared" si="61"/>
        <v>1304.9000000000001</v>
      </c>
    </row>
    <row r="21" spans="1:61" x14ac:dyDescent="0.2">
      <c r="A21" s="4" t="s">
        <v>57</v>
      </c>
      <c r="B21" s="2"/>
      <c r="C21" s="62"/>
      <c r="D21" s="62"/>
      <c r="E21" s="62">
        <v>389</v>
      </c>
      <c r="F21" s="154">
        <f t="shared" si="44"/>
        <v>389</v>
      </c>
      <c r="G21" s="155">
        <v>386</v>
      </c>
      <c r="H21" s="155">
        <v>393</v>
      </c>
      <c r="I21" s="155">
        <v>394</v>
      </c>
      <c r="J21" s="155">
        <v>281</v>
      </c>
      <c r="K21" s="154">
        <f t="shared" si="45"/>
        <v>281</v>
      </c>
      <c r="L21" s="155">
        <v>196</v>
      </c>
      <c r="M21" s="155">
        <v>171</v>
      </c>
      <c r="N21" s="155">
        <v>147</v>
      </c>
      <c r="O21" s="155">
        <v>138</v>
      </c>
      <c r="P21" s="154">
        <f t="shared" si="46"/>
        <v>138</v>
      </c>
      <c r="Q21" s="155">
        <v>134</v>
      </c>
      <c r="R21" s="155">
        <v>125</v>
      </c>
      <c r="S21" s="155">
        <v>113</v>
      </c>
      <c r="T21" s="155">
        <v>123</v>
      </c>
      <c r="U21" s="154">
        <f t="shared" si="47"/>
        <v>123</v>
      </c>
      <c r="V21" s="155">
        <v>116</v>
      </c>
      <c r="W21" s="155">
        <v>99</v>
      </c>
      <c r="X21" s="155">
        <v>82</v>
      </c>
      <c r="Y21" s="155">
        <v>34</v>
      </c>
      <c r="Z21" s="154">
        <f t="shared" si="48"/>
        <v>34</v>
      </c>
      <c r="AA21" s="155">
        <v>28</v>
      </c>
      <c r="AB21" s="155">
        <v>19</v>
      </c>
      <c r="AC21" s="155">
        <v>10</v>
      </c>
      <c r="AD21" s="155">
        <v>14</v>
      </c>
      <c r="AE21" s="154">
        <f t="shared" si="49"/>
        <v>14</v>
      </c>
      <c r="AF21" s="155">
        <v>13</v>
      </c>
      <c r="AG21" s="155">
        <v>13</v>
      </c>
      <c r="AH21" s="155">
        <v>0</v>
      </c>
      <c r="AI21" s="155">
        <v>61.6</v>
      </c>
      <c r="AJ21" s="154">
        <f t="shared" si="50"/>
        <v>61.6</v>
      </c>
      <c r="AK21" s="155">
        <v>82.2</v>
      </c>
      <c r="AL21" s="155">
        <v>0</v>
      </c>
      <c r="AM21" s="155">
        <f t="shared" ref="AM21:AN21" si="62">AL21</f>
        <v>0</v>
      </c>
      <c r="AN21" s="155">
        <f t="shared" si="62"/>
        <v>0</v>
      </c>
      <c r="AO21" s="154">
        <f t="shared" si="51"/>
        <v>0</v>
      </c>
      <c r="AP21" s="155">
        <f>AO21</f>
        <v>0</v>
      </c>
      <c r="AQ21" s="155">
        <v>0</v>
      </c>
      <c r="AR21" s="155">
        <v>0</v>
      </c>
      <c r="AS21" s="155">
        <f t="shared" ref="AS21" si="63">AR21</f>
        <v>0</v>
      </c>
      <c r="AT21" s="154">
        <f t="shared" si="52"/>
        <v>0</v>
      </c>
      <c r="AU21" s="155">
        <f>AT21</f>
        <v>0</v>
      </c>
      <c r="AV21" s="155">
        <f t="shared" ref="AV21" si="64">AU21</f>
        <v>0</v>
      </c>
      <c r="AW21" s="155">
        <f t="shared" ref="AW21" si="65">AV21</f>
        <v>0</v>
      </c>
      <c r="AX21" s="155">
        <f t="shared" ref="AX21" si="66">AW21</f>
        <v>0</v>
      </c>
      <c r="AY21" s="154">
        <f t="shared" si="53"/>
        <v>0</v>
      </c>
      <c r="AZ21" s="157">
        <f>AY21</f>
        <v>0</v>
      </c>
      <c r="BA21" s="157">
        <f t="shared" si="54"/>
        <v>0</v>
      </c>
      <c r="BB21" s="157">
        <f t="shared" si="55"/>
        <v>0</v>
      </c>
      <c r="BC21" s="157">
        <f t="shared" si="56"/>
        <v>0</v>
      </c>
      <c r="BD21" s="154">
        <f t="shared" si="57"/>
        <v>0</v>
      </c>
      <c r="BE21" s="157">
        <f>BD21</f>
        <v>0</v>
      </c>
      <c r="BF21" s="157">
        <f t="shared" si="58"/>
        <v>0</v>
      </c>
      <c r="BG21" s="157">
        <f t="shared" si="59"/>
        <v>0</v>
      </c>
      <c r="BH21" s="157">
        <f t="shared" si="60"/>
        <v>0</v>
      </c>
      <c r="BI21" s="154">
        <f t="shared" si="61"/>
        <v>0</v>
      </c>
    </row>
    <row r="22" spans="1:61" x14ac:dyDescent="0.2">
      <c r="A22" s="4" t="s">
        <v>6</v>
      </c>
      <c r="B22" s="2"/>
      <c r="C22" s="62"/>
      <c r="D22" s="62"/>
      <c r="E22" s="62">
        <f>26+89</f>
        <v>115</v>
      </c>
      <c r="F22" s="154">
        <f t="shared" si="44"/>
        <v>115</v>
      </c>
      <c r="G22" s="155">
        <v>89</v>
      </c>
      <c r="H22" s="163">
        <f>86+30</f>
        <v>116</v>
      </c>
      <c r="I22" s="155">
        <f>86+29</f>
        <v>115</v>
      </c>
      <c r="J22" s="155">
        <f>88+30</f>
        <v>118</v>
      </c>
      <c r="K22" s="154">
        <f t="shared" si="45"/>
        <v>118</v>
      </c>
      <c r="L22" s="155">
        <f>33+86</f>
        <v>119</v>
      </c>
      <c r="M22" s="155">
        <f>34+83</f>
        <v>117</v>
      </c>
      <c r="N22" s="155">
        <f>33+82</f>
        <v>115</v>
      </c>
      <c r="O22" s="155">
        <f>92+31</f>
        <v>123</v>
      </c>
      <c r="P22" s="154">
        <f t="shared" si="46"/>
        <v>123</v>
      </c>
      <c r="Q22" s="155">
        <f>97+32</f>
        <v>129</v>
      </c>
      <c r="R22" s="155">
        <f>103+34</f>
        <v>137</v>
      </c>
      <c r="S22" s="155">
        <f>106+35</f>
        <v>141</v>
      </c>
      <c r="T22" s="155">
        <f>108+34</f>
        <v>142</v>
      </c>
      <c r="U22" s="154">
        <f t="shared" si="47"/>
        <v>142</v>
      </c>
      <c r="V22" s="155">
        <f>109+39</f>
        <v>148</v>
      </c>
      <c r="W22" s="155">
        <f>131+37</f>
        <v>168</v>
      </c>
      <c r="X22" s="155">
        <f>133+39</f>
        <v>172</v>
      </c>
      <c r="Y22" s="155">
        <f>132+44</f>
        <v>176</v>
      </c>
      <c r="Z22" s="154">
        <f t="shared" si="48"/>
        <v>176</v>
      </c>
      <c r="AA22" s="155">
        <f>123+46</f>
        <v>169</v>
      </c>
      <c r="AB22" s="155">
        <f>117+45</f>
        <v>162</v>
      </c>
      <c r="AC22" s="155">
        <f>119+47</f>
        <v>166</v>
      </c>
      <c r="AD22" s="155">
        <f>194+47</f>
        <v>241</v>
      </c>
      <c r="AE22" s="154">
        <f t="shared" si="49"/>
        <v>241</v>
      </c>
      <c r="AF22" s="155">
        <f>204+50</f>
        <v>254</v>
      </c>
      <c r="AG22" s="155">
        <f>222+53</f>
        <v>275</v>
      </c>
      <c r="AH22" s="155">
        <f>250+48</f>
        <v>298</v>
      </c>
      <c r="AI22" s="155">
        <v>154.30000000000001</v>
      </c>
      <c r="AJ22" s="154">
        <f t="shared" si="50"/>
        <v>154.30000000000001</v>
      </c>
      <c r="AK22" s="155">
        <v>152.9</v>
      </c>
      <c r="AL22" s="155">
        <v>168</v>
      </c>
      <c r="AM22" s="155">
        <v>194.5</v>
      </c>
      <c r="AN22" s="155">
        <v>187.8</v>
      </c>
      <c r="AO22" s="154">
        <f t="shared" si="51"/>
        <v>187.8</v>
      </c>
      <c r="AP22" s="155">
        <v>198.5</v>
      </c>
      <c r="AQ22" s="155">
        <v>203.3</v>
      </c>
      <c r="AR22" s="155">
        <v>209</v>
      </c>
      <c r="AS22" s="155">
        <v>220.4</v>
      </c>
      <c r="AT22" s="154">
        <f t="shared" si="52"/>
        <v>220.4</v>
      </c>
      <c r="AU22" s="155">
        <v>222.8</v>
      </c>
      <c r="AV22" s="155">
        <v>223.1</v>
      </c>
      <c r="AW22" s="155">
        <v>229.7</v>
      </c>
      <c r="AX22" s="155">
        <v>219.8</v>
      </c>
      <c r="AY22" s="154">
        <f t="shared" si="53"/>
        <v>219.8</v>
      </c>
      <c r="AZ22" s="157">
        <v>221.4</v>
      </c>
      <c r="BA22" s="157">
        <f t="shared" si="54"/>
        <v>221.4</v>
      </c>
      <c r="BB22" s="157">
        <f t="shared" si="55"/>
        <v>221.4</v>
      </c>
      <c r="BC22" s="157">
        <f t="shared" si="56"/>
        <v>221.4</v>
      </c>
      <c r="BD22" s="154">
        <f t="shared" si="57"/>
        <v>221.4</v>
      </c>
      <c r="BE22" s="157">
        <f>BD22</f>
        <v>221.4</v>
      </c>
      <c r="BF22" s="157">
        <f t="shared" si="58"/>
        <v>221.4</v>
      </c>
      <c r="BG22" s="157">
        <f t="shared" si="59"/>
        <v>221.4</v>
      </c>
      <c r="BH22" s="157">
        <f t="shared" si="60"/>
        <v>221.4</v>
      </c>
      <c r="BI22" s="154">
        <f t="shared" si="61"/>
        <v>221.4</v>
      </c>
    </row>
    <row r="23" spans="1:61" ht="13.5" thickBot="1" x14ac:dyDescent="0.25">
      <c r="A23" s="25" t="s">
        <v>7</v>
      </c>
      <c r="B23" s="26"/>
      <c r="C23" s="65"/>
      <c r="D23" s="65"/>
      <c r="E23" s="65">
        <f>E16+SUM(E18:E22)</f>
        <v>1825</v>
      </c>
      <c r="F23" s="164">
        <f t="shared" si="44"/>
        <v>1825</v>
      </c>
      <c r="G23" s="165">
        <f>G16+SUM(G18:G22)</f>
        <v>1835</v>
      </c>
      <c r="H23" s="165">
        <f t="shared" ref="H23:J23" si="67">H16+SUM(H18:H22)</f>
        <v>1907</v>
      </c>
      <c r="I23" s="165">
        <f t="shared" si="67"/>
        <v>1960</v>
      </c>
      <c r="J23" s="165">
        <f t="shared" si="67"/>
        <v>1915</v>
      </c>
      <c r="K23" s="164">
        <f t="shared" si="45"/>
        <v>1915</v>
      </c>
      <c r="L23" s="165">
        <f>L16+SUM(L18:L22)</f>
        <v>1827</v>
      </c>
      <c r="M23" s="165">
        <f t="shared" ref="M23:O23" si="68">M16+SUM(M18:M22)</f>
        <v>1869</v>
      </c>
      <c r="N23" s="165">
        <f t="shared" si="68"/>
        <v>1849</v>
      </c>
      <c r="O23" s="165">
        <f t="shared" si="68"/>
        <v>1854</v>
      </c>
      <c r="P23" s="164">
        <f t="shared" si="46"/>
        <v>1854</v>
      </c>
      <c r="Q23" s="165">
        <f>Q16+SUM(Q18:Q22)</f>
        <v>1832</v>
      </c>
      <c r="R23" s="165">
        <f t="shared" ref="R23" si="69">R16+SUM(R18:R22)</f>
        <v>1914</v>
      </c>
      <c r="S23" s="165">
        <f t="shared" ref="S23" si="70">S16+SUM(S18:S22)</f>
        <v>2000</v>
      </c>
      <c r="T23" s="165">
        <f t="shared" ref="T23" si="71">T16+SUM(T18:T22)</f>
        <v>2064</v>
      </c>
      <c r="U23" s="164">
        <f t="shared" si="47"/>
        <v>2064</v>
      </c>
      <c r="V23" s="165">
        <f>V16+SUM(V18:V22)</f>
        <v>2297</v>
      </c>
      <c r="W23" s="165">
        <f t="shared" ref="W23" si="72">W16+SUM(W18:W22)</f>
        <v>2917</v>
      </c>
      <c r="X23" s="165">
        <f t="shared" ref="X23" si="73">X16+SUM(X18:X22)</f>
        <v>2963</v>
      </c>
      <c r="Y23" s="165">
        <f t="shared" ref="Y23" si="74">Y16+SUM(Y18:Y22)</f>
        <v>3051</v>
      </c>
      <c r="Z23" s="164">
        <f t="shared" si="48"/>
        <v>3051</v>
      </c>
      <c r="AA23" s="165">
        <f>AA16+SUM(AA18:AA22)</f>
        <v>3156</v>
      </c>
      <c r="AB23" s="165">
        <f t="shared" ref="AB23" si="75">AB16+SUM(AB18:AB22)</f>
        <v>2921</v>
      </c>
      <c r="AC23" s="165">
        <f t="shared" ref="AC23" si="76">AC16+SUM(AC18:AC22)</f>
        <v>3049</v>
      </c>
      <c r="AD23" s="165">
        <f t="shared" ref="AD23" si="77">AD16+SUM(AD18:AD22)</f>
        <v>3191</v>
      </c>
      <c r="AE23" s="164">
        <f t="shared" si="49"/>
        <v>3191</v>
      </c>
      <c r="AF23" s="165">
        <f>AF16+SUM(AF18:AF22)</f>
        <v>3183</v>
      </c>
      <c r="AG23" s="165">
        <f t="shared" ref="AG23" si="78">AG16+SUM(AG18:AG22)</f>
        <v>3248</v>
      </c>
      <c r="AH23" s="165">
        <f t="shared" ref="AH23" si="79">AH16+SUM(AH18:AH22)</f>
        <v>3348</v>
      </c>
      <c r="AI23" s="165">
        <f t="shared" ref="AI23:AS23" si="80">AI16+SUM(AI18:AI22)</f>
        <v>3416.8</v>
      </c>
      <c r="AJ23" s="164">
        <f t="shared" si="50"/>
        <v>3416.8</v>
      </c>
      <c r="AK23" s="165">
        <f t="shared" si="80"/>
        <v>3551.5</v>
      </c>
      <c r="AL23" s="165">
        <f t="shared" si="80"/>
        <v>4280.3999999999996</v>
      </c>
      <c r="AM23" s="165">
        <f t="shared" si="80"/>
        <v>2985.5</v>
      </c>
      <c r="AN23" s="165">
        <f t="shared" si="80"/>
        <v>2889.9</v>
      </c>
      <c r="AO23" s="164">
        <f t="shared" si="51"/>
        <v>2889.9</v>
      </c>
      <c r="AP23" s="165">
        <f t="shared" si="80"/>
        <v>2709.2999999999997</v>
      </c>
      <c r="AQ23" s="165">
        <f t="shared" si="80"/>
        <v>2763</v>
      </c>
      <c r="AR23" s="165">
        <f t="shared" si="80"/>
        <v>2375.6</v>
      </c>
      <c r="AS23" s="165">
        <f t="shared" si="80"/>
        <v>2438.7000000000003</v>
      </c>
      <c r="AT23" s="164">
        <f t="shared" si="52"/>
        <v>2438.7000000000003</v>
      </c>
      <c r="AU23" s="165">
        <f t="shared" ref="AU23:AX23" si="81">AU16+SUM(AU18:AU22)</f>
        <v>2349.8399999999997</v>
      </c>
      <c r="AV23" s="165">
        <f t="shared" si="81"/>
        <v>2452.6</v>
      </c>
      <c r="AW23" s="165">
        <f t="shared" si="81"/>
        <v>2561.6</v>
      </c>
      <c r="AX23" s="165">
        <f t="shared" si="81"/>
        <v>2670.3999999999996</v>
      </c>
      <c r="AY23" s="164">
        <f t="shared" si="53"/>
        <v>2670.3999999999996</v>
      </c>
      <c r="AZ23" s="165">
        <f t="shared" ref="AZ23:BC23" si="82">AZ16+SUM(AZ18:AZ22)</f>
        <v>3402.1</v>
      </c>
      <c r="BA23" s="165">
        <f t="shared" si="82"/>
        <v>3404.7436740084599</v>
      </c>
      <c r="BB23" s="165">
        <f t="shared" si="82"/>
        <v>3414.3007426914319</v>
      </c>
      <c r="BC23" s="165">
        <f t="shared" si="82"/>
        <v>3421.7206102663176</v>
      </c>
      <c r="BD23" s="164">
        <f t="shared" si="57"/>
        <v>3421.7206102663176</v>
      </c>
      <c r="BE23" s="165">
        <f t="shared" ref="BE23:BH23" si="83">BE16+SUM(BE18:BE22)</f>
        <v>3429.7988318120956</v>
      </c>
      <c r="BF23" s="165">
        <f t="shared" si="83"/>
        <v>3438.3467514540448</v>
      </c>
      <c r="BG23" s="165">
        <f t="shared" si="83"/>
        <v>3448.6633655597093</v>
      </c>
      <c r="BH23" s="165">
        <f t="shared" si="83"/>
        <v>3460.6347446253139</v>
      </c>
      <c r="BI23" s="164">
        <f t="shared" si="61"/>
        <v>3460.6347446253139</v>
      </c>
    </row>
    <row r="24" spans="1:61" ht="13.5" thickTop="1" x14ac:dyDescent="0.2">
      <c r="B24" s="2"/>
      <c r="C24" s="62"/>
      <c r="D24" s="62"/>
      <c r="E24" s="62"/>
      <c r="F24" s="161"/>
      <c r="G24" s="150"/>
      <c r="H24" s="150"/>
      <c r="I24" s="162"/>
      <c r="J24" s="155"/>
      <c r="K24" s="161"/>
      <c r="L24" s="150"/>
      <c r="M24" s="150"/>
      <c r="N24" s="150"/>
      <c r="O24" s="150"/>
      <c r="P24" s="161"/>
      <c r="Q24" s="150"/>
      <c r="R24" s="150"/>
      <c r="S24" s="150"/>
      <c r="T24" s="155"/>
      <c r="U24" s="161"/>
      <c r="V24" s="162"/>
      <c r="W24" s="150"/>
      <c r="X24" s="150"/>
      <c r="Y24" s="150"/>
      <c r="Z24" s="161"/>
      <c r="AA24" s="150"/>
      <c r="AB24" s="150"/>
      <c r="AC24" s="150"/>
      <c r="AD24" s="150"/>
      <c r="AE24" s="161"/>
      <c r="AF24" s="150"/>
      <c r="AG24" s="150"/>
      <c r="AH24" s="150"/>
      <c r="AI24" s="150"/>
      <c r="AJ24" s="161"/>
      <c r="AK24" s="150"/>
      <c r="AL24" s="150"/>
      <c r="AM24" s="162"/>
      <c r="AN24" s="150"/>
      <c r="AO24" s="161"/>
      <c r="AP24" s="150"/>
      <c r="AQ24" s="150"/>
      <c r="AR24" s="150"/>
      <c r="AS24" s="150"/>
      <c r="AT24" s="161"/>
      <c r="AU24" s="150"/>
      <c r="AV24" s="150"/>
      <c r="AW24" s="150"/>
      <c r="AX24" s="150"/>
      <c r="AY24" s="161"/>
      <c r="AZ24" s="150"/>
      <c r="BA24" s="150"/>
      <c r="BB24" s="150"/>
      <c r="BC24" s="150"/>
      <c r="BD24" s="161"/>
      <c r="BE24" s="150"/>
      <c r="BF24" s="150"/>
      <c r="BG24" s="150"/>
      <c r="BH24" s="150"/>
      <c r="BI24" s="161"/>
    </row>
    <row r="25" spans="1:61" x14ac:dyDescent="0.2">
      <c r="A25" s="5" t="s">
        <v>8</v>
      </c>
      <c r="B25" s="2"/>
      <c r="C25" s="62"/>
      <c r="D25" s="62"/>
      <c r="E25" s="62"/>
      <c r="F25" s="161"/>
      <c r="G25" s="150"/>
      <c r="H25" s="150"/>
      <c r="I25" s="162"/>
      <c r="J25" s="155"/>
      <c r="K25" s="161"/>
      <c r="L25" s="150"/>
      <c r="M25" s="150"/>
      <c r="N25" s="150"/>
      <c r="O25" s="150"/>
      <c r="P25" s="161"/>
      <c r="Q25" s="150"/>
      <c r="R25" s="150"/>
      <c r="S25" s="150"/>
      <c r="T25" s="155"/>
      <c r="U25" s="161"/>
      <c r="V25" s="150"/>
      <c r="W25" s="150"/>
      <c r="X25" s="150"/>
      <c r="Y25" s="150"/>
      <c r="Z25" s="161"/>
      <c r="AA25" s="150"/>
      <c r="AB25" s="150"/>
      <c r="AC25" s="150"/>
      <c r="AD25" s="150"/>
      <c r="AE25" s="161"/>
      <c r="AF25" s="150"/>
      <c r="AG25" s="150"/>
      <c r="AH25" s="150"/>
      <c r="AI25" s="150"/>
      <c r="AJ25" s="161"/>
      <c r="AK25" s="150"/>
      <c r="AL25" s="150"/>
      <c r="AM25" s="150"/>
      <c r="AN25" s="150"/>
      <c r="AO25" s="161"/>
      <c r="AP25" s="150"/>
      <c r="AQ25" s="150"/>
      <c r="AR25" s="150"/>
      <c r="AS25" s="150"/>
      <c r="AT25" s="161"/>
      <c r="AU25" s="150"/>
      <c r="AV25" s="150"/>
      <c r="AW25" s="150"/>
      <c r="AX25" s="150"/>
      <c r="AY25" s="161"/>
      <c r="AZ25" s="150"/>
      <c r="BA25" s="150"/>
      <c r="BB25" s="150"/>
      <c r="BC25" s="150"/>
      <c r="BD25" s="161"/>
      <c r="BE25" s="150"/>
      <c r="BF25" s="150"/>
      <c r="BG25" s="150"/>
      <c r="BH25" s="150"/>
      <c r="BI25" s="161"/>
    </row>
    <row r="26" spans="1:61" x14ac:dyDescent="0.2">
      <c r="A26" s="4" t="s">
        <v>9</v>
      </c>
      <c r="B26" s="2"/>
      <c r="C26" s="62"/>
      <c r="D26" s="62"/>
      <c r="E26" s="62"/>
      <c r="F26" s="161"/>
      <c r="G26" s="150"/>
      <c r="H26" s="150"/>
      <c r="I26" s="150"/>
      <c r="J26" s="155"/>
      <c r="K26" s="161"/>
      <c r="L26" s="150"/>
      <c r="M26" s="150"/>
      <c r="N26" s="150"/>
      <c r="O26" s="150"/>
      <c r="P26" s="161"/>
      <c r="Q26" s="150"/>
      <c r="R26" s="150"/>
      <c r="S26" s="150"/>
      <c r="T26" s="150"/>
      <c r="U26" s="161"/>
      <c r="V26" s="150"/>
      <c r="W26" s="150"/>
      <c r="X26" s="150"/>
      <c r="Y26" s="150"/>
      <c r="Z26" s="161"/>
      <c r="AA26" s="150"/>
      <c r="AB26" s="150"/>
      <c r="AC26" s="150"/>
      <c r="AD26" s="150"/>
      <c r="AE26" s="161"/>
      <c r="AF26" s="150"/>
      <c r="AG26" s="150"/>
      <c r="AH26" s="150"/>
      <c r="AI26" s="150"/>
      <c r="AJ26" s="161"/>
      <c r="AK26" s="150"/>
      <c r="AL26" s="150"/>
      <c r="AM26" s="150"/>
      <c r="AN26" s="150"/>
      <c r="AO26" s="161"/>
      <c r="AP26" s="150"/>
      <c r="AQ26" s="150"/>
      <c r="AR26" s="150"/>
      <c r="AS26" s="150"/>
      <c r="AT26" s="161"/>
      <c r="AU26" s="150"/>
      <c r="AV26" s="150"/>
      <c r="AW26" s="150"/>
      <c r="AX26" s="150"/>
      <c r="AY26" s="161"/>
      <c r="AZ26" s="150"/>
      <c r="BA26" s="150"/>
      <c r="BB26" s="150"/>
      <c r="BC26" s="150"/>
      <c r="BD26" s="161"/>
      <c r="BE26" s="150"/>
      <c r="BF26" s="150"/>
      <c r="BG26" s="150"/>
      <c r="BH26" s="150"/>
      <c r="BI26" s="161"/>
    </row>
    <row r="27" spans="1:61" x14ac:dyDescent="0.2">
      <c r="A27" s="27" t="s">
        <v>10</v>
      </c>
      <c r="B27" s="16"/>
      <c r="C27" s="60"/>
      <c r="D27" s="60"/>
      <c r="E27" s="60">
        <v>19</v>
      </c>
      <c r="F27" s="154">
        <f>E27</f>
        <v>19</v>
      </c>
      <c r="G27" s="155">
        <f>15+75</f>
        <v>90</v>
      </c>
      <c r="H27" s="155">
        <f>75+16</f>
        <v>91</v>
      </c>
      <c r="I27" s="155">
        <f>75+15</f>
        <v>90</v>
      </c>
      <c r="J27" s="155">
        <v>90</v>
      </c>
      <c r="K27" s="154">
        <f>J27</f>
        <v>90</v>
      </c>
      <c r="L27" s="155">
        <v>19</v>
      </c>
      <c r="M27" s="155">
        <v>23</v>
      </c>
      <c r="N27" s="155">
        <v>26</v>
      </c>
      <c r="O27" s="155">
        <v>30</v>
      </c>
      <c r="P27" s="154">
        <f>O27</f>
        <v>30</v>
      </c>
      <c r="Q27" s="155">
        <v>30</v>
      </c>
      <c r="R27" s="155">
        <v>30</v>
      </c>
      <c r="S27" s="155">
        <v>7</v>
      </c>
      <c r="T27" s="155">
        <v>15</v>
      </c>
      <c r="U27" s="154">
        <f>T27</f>
        <v>15</v>
      </c>
      <c r="V27" s="155">
        <v>32</v>
      </c>
      <c r="W27" s="155">
        <v>0</v>
      </c>
      <c r="X27" s="155">
        <v>0</v>
      </c>
      <c r="Y27" s="155">
        <v>0</v>
      </c>
      <c r="Z27" s="154">
        <f>Y27</f>
        <v>0</v>
      </c>
      <c r="AA27" s="155">
        <v>88</v>
      </c>
      <c r="AB27" s="155">
        <v>1</v>
      </c>
      <c r="AC27" s="155">
        <v>2</v>
      </c>
      <c r="AD27" s="155">
        <v>17</v>
      </c>
      <c r="AE27" s="154">
        <f>AD27</f>
        <v>17</v>
      </c>
      <c r="AF27" s="155">
        <v>32</v>
      </c>
      <c r="AG27" s="155">
        <v>47</v>
      </c>
      <c r="AH27" s="155">
        <v>61</v>
      </c>
      <c r="AI27" s="155">
        <v>162.5</v>
      </c>
      <c r="AJ27" s="154">
        <f>AI27</f>
        <v>162.5</v>
      </c>
      <c r="AK27" s="155">
        <v>224.5</v>
      </c>
      <c r="AL27" s="155">
        <v>23.8</v>
      </c>
      <c r="AM27" s="155">
        <v>23.7</v>
      </c>
      <c r="AN27" s="155">
        <v>23.8</v>
      </c>
      <c r="AO27" s="154">
        <f>AN27</f>
        <v>23.8</v>
      </c>
      <c r="AP27" s="155">
        <v>23.8</v>
      </c>
      <c r="AQ27" s="155">
        <v>623.79999999999995</v>
      </c>
      <c r="AR27" s="155">
        <v>23.8</v>
      </c>
      <c r="AS27" s="155">
        <v>23.8</v>
      </c>
      <c r="AT27" s="154">
        <f>AS27</f>
        <v>23.8</v>
      </c>
      <c r="AU27" s="155">
        <v>23.8</v>
      </c>
      <c r="AV27" s="155">
        <v>23.8</v>
      </c>
      <c r="AW27" s="155">
        <v>23.8</v>
      </c>
      <c r="AX27" s="155">
        <v>23.8</v>
      </c>
      <c r="AY27" s="154">
        <f>AX27</f>
        <v>23.8</v>
      </c>
      <c r="AZ27" s="157">
        <v>31.2</v>
      </c>
      <c r="BA27" s="157">
        <f t="shared" ref="BA27" si="84">AZ27</f>
        <v>31.2</v>
      </c>
      <c r="BB27" s="157">
        <f t="shared" ref="BB27" si="85">BA27</f>
        <v>31.2</v>
      </c>
      <c r="BC27" s="157">
        <f t="shared" ref="BC27" si="86">BB27</f>
        <v>31.2</v>
      </c>
      <c r="BD27" s="154">
        <f>BC27</f>
        <v>31.2</v>
      </c>
      <c r="BE27" s="157">
        <f>BD27</f>
        <v>31.2</v>
      </c>
      <c r="BF27" s="157">
        <f t="shared" ref="BF27" si="87">BE27</f>
        <v>31.2</v>
      </c>
      <c r="BG27" s="157">
        <f t="shared" ref="BG27" si="88">BF27</f>
        <v>31.2</v>
      </c>
      <c r="BH27" s="157">
        <f t="shared" ref="BH27" si="89">BG27</f>
        <v>31.2</v>
      </c>
      <c r="BI27" s="154">
        <f>BH27</f>
        <v>31.2</v>
      </c>
    </row>
    <row r="28" spans="1:61" s="21" customFormat="1" x14ac:dyDescent="0.2">
      <c r="A28" s="28" t="s">
        <v>60</v>
      </c>
      <c r="B28" s="19"/>
      <c r="C28" s="61"/>
      <c r="D28" s="61"/>
      <c r="E28" s="61">
        <v>177</v>
      </c>
      <c r="F28" s="154">
        <f t="shared" ref="F28:F32" si="90">E28</f>
        <v>177</v>
      </c>
      <c r="G28" s="156">
        <v>146</v>
      </c>
      <c r="H28" s="156">
        <v>170</v>
      </c>
      <c r="I28" s="156">
        <v>196</v>
      </c>
      <c r="J28" s="156">
        <v>192</v>
      </c>
      <c r="K28" s="154">
        <f t="shared" ref="K28:K32" si="91">J28</f>
        <v>192</v>
      </c>
      <c r="L28" s="156">
        <v>141</v>
      </c>
      <c r="M28" s="156">
        <v>194</v>
      </c>
      <c r="N28" s="156">
        <v>176</v>
      </c>
      <c r="O28" s="156">
        <v>178</v>
      </c>
      <c r="P28" s="154">
        <f t="shared" ref="P28:P32" si="92">O28</f>
        <v>178</v>
      </c>
      <c r="Q28" s="156">
        <v>152</v>
      </c>
      <c r="R28" s="156">
        <v>154</v>
      </c>
      <c r="S28" s="156">
        <v>163</v>
      </c>
      <c r="T28" s="156">
        <v>171</v>
      </c>
      <c r="U28" s="154">
        <f t="shared" ref="U28:U32" si="93">T28</f>
        <v>171</v>
      </c>
      <c r="V28" s="156">
        <v>218</v>
      </c>
      <c r="W28" s="156">
        <v>186</v>
      </c>
      <c r="X28" s="156">
        <v>178</v>
      </c>
      <c r="Y28" s="156">
        <v>189</v>
      </c>
      <c r="Z28" s="154">
        <f t="shared" ref="Z28:Z32" si="94">Y28</f>
        <v>189</v>
      </c>
      <c r="AA28" s="156">
        <v>158</v>
      </c>
      <c r="AB28" s="156">
        <v>180</v>
      </c>
      <c r="AC28" s="156">
        <v>216</v>
      </c>
      <c r="AD28" s="156">
        <v>246</v>
      </c>
      <c r="AE28" s="154">
        <f t="shared" ref="AE28:AE32" si="95">AD28</f>
        <v>246</v>
      </c>
      <c r="AF28" s="155">
        <v>218</v>
      </c>
      <c r="AG28" s="155">
        <v>238</v>
      </c>
      <c r="AH28" s="155">
        <v>265</v>
      </c>
      <c r="AI28" s="155">
        <v>45</v>
      </c>
      <c r="AJ28" s="154">
        <f t="shared" ref="AJ28:AJ32" si="96">AI28</f>
        <v>45</v>
      </c>
      <c r="AK28" s="155">
        <v>46.6</v>
      </c>
      <c r="AL28" s="155">
        <v>85.8</v>
      </c>
      <c r="AM28" s="155">
        <v>96.4</v>
      </c>
      <c r="AN28" s="155">
        <v>118.7</v>
      </c>
      <c r="AO28" s="154">
        <f t="shared" ref="AO28:AO32" si="97">AN28</f>
        <v>118.7</v>
      </c>
      <c r="AP28" s="155">
        <v>77.2</v>
      </c>
      <c r="AQ28" s="155">
        <v>118.8</v>
      </c>
      <c r="AR28" s="155">
        <v>107.7</v>
      </c>
      <c r="AS28" s="155">
        <v>117.4</v>
      </c>
      <c r="AT28" s="154">
        <f t="shared" ref="AT28:AT32" si="98">AS28</f>
        <v>117.4</v>
      </c>
      <c r="AU28" s="155">
        <v>88.3</v>
      </c>
      <c r="AV28" s="155">
        <v>102.5</v>
      </c>
      <c r="AW28" s="155">
        <v>100.8</v>
      </c>
      <c r="AX28" s="155">
        <v>118.9</v>
      </c>
      <c r="AY28" s="154">
        <f t="shared" ref="AY28:AY29" si="99">AX28</f>
        <v>118.9</v>
      </c>
      <c r="AZ28" s="156">
        <v>113.4</v>
      </c>
      <c r="BA28" s="156">
        <f>2*(BA71/BA80)-AZ28</f>
        <v>115.88538494914772</v>
      </c>
      <c r="BB28" s="156">
        <f>2*(BB71/BB80)-BA28</f>
        <v>116.56796222128565</v>
      </c>
      <c r="BC28" s="156">
        <f>2*(BC71/BC80)-BB28</f>
        <v>117.34609371854413</v>
      </c>
      <c r="BD28" s="154">
        <f t="shared" ref="BD28:BD29" si="100">BC28</f>
        <v>117.34609371854413</v>
      </c>
      <c r="BE28" s="156">
        <f>2*(BE71/BE80)-BD28</f>
        <v>122.02782617232086</v>
      </c>
      <c r="BF28" s="156">
        <f>2*(BF71/BF80)-BE28</f>
        <v>125.05522313926559</v>
      </c>
      <c r="BG28" s="156">
        <f>2*(BG71/BG80)-BF28</f>
        <v>125.48117512219889</v>
      </c>
      <c r="BH28" s="156">
        <f>2*(BH71/BH80)-BG28</f>
        <v>129.47307864136928</v>
      </c>
      <c r="BI28" s="154">
        <f t="shared" ref="BI28:BI29" si="101">BH28</f>
        <v>129.47307864136928</v>
      </c>
    </row>
    <row r="29" spans="1:61" x14ac:dyDescent="0.2">
      <c r="A29" s="27" t="s">
        <v>11</v>
      </c>
      <c r="B29" s="2"/>
      <c r="C29" s="62"/>
      <c r="D29" s="62"/>
      <c r="E29" s="62">
        <v>0</v>
      </c>
      <c r="F29" s="154">
        <f t="shared" si="90"/>
        <v>0</v>
      </c>
      <c r="G29" s="155">
        <v>0</v>
      </c>
      <c r="H29" s="155">
        <v>0</v>
      </c>
      <c r="I29" s="155">
        <v>0</v>
      </c>
      <c r="J29" s="155">
        <v>0</v>
      </c>
      <c r="K29" s="154">
        <f t="shared" si="91"/>
        <v>0</v>
      </c>
      <c r="L29" s="155">
        <v>0</v>
      </c>
      <c r="M29" s="155">
        <v>0</v>
      </c>
      <c r="N29" s="155">
        <v>0</v>
      </c>
      <c r="O29" s="155">
        <v>0</v>
      </c>
      <c r="P29" s="154">
        <f t="shared" si="92"/>
        <v>0</v>
      </c>
      <c r="Q29" s="155">
        <v>0</v>
      </c>
      <c r="R29" s="155">
        <v>0</v>
      </c>
      <c r="S29" s="155">
        <v>0</v>
      </c>
      <c r="T29" s="155">
        <v>0</v>
      </c>
      <c r="U29" s="154">
        <f t="shared" si="93"/>
        <v>0</v>
      </c>
      <c r="V29" s="155">
        <v>0</v>
      </c>
      <c r="W29" s="155">
        <v>0</v>
      </c>
      <c r="X29" s="155">
        <v>0</v>
      </c>
      <c r="Y29" s="155">
        <v>0</v>
      </c>
      <c r="Z29" s="154">
        <f t="shared" si="94"/>
        <v>0</v>
      </c>
      <c r="AA29" s="155">
        <v>0</v>
      </c>
      <c r="AB29" s="155">
        <v>0</v>
      </c>
      <c r="AC29" s="155">
        <v>0</v>
      </c>
      <c r="AD29" s="155">
        <v>0</v>
      </c>
      <c r="AE29" s="154">
        <f t="shared" si="95"/>
        <v>0</v>
      </c>
      <c r="AF29" s="155">
        <v>0</v>
      </c>
      <c r="AG29" s="155">
        <v>0</v>
      </c>
      <c r="AH29" s="155">
        <v>0</v>
      </c>
      <c r="AI29" s="155">
        <v>0</v>
      </c>
      <c r="AJ29" s="154">
        <f t="shared" si="96"/>
        <v>0</v>
      </c>
      <c r="AK29" s="155">
        <v>0</v>
      </c>
      <c r="AL29" s="155">
        <v>0</v>
      </c>
      <c r="AM29" s="155">
        <f>AL29</f>
        <v>0</v>
      </c>
      <c r="AN29" s="155">
        <f>AM29</f>
        <v>0</v>
      </c>
      <c r="AO29" s="154">
        <f t="shared" si="97"/>
        <v>0</v>
      </c>
      <c r="AP29" s="155">
        <f>AO29</f>
        <v>0</v>
      </c>
      <c r="AQ29" s="155">
        <v>0</v>
      </c>
      <c r="AR29" s="155">
        <v>0</v>
      </c>
      <c r="AS29" s="155">
        <f t="shared" ref="AS29" si="102">AR29</f>
        <v>0</v>
      </c>
      <c r="AT29" s="154">
        <f t="shared" si="98"/>
        <v>0</v>
      </c>
      <c r="AU29" s="155">
        <f>AT29</f>
        <v>0</v>
      </c>
      <c r="AV29" s="155">
        <f t="shared" ref="AV29:AV30" si="103">AU29</f>
        <v>0</v>
      </c>
      <c r="AW29" s="155">
        <f t="shared" ref="AW29:AW30" si="104">AV29</f>
        <v>0</v>
      </c>
      <c r="AX29" s="155">
        <f t="shared" ref="AX29:AX30" si="105">AW29</f>
        <v>0</v>
      </c>
      <c r="AY29" s="154">
        <f t="shared" si="99"/>
        <v>0</v>
      </c>
      <c r="AZ29" s="157">
        <f>AY29</f>
        <v>0</v>
      </c>
      <c r="BA29" s="157">
        <f t="shared" ref="BA29:BA31" si="106">AZ29</f>
        <v>0</v>
      </c>
      <c r="BB29" s="157">
        <f t="shared" ref="BB29:BB31" si="107">BA29</f>
        <v>0</v>
      </c>
      <c r="BC29" s="157">
        <f t="shared" ref="BC29:BC31" si="108">BB29</f>
        <v>0</v>
      </c>
      <c r="BD29" s="154">
        <f t="shared" si="100"/>
        <v>0</v>
      </c>
      <c r="BE29" s="157">
        <f>BD29</f>
        <v>0</v>
      </c>
      <c r="BF29" s="157">
        <f t="shared" ref="BF29:BF31" si="109">BE29</f>
        <v>0</v>
      </c>
      <c r="BG29" s="157">
        <f t="shared" ref="BG29:BG31" si="110">BF29</f>
        <v>0</v>
      </c>
      <c r="BH29" s="157">
        <f t="shared" ref="BH29:BH31" si="111">BG29</f>
        <v>0</v>
      </c>
      <c r="BI29" s="154">
        <f t="shared" si="101"/>
        <v>0</v>
      </c>
    </row>
    <row r="30" spans="1:61" x14ac:dyDescent="0.2">
      <c r="A30" s="27" t="s">
        <v>59</v>
      </c>
      <c r="B30" s="2"/>
      <c r="C30" s="62"/>
      <c r="D30" s="62"/>
      <c r="E30" s="62">
        <v>0</v>
      </c>
      <c r="F30" s="154">
        <f>E30</f>
        <v>0</v>
      </c>
      <c r="G30" s="155">
        <v>0</v>
      </c>
      <c r="H30" s="155">
        <v>0</v>
      </c>
      <c r="I30" s="155">
        <v>0</v>
      </c>
      <c r="J30" s="155">
        <v>0</v>
      </c>
      <c r="K30" s="154">
        <f>J30</f>
        <v>0</v>
      </c>
      <c r="L30" s="155">
        <v>0</v>
      </c>
      <c r="M30" s="155">
        <v>0</v>
      </c>
      <c r="N30" s="155">
        <v>0</v>
      </c>
      <c r="O30" s="155">
        <v>0</v>
      </c>
      <c r="P30" s="154">
        <f>O30</f>
        <v>0</v>
      </c>
      <c r="Q30" s="155">
        <v>0</v>
      </c>
      <c r="R30" s="155">
        <v>0</v>
      </c>
      <c r="S30" s="155">
        <v>0</v>
      </c>
      <c r="T30" s="155">
        <v>0</v>
      </c>
      <c r="U30" s="154">
        <f>T30</f>
        <v>0</v>
      </c>
      <c r="V30" s="155">
        <v>0</v>
      </c>
      <c r="W30" s="155">
        <v>0</v>
      </c>
      <c r="X30" s="155">
        <v>0</v>
      </c>
      <c r="Y30" s="155">
        <v>0</v>
      </c>
      <c r="Z30" s="154">
        <f>Y30</f>
        <v>0</v>
      </c>
      <c r="AA30" s="155">
        <v>0</v>
      </c>
      <c r="AB30" s="155">
        <v>0</v>
      </c>
      <c r="AC30" s="155">
        <v>0</v>
      </c>
      <c r="AD30" s="155">
        <v>0</v>
      </c>
      <c r="AE30" s="154">
        <f>AD30</f>
        <v>0</v>
      </c>
      <c r="AF30" s="155">
        <v>0</v>
      </c>
      <c r="AG30" s="155">
        <v>0</v>
      </c>
      <c r="AH30" s="155">
        <v>0</v>
      </c>
      <c r="AI30" s="155">
        <v>539.29999999999995</v>
      </c>
      <c r="AJ30" s="154">
        <f>AI30</f>
        <v>539.29999999999995</v>
      </c>
      <c r="AK30" s="155">
        <v>478.1</v>
      </c>
      <c r="AL30" s="155">
        <v>0</v>
      </c>
      <c r="AM30" s="155">
        <f t="shared" ref="AM30:AN30" si="112">AL30</f>
        <v>0</v>
      </c>
      <c r="AN30" s="155">
        <f t="shared" si="112"/>
        <v>0</v>
      </c>
      <c r="AO30" s="154">
        <f>AN30</f>
        <v>0</v>
      </c>
      <c r="AP30" s="155">
        <f>AO30</f>
        <v>0</v>
      </c>
      <c r="AQ30" s="155">
        <v>0</v>
      </c>
      <c r="AR30" s="155">
        <v>0</v>
      </c>
      <c r="AS30" s="155">
        <f t="shared" ref="AS30" si="113">AR30</f>
        <v>0</v>
      </c>
      <c r="AT30" s="154">
        <f>AS30</f>
        <v>0</v>
      </c>
      <c r="AU30" s="155">
        <f>AT30</f>
        <v>0</v>
      </c>
      <c r="AV30" s="155">
        <f t="shared" si="103"/>
        <v>0</v>
      </c>
      <c r="AW30" s="155">
        <f t="shared" si="104"/>
        <v>0</v>
      </c>
      <c r="AX30" s="155">
        <f t="shared" si="105"/>
        <v>0</v>
      </c>
      <c r="AY30" s="154">
        <f>AX30</f>
        <v>0</v>
      </c>
      <c r="AZ30" s="157">
        <f>AY30</f>
        <v>0</v>
      </c>
      <c r="BA30" s="157">
        <f t="shared" si="106"/>
        <v>0</v>
      </c>
      <c r="BB30" s="157">
        <f t="shared" si="107"/>
        <v>0</v>
      </c>
      <c r="BC30" s="157">
        <f t="shared" si="108"/>
        <v>0</v>
      </c>
      <c r="BD30" s="154">
        <f>BC30</f>
        <v>0</v>
      </c>
      <c r="BE30" s="157">
        <f>BD30</f>
        <v>0</v>
      </c>
      <c r="BF30" s="157">
        <f t="shared" si="109"/>
        <v>0</v>
      </c>
      <c r="BG30" s="157">
        <f t="shared" si="110"/>
        <v>0</v>
      </c>
      <c r="BH30" s="157">
        <f t="shared" si="111"/>
        <v>0</v>
      </c>
      <c r="BI30" s="154">
        <f>BH30</f>
        <v>0</v>
      </c>
    </row>
    <row r="31" spans="1:61" x14ac:dyDescent="0.2">
      <c r="A31" s="29" t="s">
        <v>58</v>
      </c>
      <c r="B31" s="23"/>
      <c r="C31" s="63"/>
      <c r="D31" s="63"/>
      <c r="E31" s="63">
        <v>204</v>
      </c>
      <c r="F31" s="158">
        <f t="shared" si="90"/>
        <v>204</v>
      </c>
      <c r="G31" s="159">
        <v>257</v>
      </c>
      <c r="H31" s="159">
        <v>210</v>
      </c>
      <c r="I31" s="159">
        <v>235</v>
      </c>
      <c r="J31" s="159">
        <v>196</v>
      </c>
      <c r="K31" s="158">
        <f t="shared" si="91"/>
        <v>196</v>
      </c>
      <c r="L31" s="159">
        <v>208</v>
      </c>
      <c r="M31" s="159">
        <v>198</v>
      </c>
      <c r="N31" s="159">
        <v>223</v>
      </c>
      <c r="O31" s="159">
        <v>203</v>
      </c>
      <c r="P31" s="158">
        <f t="shared" si="92"/>
        <v>203</v>
      </c>
      <c r="Q31" s="159">
        <v>198</v>
      </c>
      <c r="R31" s="159">
        <v>206</v>
      </c>
      <c r="S31" s="159">
        <v>242</v>
      </c>
      <c r="T31" s="159">
        <v>237</v>
      </c>
      <c r="U31" s="158">
        <f t="shared" si="93"/>
        <v>237</v>
      </c>
      <c r="V31" s="159">
        <v>291</v>
      </c>
      <c r="W31" s="159">
        <v>215</v>
      </c>
      <c r="X31" s="159">
        <v>254</v>
      </c>
      <c r="Y31" s="159">
        <v>255</v>
      </c>
      <c r="Z31" s="158">
        <f t="shared" si="94"/>
        <v>255</v>
      </c>
      <c r="AA31" s="159">
        <v>260</v>
      </c>
      <c r="AB31" s="159">
        <v>267</v>
      </c>
      <c r="AC31" s="159">
        <v>289</v>
      </c>
      <c r="AD31" s="159">
        <v>306</v>
      </c>
      <c r="AE31" s="158">
        <f t="shared" si="95"/>
        <v>306</v>
      </c>
      <c r="AF31" s="159">
        <v>291</v>
      </c>
      <c r="AG31" s="159">
        <v>300</v>
      </c>
      <c r="AH31" s="159">
        <v>315</v>
      </c>
      <c r="AI31" s="159">
        <v>172.6</v>
      </c>
      <c r="AJ31" s="158">
        <f t="shared" si="96"/>
        <v>172.6</v>
      </c>
      <c r="AK31" s="159">
        <v>175.2</v>
      </c>
      <c r="AL31" s="159">
        <v>512</v>
      </c>
      <c r="AM31" s="159">
        <v>285.8</v>
      </c>
      <c r="AN31" s="207">
        <f>215.9+3.9</f>
        <v>219.8</v>
      </c>
      <c r="AO31" s="158">
        <f t="shared" si="97"/>
        <v>219.8</v>
      </c>
      <c r="AP31" s="210">
        <v>216.4</v>
      </c>
      <c r="AQ31" s="159">
        <v>221.1</v>
      </c>
      <c r="AR31" s="159">
        <v>219.9</v>
      </c>
      <c r="AS31" s="207">
        <v>212.7</v>
      </c>
      <c r="AT31" s="158">
        <f t="shared" si="98"/>
        <v>212.7</v>
      </c>
      <c r="AU31" s="210">
        <v>191.5</v>
      </c>
      <c r="AV31" s="159">
        <v>189.3</v>
      </c>
      <c r="AW31" s="159">
        <v>202.9</v>
      </c>
      <c r="AX31" s="207">
        <v>204.7</v>
      </c>
      <c r="AY31" s="158">
        <f t="shared" ref="AY31:AY32" si="114">AX31</f>
        <v>204.7</v>
      </c>
      <c r="AZ31" s="167">
        <v>219.2</v>
      </c>
      <c r="BA31" s="160">
        <f t="shared" si="106"/>
        <v>219.2</v>
      </c>
      <c r="BB31" s="160">
        <f t="shared" si="107"/>
        <v>219.2</v>
      </c>
      <c r="BC31" s="166">
        <f t="shared" si="108"/>
        <v>219.2</v>
      </c>
      <c r="BD31" s="158">
        <f t="shared" ref="BD31:BD32" si="115">BC31</f>
        <v>219.2</v>
      </c>
      <c r="BE31" s="167">
        <f>BD31</f>
        <v>219.2</v>
      </c>
      <c r="BF31" s="160">
        <f t="shared" si="109"/>
        <v>219.2</v>
      </c>
      <c r="BG31" s="160">
        <f t="shared" si="110"/>
        <v>219.2</v>
      </c>
      <c r="BH31" s="166">
        <f t="shared" si="111"/>
        <v>219.2</v>
      </c>
      <c r="BI31" s="158">
        <f t="shared" ref="BI31:BI32" si="116">BH31</f>
        <v>219.2</v>
      </c>
    </row>
    <row r="32" spans="1:61" x14ac:dyDescent="0.2">
      <c r="A32" s="24" t="s">
        <v>12</v>
      </c>
      <c r="B32" s="2"/>
      <c r="C32" s="62"/>
      <c r="D32" s="62"/>
      <c r="E32" s="62">
        <f>SUM(E27:E31)</f>
        <v>400</v>
      </c>
      <c r="F32" s="154">
        <f t="shared" si="90"/>
        <v>400</v>
      </c>
      <c r="G32" s="155">
        <f>SUM(G27:G31)</f>
        <v>493</v>
      </c>
      <c r="H32" s="155">
        <f t="shared" ref="H32:J32" si="117">SUM(H27:H31)</f>
        <v>471</v>
      </c>
      <c r="I32" s="155">
        <f t="shared" si="117"/>
        <v>521</v>
      </c>
      <c r="J32" s="155">
        <f t="shared" si="117"/>
        <v>478</v>
      </c>
      <c r="K32" s="154">
        <f t="shared" si="91"/>
        <v>478</v>
      </c>
      <c r="L32" s="155">
        <f>SUM(L27:L31)</f>
        <v>368</v>
      </c>
      <c r="M32" s="155">
        <f t="shared" ref="M32:O32" si="118">SUM(M27:M31)</f>
        <v>415</v>
      </c>
      <c r="N32" s="155">
        <f t="shared" si="118"/>
        <v>425</v>
      </c>
      <c r="O32" s="155">
        <f t="shared" si="118"/>
        <v>411</v>
      </c>
      <c r="P32" s="154">
        <f t="shared" si="92"/>
        <v>411</v>
      </c>
      <c r="Q32" s="155">
        <f>SUM(Q27:Q31)</f>
        <v>380</v>
      </c>
      <c r="R32" s="155">
        <f t="shared" ref="R32" si="119">SUM(R27:R31)</f>
        <v>390</v>
      </c>
      <c r="S32" s="155">
        <f t="shared" ref="S32" si="120">SUM(S27:S31)</f>
        <v>412</v>
      </c>
      <c r="T32" s="155">
        <f t="shared" ref="T32" si="121">SUM(T27:T31)</f>
        <v>423</v>
      </c>
      <c r="U32" s="154">
        <f t="shared" si="93"/>
        <v>423</v>
      </c>
      <c r="V32" s="155">
        <f>SUM(V27:V31)</f>
        <v>541</v>
      </c>
      <c r="W32" s="155">
        <f t="shared" ref="W32" si="122">SUM(W27:W31)</f>
        <v>401</v>
      </c>
      <c r="X32" s="155">
        <f t="shared" ref="X32" si="123">SUM(X27:X31)</f>
        <v>432</v>
      </c>
      <c r="Y32" s="155">
        <f t="shared" ref="Y32" si="124">SUM(Y27:Y31)</f>
        <v>444</v>
      </c>
      <c r="Z32" s="154">
        <f t="shared" si="94"/>
        <v>444</v>
      </c>
      <c r="AA32" s="155">
        <f>SUM(AA27:AA31)</f>
        <v>506</v>
      </c>
      <c r="AB32" s="155">
        <f t="shared" ref="AB32" si="125">SUM(AB27:AB31)</f>
        <v>448</v>
      </c>
      <c r="AC32" s="155">
        <f t="shared" ref="AC32" si="126">SUM(AC27:AC31)</f>
        <v>507</v>
      </c>
      <c r="AD32" s="155">
        <f t="shared" ref="AD32" si="127">SUM(AD27:AD31)</f>
        <v>569</v>
      </c>
      <c r="AE32" s="154">
        <f t="shared" si="95"/>
        <v>569</v>
      </c>
      <c r="AF32" s="155">
        <f>SUM(AF27:AF31)</f>
        <v>541</v>
      </c>
      <c r="AG32" s="155">
        <f t="shared" ref="AG32" si="128">SUM(AG27:AG31)</f>
        <v>585</v>
      </c>
      <c r="AH32" s="155">
        <f t="shared" ref="AH32" si="129">SUM(AH27:AH31)</f>
        <v>641</v>
      </c>
      <c r="AI32" s="155">
        <f t="shared" ref="AI32" si="130">SUM(AI27:AI31)</f>
        <v>919.4</v>
      </c>
      <c r="AJ32" s="154">
        <f t="shared" si="96"/>
        <v>919.4</v>
      </c>
      <c r="AK32" s="155">
        <f>SUM(AK27:AK31)</f>
        <v>924.40000000000009</v>
      </c>
      <c r="AL32" s="155">
        <f t="shared" ref="AL32" si="131">SUM(AL27:AL31)</f>
        <v>621.6</v>
      </c>
      <c r="AM32" s="155">
        <f t="shared" ref="AM32" si="132">SUM(AM27:AM31)</f>
        <v>405.90000000000003</v>
      </c>
      <c r="AN32" s="155">
        <f>SUM(AN27:AN31)</f>
        <v>362.3</v>
      </c>
      <c r="AO32" s="154">
        <f t="shared" si="97"/>
        <v>362.3</v>
      </c>
      <c r="AP32" s="155">
        <f>SUM(AP27:AP31)</f>
        <v>317.39999999999998</v>
      </c>
      <c r="AQ32" s="155">
        <f t="shared" ref="AQ32" si="133">SUM(AQ27:AQ31)</f>
        <v>963.69999999999993</v>
      </c>
      <c r="AR32" s="155">
        <f t="shared" ref="AR32" si="134">SUM(AR27:AR31)</f>
        <v>351.4</v>
      </c>
      <c r="AS32" s="155">
        <f t="shared" ref="AS32" si="135">SUM(AS27:AS31)</f>
        <v>353.9</v>
      </c>
      <c r="AT32" s="154">
        <f t="shared" si="98"/>
        <v>353.9</v>
      </c>
      <c r="AU32" s="155">
        <f>SUM(AU27:AU31)</f>
        <v>303.60000000000002</v>
      </c>
      <c r="AV32" s="155">
        <f t="shared" ref="AV32:AX32" si="136">SUM(AV27:AV31)</f>
        <v>315.60000000000002</v>
      </c>
      <c r="AW32" s="155">
        <f t="shared" si="136"/>
        <v>327.5</v>
      </c>
      <c r="AX32" s="155">
        <f t="shared" si="136"/>
        <v>347.4</v>
      </c>
      <c r="AY32" s="154">
        <f t="shared" si="114"/>
        <v>347.4</v>
      </c>
      <c r="AZ32" s="155">
        <f>SUM(AZ27:AZ31)</f>
        <v>363.79999999999995</v>
      </c>
      <c r="BA32" s="155">
        <f t="shared" ref="BA32:BC32" si="137">SUM(BA27:BA31)</f>
        <v>366.28538494914767</v>
      </c>
      <c r="BB32" s="155">
        <f t="shared" si="137"/>
        <v>366.96796222128563</v>
      </c>
      <c r="BC32" s="155">
        <f t="shared" si="137"/>
        <v>367.7460937185441</v>
      </c>
      <c r="BD32" s="154">
        <f t="shared" si="115"/>
        <v>367.7460937185441</v>
      </c>
      <c r="BE32" s="155">
        <f>SUM(BE27:BE31)</f>
        <v>372.42782617232081</v>
      </c>
      <c r="BF32" s="155">
        <f t="shared" ref="BF32:BH32" si="138">SUM(BF27:BF31)</f>
        <v>375.45522313926557</v>
      </c>
      <c r="BG32" s="155">
        <f t="shared" si="138"/>
        <v>375.8811751221989</v>
      </c>
      <c r="BH32" s="155">
        <f t="shared" si="138"/>
        <v>379.87307864136926</v>
      </c>
      <c r="BI32" s="154">
        <f t="shared" si="116"/>
        <v>379.87307864136926</v>
      </c>
    </row>
    <row r="33" spans="1:61" x14ac:dyDescent="0.2">
      <c r="B33" s="9"/>
      <c r="C33" s="64"/>
      <c r="D33" s="64"/>
      <c r="E33" s="64"/>
      <c r="F33" s="161"/>
      <c r="G33" s="162"/>
      <c r="H33" s="162"/>
      <c r="I33" s="162"/>
      <c r="J33" s="162"/>
      <c r="K33" s="161"/>
      <c r="L33" s="155"/>
      <c r="M33" s="150"/>
      <c r="N33" s="150"/>
      <c r="O33" s="150"/>
      <c r="P33" s="161"/>
      <c r="Q33" s="157"/>
      <c r="R33" s="155"/>
      <c r="S33" s="150"/>
      <c r="T33" s="155"/>
      <c r="U33" s="161"/>
      <c r="V33" s="155"/>
      <c r="W33" s="150"/>
      <c r="X33" s="150"/>
      <c r="Y33" s="150"/>
      <c r="Z33" s="161"/>
      <c r="AA33" s="155"/>
      <c r="AB33" s="150"/>
      <c r="AC33" s="150"/>
      <c r="AD33" s="150"/>
      <c r="AE33" s="161"/>
      <c r="AF33" s="155"/>
      <c r="AG33" s="150"/>
      <c r="AH33" s="150"/>
      <c r="AI33" s="150"/>
      <c r="AJ33" s="161"/>
      <c r="AK33" s="157"/>
      <c r="AL33" s="150"/>
      <c r="AM33" s="162"/>
      <c r="AN33" s="150"/>
      <c r="AO33" s="161"/>
      <c r="AP33" s="155"/>
      <c r="AQ33" s="150"/>
      <c r="AR33" s="150"/>
      <c r="AS33" s="150"/>
      <c r="AT33" s="161"/>
      <c r="AU33" s="155"/>
      <c r="AV33" s="150"/>
      <c r="AW33" s="150"/>
      <c r="AX33" s="150"/>
      <c r="AY33" s="161"/>
      <c r="AZ33" s="157"/>
      <c r="BA33" s="150"/>
      <c r="BB33" s="150"/>
      <c r="BC33" s="150"/>
      <c r="BD33" s="161"/>
      <c r="BE33" s="157"/>
      <c r="BF33" s="150"/>
      <c r="BG33" s="150"/>
      <c r="BH33" s="150"/>
      <c r="BI33" s="161"/>
    </row>
    <row r="34" spans="1:61" x14ac:dyDescent="0.2">
      <c r="A34" s="4" t="s">
        <v>13</v>
      </c>
      <c r="B34" s="2"/>
      <c r="C34" s="62"/>
      <c r="D34" s="62"/>
      <c r="E34" s="62">
        <v>724</v>
      </c>
      <c r="F34" s="154">
        <f>E34</f>
        <v>724</v>
      </c>
      <c r="G34" s="155">
        <v>650</v>
      </c>
      <c r="H34" s="155">
        <v>646</v>
      </c>
      <c r="I34" s="155">
        <v>643</v>
      </c>
      <c r="J34" s="155">
        <v>1034</v>
      </c>
      <c r="K34" s="154">
        <f>J34</f>
        <v>1034</v>
      </c>
      <c r="L34" s="155">
        <v>1147</v>
      </c>
      <c r="M34" s="155">
        <v>1183</v>
      </c>
      <c r="N34" s="155">
        <v>1231</v>
      </c>
      <c r="O34" s="155">
        <v>1292</v>
      </c>
      <c r="P34" s="154">
        <f>O34</f>
        <v>1292</v>
      </c>
      <c r="Q34" s="155">
        <v>1291</v>
      </c>
      <c r="R34" s="155">
        <v>1318</v>
      </c>
      <c r="S34" s="155">
        <v>1334</v>
      </c>
      <c r="T34" s="155">
        <v>1327</v>
      </c>
      <c r="U34" s="154">
        <f>T34</f>
        <v>1327</v>
      </c>
      <c r="V34" s="155">
        <v>1320</v>
      </c>
      <c r="W34" s="155">
        <v>2003</v>
      </c>
      <c r="X34" s="155">
        <v>1953</v>
      </c>
      <c r="Y34" s="155">
        <v>1962</v>
      </c>
      <c r="Z34" s="154">
        <f>Y34</f>
        <v>1962</v>
      </c>
      <c r="AA34" s="155">
        <v>1887</v>
      </c>
      <c r="AB34" s="155">
        <v>1719</v>
      </c>
      <c r="AC34" s="155">
        <v>1691</v>
      </c>
      <c r="AD34" s="155">
        <v>1677</v>
      </c>
      <c r="AE34" s="154">
        <f>AD34</f>
        <v>1677</v>
      </c>
      <c r="AF34" s="155">
        <v>1662</v>
      </c>
      <c r="AG34" s="155">
        <v>1648</v>
      </c>
      <c r="AH34" s="155">
        <v>1639</v>
      </c>
      <c r="AI34" s="155">
        <v>1525.1</v>
      </c>
      <c r="AJ34" s="154">
        <f>AI34</f>
        <v>1525.1</v>
      </c>
      <c r="AK34" s="155">
        <v>1656.1</v>
      </c>
      <c r="AL34" s="155">
        <v>1573.4</v>
      </c>
      <c r="AM34" s="155">
        <v>1567.8</v>
      </c>
      <c r="AN34" s="155">
        <v>1562.3</v>
      </c>
      <c r="AO34" s="154">
        <f>AN34</f>
        <v>1562.3</v>
      </c>
      <c r="AP34" s="155">
        <v>1556.8</v>
      </c>
      <c r="AQ34" s="155">
        <v>951.3</v>
      </c>
      <c r="AR34" s="155">
        <v>1125.7</v>
      </c>
      <c r="AS34" s="155">
        <v>1070</v>
      </c>
      <c r="AT34" s="154">
        <f>AS34</f>
        <v>1070</v>
      </c>
      <c r="AU34" s="155">
        <v>1009.3</v>
      </c>
      <c r="AV34" s="155">
        <v>1051.9000000000001</v>
      </c>
      <c r="AW34" s="155">
        <v>1055.9000000000001</v>
      </c>
      <c r="AX34" s="155">
        <v>1050.2</v>
      </c>
      <c r="AY34" s="154">
        <f>AX34</f>
        <v>1050.2</v>
      </c>
      <c r="AZ34" s="157">
        <v>1633.6</v>
      </c>
      <c r="BA34" s="157">
        <f>AZ34+CF!BA30+CF!BA29</f>
        <v>1623.6</v>
      </c>
      <c r="BB34" s="157">
        <f>BA34+CF!BB30+CF!BB29</f>
        <v>1613.6</v>
      </c>
      <c r="BC34" s="157">
        <f>BB34+CF!BC30+CF!BC29</f>
        <v>1603.6</v>
      </c>
      <c r="BD34" s="154">
        <f>BC34</f>
        <v>1603.6</v>
      </c>
      <c r="BE34" s="157">
        <f>BD34+CF!BE30+CF!BE29</f>
        <v>1588.6</v>
      </c>
      <c r="BF34" s="157">
        <f>BE34+CF!BF30+CF!BF29</f>
        <v>1573.6</v>
      </c>
      <c r="BG34" s="157">
        <f>BF34+CF!BG30+CF!BG29</f>
        <v>1558.6</v>
      </c>
      <c r="BH34" s="157">
        <f>BG34+CF!BH30+CF!BH29</f>
        <v>1543.6</v>
      </c>
      <c r="BI34" s="154">
        <f>BH34</f>
        <v>1543.6</v>
      </c>
    </row>
    <row r="35" spans="1:61" x14ac:dyDescent="0.2">
      <c r="A35" s="4" t="s">
        <v>61</v>
      </c>
      <c r="B35" s="2"/>
      <c r="C35" s="62"/>
      <c r="D35" s="62"/>
      <c r="E35" s="62">
        <v>886</v>
      </c>
      <c r="F35" s="154">
        <f t="shared" ref="F35:F36" si="139">E35</f>
        <v>886</v>
      </c>
      <c r="G35" s="155">
        <v>854</v>
      </c>
      <c r="H35" s="155">
        <v>833</v>
      </c>
      <c r="I35" s="155">
        <v>811</v>
      </c>
      <c r="J35" s="155">
        <v>342</v>
      </c>
      <c r="K35" s="154">
        <f t="shared" ref="K35:K36" si="140">J35</f>
        <v>342</v>
      </c>
      <c r="L35" s="155">
        <v>331</v>
      </c>
      <c r="M35" s="155">
        <v>316</v>
      </c>
      <c r="N35" s="155">
        <v>303</v>
      </c>
      <c r="O35" s="155">
        <v>333</v>
      </c>
      <c r="P35" s="154">
        <f t="shared" ref="P35:P36" si="141">O35</f>
        <v>333</v>
      </c>
      <c r="Q35" s="155">
        <v>330</v>
      </c>
      <c r="R35" s="155">
        <v>325</v>
      </c>
      <c r="S35" s="155">
        <v>322</v>
      </c>
      <c r="T35" s="155">
        <v>387</v>
      </c>
      <c r="U35" s="154">
        <f t="shared" ref="U35:U36" si="142">T35</f>
        <v>387</v>
      </c>
      <c r="V35" s="155">
        <v>376</v>
      </c>
      <c r="W35" s="155">
        <v>361</v>
      </c>
      <c r="X35" s="155">
        <v>350</v>
      </c>
      <c r="Y35" s="155">
        <v>317</v>
      </c>
      <c r="Z35" s="154">
        <f t="shared" ref="Z35:Z36" si="143">Y35</f>
        <v>317</v>
      </c>
      <c r="AA35" s="155">
        <v>303</v>
      </c>
      <c r="AB35" s="155">
        <v>286</v>
      </c>
      <c r="AC35" s="155">
        <v>272</v>
      </c>
      <c r="AD35" s="155">
        <v>258</v>
      </c>
      <c r="AE35" s="154">
        <f t="shared" ref="AE35:AE36" si="144">AD35</f>
        <v>258</v>
      </c>
      <c r="AF35" s="155">
        <v>248</v>
      </c>
      <c r="AG35" s="155">
        <v>237</v>
      </c>
      <c r="AH35" s="155">
        <v>229</v>
      </c>
      <c r="AI35" s="155">
        <v>199.4</v>
      </c>
      <c r="AJ35" s="154">
        <f t="shared" ref="AJ35:AJ36" si="145">AI35</f>
        <v>199.4</v>
      </c>
      <c r="AK35" s="155">
        <v>200.5</v>
      </c>
      <c r="AL35" s="155">
        <v>201</v>
      </c>
      <c r="AM35" s="155">
        <v>202.1</v>
      </c>
      <c r="AN35" s="155">
        <v>168</v>
      </c>
      <c r="AO35" s="154">
        <f t="shared" ref="AO35:AO36" si="146">AN35</f>
        <v>168</v>
      </c>
      <c r="AP35" s="155">
        <v>169.9</v>
      </c>
      <c r="AQ35" s="155">
        <v>170.2</v>
      </c>
      <c r="AR35" s="155">
        <v>167.8</v>
      </c>
      <c r="AS35" s="155">
        <v>176.2</v>
      </c>
      <c r="AT35" s="154">
        <f t="shared" ref="AT35:AT36" si="147">AS35</f>
        <v>176.2</v>
      </c>
      <c r="AU35" s="155">
        <v>174.5</v>
      </c>
      <c r="AV35" s="155">
        <v>171.5</v>
      </c>
      <c r="AW35" s="155">
        <v>170.4</v>
      </c>
      <c r="AX35" s="155">
        <v>187.5</v>
      </c>
      <c r="AY35" s="154">
        <f t="shared" ref="AY35:AY36" si="148">AX35</f>
        <v>187.5</v>
      </c>
      <c r="AZ35" s="157">
        <v>186.1</v>
      </c>
      <c r="BA35" s="157">
        <f t="shared" ref="BA35:BA37" si="149">AZ35</f>
        <v>186.1</v>
      </c>
      <c r="BB35" s="157">
        <f t="shared" ref="BB35:BB37" si="150">BA35</f>
        <v>186.1</v>
      </c>
      <c r="BC35" s="157">
        <f t="shared" ref="BC35:BC37" si="151">BB35</f>
        <v>186.1</v>
      </c>
      <c r="BD35" s="154">
        <f t="shared" ref="BD35:BD36" si="152">BC35</f>
        <v>186.1</v>
      </c>
      <c r="BE35" s="157">
        <f>BD35</f>
        <v>186.1</v>
      </c>
      <c r="BF35" s="157">
        <f t="shared" ref="BF35:BF37" si="153">BE35</f>
        <v>186.1</v>
      </c>
      <c r="BG35" s="157">
        <f t="shared" ref="BG35:BG37" si="154">BF35</f>
        <v>186.1</v>
      </c>
      <c r="BH35" s="157">
        <f t="shared" ref="BH35:BH37" si="155">BG35</f>
        <v>186.1</v>
      </c>
      <c r="BI35" s="154">
        <f t="shared" ref="BI35:BI36" si="156">BH35</f>
        <v>186.1</v>
      </c>
    </row>
    <row r="36" spans="1:61" x14ac:dyDescent="0.2">
      <c r="A36" s="4" t="s">
        <v>62</v>
      </c>
      <c r="B36" s="2"/>
      <c r="C36" s="62"/>
      <c r="D36" s="62"/>
      <c r="E36" s="62">
        <v>0</v>
      </c>
      <c r="F36" s="154">
        <f t="shared" si="139"/>
        <v>0</v>
      </c>
      <c r="G36" s="155">
        <v>0</v>
      </c>
      <c r="H36" s="155">
        <v>0</v>
      </c>
      <c r="I36" s="155">
        <v>0</v>
      </c>
      <c r="J36" s="155">
        <v>0</v>
      </c>
      <c r="K36" s="154">
        <f t="shared" si="140"/>
        <v>0</v>
      </c>
      <c r="L36" s="155">
        <v>0</v>
      </c>
      <c r="M36" s="155">
        <v>0</v>
      </c>
      <c r="N36" s="155">
        <v>0</v>
      </c>
      <c r="O36" s="155">
        <v>0</v>
      </c>
      <c r="P36" s="154">
        <f t="shared" si="141"/>
        <v>0</v>
      </c>
      <c r="Q36" s="155">
        <v>0</v>
      </c>
      <c r="R36" s="155">
        <v>0</v>
      </c>
      <c r="S36" s="155">
        <v>0</v>
      </c>
      <c r="T36" s="155">
        <v>0</v>
      </c>
      <c r="U36" s="154">
        <f t="shared" si="142"/>
        <v>0</v>
      </c>
      <c r="V36" s="155">
        <v>224</v>
      </c>
      <c r="W36" s="155">
        <v>226</v>
      </c>
      <c r="X36" s="155">
        <v>231</v>
      </c>
      <c r="Y36" s="155">
        <v>231</v>
      </c>
      <c r="Z36" s="154">
        <f t="shared" si="143"/>
        <v>231</v>
      </c>
      <c r="AA36" s="155">
        <v>260</v>
      </c>
      <c r="AB36" s="155">
        <v>286</v>
      </c>
      <c r="AC36" s="155">
        <v>276</v>
      </c>
      <c r="AD36" s="155">
        <v>274</v>
      </c>
      <c r="AE36" s="154">
        <f t="shared" si="144"/>
        <v>274</v>
      </c>
      <c r="AF36" s="155">
        <v>276</v>
      </c>
      <c r="AG36" s="155">
        <v>280</v>
      </c>
      <c r="AH36" s="155">
        <v>288</v>
      </c>
      <c r="AI36" s="155">
        <v>229.4</v>
      </c>
      <c r="AJ36" s="154">
        <f t="shared" si="145"/>
        <v>229.4</v>
      </c>
      <c r="AK36" s="155">
        <v>234.5</v>
      </c>
      <c r="AL36" s="155">
        <v>239.6</v>
      </c>
      <c r="AM36" s="155">
        <v>245</v>
      </c>
      <c r="AN36" s="155">
        <v>247.3</v>
      </c>
      <c r="AO36" s="154">
        <f t="shared" si="146"/>
        <v>247.3</v>
      </c>
      <c r="AP36" s="155">
        <v>253.9</v>
      </c>
      <c r="AQ36" s="155">
        <v>269</v>
      </c>
      <c r="AR36" s="155">
        <v>270.3</v>
      </c>
      <c r="AS36" s="155">
        <v>279.7</v>
      </c>
      <c r="AT36" s="154">
        <f t="shared" si="147"/>
        <v>279.7</v>
      </c>
      <c r="AU36" s="155">
        <v>273.10000000000002</v>
      </c>
      <c r="AV36" s="155">
        <v>295.2</v>
      </c>
      <c r="AW36" s="155">
        <v>312.2</v>
      </c>
      <c r="AX36" s="155">
        <v>315.3</v>
      </c>
      <c r="AY36" s="154">
        <f t="shared" si="148"/>
        <v>315.3</v>
      </c>
      <c r="AZ36" s="157">
        <v>376</v>
      </c>
      <c r="BA36" s="157">
        <f t="shared" si="149"/>
        <v>376</v>
      </c>
      <c r="BB36" s="157">
        <f t="shared" si="150"/>
        <v>376</v>
      </c>
      <c r="BC36" s="157">
        <f t="shared" si="151"/>
        <v>376</v>
      </c>
      <c r="BD36" s="154">
        <f t="shared" si="152"/>
        <v>376</v>
      </c>
      <c r="BE36" s="157">
        <f>BD36</f>
        <v>376</v>
      </c>
      <c r="BF36" s="157">
        <f t="shared" si="153"/>
        <v>376</v>
      </c>
      <c r="BG36" s="157">
        <f t="shared" si="154"/>
        <v>376</v>
      </c>
      <c r="BH36" s="157">
        <f t="shared" si="155"/>
        <v>376</v>
      </c>
      <c r="BI36" s="154">
        <f t="shared" si="156"/>
        <v>376</v>
      </c>
    </row>
    <row r="37" spans="1:61" x14ac:dyDescent="0.2">
      <c r="A37" s="4" t="s">
        <v>14</v>
      </c>
      <c r="B37" s="2"/>
      <c r="C37" s="62"/>
      <c r="D37" s="62"/>
      <c r="E37" s="62">
        <f>143+2</f>
        <v>145</v>
      </c>
      <c r="F37" s="154">
        <f>E37</f>
        <v>145</v>
      </c>
      <c r="G37" s="155">
        <v>154</v>
      </c>
      <c r="H37" s="155">
        <f>2+173</f>
        <v>175</v>
      </c>
      <c r="I37" s="155">
        <f>2+186</f>
        <v>188</v>
      </c>
      <c r="J37" s="155">
        <v>178</v>
      </c>
      <c r="K37" s="154">
        <f>J37</f>
        <v>178</v>
      </c>
      <c r="L37" s="155">
        <v>175</v>
      </c>
      <c r="M37" s="155">
        <v>181</v>
      </c>
      <c r="N37" s="155">
        <v>178</v>
      </c>
      <c r="O37" s="155">
        <v>176</v>
      </c>
      <c r="P37" s="154">
        <f>O37</f>
        <v>176</v>
      </c>
      <c r="Q37" s="155">
        <v>174</v>
      </c>
      <c r="R37" s="155">
        <v>179</v>
      </c>
      <c r="S37" s="155">
        <v>184</v>
      </c>
      <c r="T37" s="155">
        <v>185</v>
      </c>
      <c r="U37" s="154">
        <f>T37</f>
        <v>185</v>
      </c>
      <c r="V37" s="155">
        <v>152</v>
      </c>
      <c r="W37" s="155">
        <v>163</v>
      </c>
      <c r="X37" s="155">
        <v>185</v>
      </c>
      <c r="Y37" s="155">
        <v>173</v>
      </c>
      <c r="Z37" s="154">
        <f>Y37</f>
        <v>173</v>
      </c>
      <c r="AA37" s="155">
        <v>255</v>
      </c>
      <c r="AB37" s="155">
        <v>259</v>
      </c>
      <c r="AC37" s="155">
        <v>280</v>
      </c>
      <c r="AD37" s="155">
        <f>252+26</f>
        <v>278</v>
      </c>
      <c r="AE37" s="154">
        <f>AD37</f>
        <v>278</v>
      </c>
      <c r="AF37" s="155">
        <f>255+34</f>
        <v>289</v>
      </c>
      <c r="AG37" s="155">
        <f>256+42</f>
        <v>298</v>
      </c>
      <c r="AH37" s="155">
        <f>267+58</f>
        <v>325</v>
      </c>
      <c r="AI37" s="155">
        <v>237.1</v>
      </c>
      <c r="AJ37" s="154">
        <f>AI37</f>
        <v>237.1</v>
      </c>
      <c r="AK37" s="155">
        <v>246.7</v>
      </c>
      <c r="AL37" s="155">
        <v>272.39999999999998</v>
      </c>
      <c r="AM37" s="155">
        <v>279.3</v>
      </c>
      <c r="AN37" s="155">
        <v>346.8</v>
      </c>
      <c r="AO37" s="154">
        <f>AN37</f>
        <v>346.8</v>
      </c>
      <c r="AP37" s="155">
        <v>346.5</v>
      </c>
      <c r="AQ37" s="155">
        <v>348.7</v>
      </c>
      <c r="AR37" s="155">
        <v>353.9</v>
      </c>
      <c r="AS37" s="155">
        <v>373.3</v>
      </c>
      <c r="AT37" s="154">
        <f>AS37</f>
        <v>373.3</v>
      </c>
      <c r="AU37" s="155">
        <v>359.5</v>
      </c>
      <c r="AV37" s="155">
        <v>369.7</v>
      </c>
      <c r="AW37" s="155">
        <v>382</v>
      </c>
      <c r="AX37" s="155">
        <v>431.5</v>
      </c>
      <c r="AY37" s="154">
        <f>AX37</f>
        <v>431.5</v>
      </c>
      <c r="AZ37" s="157">
        <v>535</v>
      </c>
      <c r="BA37" s="157">
        <f t="shared" si="149"/>
        <v>535</v>
      </c>
      <c r="BB37" s="157">
        <f t="shared" si="150"/>
        <v>535</v>
      </c>
      <c r="BC37" s="157">
        <f t="shared" si="151"/>
        <v>535</v>
      </c>
      <c r="BD37" s="154">
        <f>BC37</f>
        <v>535</v>
      </c>
      <c r="BE37" s="157">
        <f>BD37</f>
        <v>535</v>
      </c>
      <c r="BF37" s="157">
        <f t="shared" si="153"/>
        <v>535</v>
      </c>
      <c r="BG37" s="157">
        <f t="shared" si="154"/>
        <v>535</v>
      </c>
      <c r="BH37" s="157">
        <f t="shared" si="155"/>
        <v>535</v>
      </c>
      <c r="BI37" s="154">
        <f>BH37</f>
        <v>535</v>
      </c>
    </row>
    <row r="38" spans="1:61" ht="13.5" thickBot="1" x14ac:dyDescent="0.25">
      <c r="A38" s="30" t="s">
        <v>15</v>
      </c>
      <c r="B38" s="26"/>
      <c r="C38" s="65"/>
      <c r="D38" s="65"/>
      <c r="E38" s="65">
        <f>SUM(E34:E37)+E32</f>
        <v>2155</v>
      </c>
      <c r="F38" s="168">
        <f>E38</f>
        <v>2155</v>
      </c>
      <c r="G38" s="165">
        <f>SUM(G34:G37)+G32</f>
        <v>2151</v>
      </c>
      <c r="H38" s="165">
        <f t="shared" ref="H38:J38" si="157">SUM(H34:H37)+H32</f>
        <v>2125</v>
      </c>
      <c r="I38" s="165">
        <f t="shared" si="157"/>
        <v>2163</v>
      </c>
      <c r="J38" s="165">
        <f t="shared" si="157"/>
        <v>2032</v>
      </c>
      <c r="K38" s="168">
        <f>J38</f>
        <v>2032</v>
      </c>
      <c r="L38" s="165">
        <f>SUM(L34:L37)+L32</f>
        <v>2021</v>
      </c>
      <c r="M38" s="165">
        <f t="shared" ref="M38:O38" si="158">SUM(M34:M37)+M32</f>
        <v>2095</v>
      </c>
      <c r="N38" s="165">
        <f t="shared" si="158"/>
        <v>2137</v>
      </c>
      <c r="O38" s="165">
        <f t="shared" si="158"/>
        <v>2212</v>
      </c>
      <c r="P38" s="168">
        <f>O38</f>
        <v>2212</v>
      </c>
      <c r="Q38" s="165">
        <f>SUM(Q34:Q37)+Q32</f>
        <v>2175</v>
      </c>
      <c r="R38" s="165">
        <f t="shared" ref="R38" si="159">SUM(R34:R37)+R32</f>
        <v>2212</v>
      </c>
      <c r="S38" s="165">
        <f t="shared" ref="S38" si="160">SUM(S34:S37)+S32</f>
        <v>2252</v>
      </c>
      <c r="T38" s="165">
        <f t="shared" ref="T38" si="161">SUM(T34:T37)+T32</f>
        <v>2322</v>
      </c>
      <c r="U38" s="168">
        <f>T38</f>
        <v>2322</v>
      </c>
      <c r="V38" s="165">
        <f>SUM(V34:V37)+V32</f>
        <v>2613</v>
      </c>
      <c r="W38" s="165">
        <f t="shared" ref="W38" si="162">SUM(W34:W37)+W32</f>
        <v>3154</v>
      </c>
      <c r="X38" s="165">
        <f t="shared" ref="X38" si="163">SUM(X34:X37)+X32</f>
        <v>3151</v>
      </c>
      <c r="Y38" s="165">
        <f t="shared" ref="Y38" si="164">SUM(Y34:Y37)+Y32</f>
        <v>3127</v>
      </c>
      <c r="Z38" s="168">
        <f>Y38</f>
        <v>3127</v>
      </c>
      <c r="AA38" s="165">
        <f>SUM(AA34:AA37)+AA32</f>
        <v>3211</v>
      </c>
      <c r="AB38" s="165">
        <f t="shared" ref="AB38" si="165">SUM(AB34:AB37)+AB32</f>
        <v>2998</v>
      </c>
      <c r="AC38" s="165">
        <f t="shared" ref="AC38" si="166">SUM(AC34:AC37)+AC32</f>
        <v>3026</v>
      </c>
      <c r="AD38" s="165">
        <f t="shared" ref="AD38" si="167">SUM(AD34:AD37)+AD32</f>
        <v>3056</v>
      </c>
      <c r="AE38" s="168">
        <f>AD38</f>
        <v>3056</v>
      </c>
      <c r="AF38" s="165">
        <f>SUM(AF34:AF37)+AF32</f>
        <v>3016</v>
      </c>
      <c r="AG38" s="165">
        <f t="shared" ref="AG38" si="168">SUM(AG34:AG37)+AG32</f>
        <v>3048</v>
      </c>
      <c r="AH38" s="165">
        <f t="shared" ref="AH38" si="169">SUM(AH34:AH37)+AH32</f>
        <v>3122</v>
      </c>
      <c r="AI38" s="165">
        <f t="shared" ref="AI38" si="170">SUM(AI34:AI37)+AI32</f>
        <v>3110.4</v>
      </c>
      <c r="AJ38" s="168">
        <f>AI38</f>
        <v>3110.4</v>
      </c>
      <c r="AK38" s="165">
        <f>SUM(AK34:AK37)+AK32</f>
        <v>3262.2</v>
      </c>
      <c r="AL38" s="165">
        <f>SUM(AL34:AL37)+AL32</f>
        <v>2908</v>
      </c>
      <c r="AM38" s="165">
        <f t="shared" ref="AM38" si="171">SUM(AM34:AM37)+AM32</f>
        <v>2700.1</v>
      </c>
      <c r="AN38" s="165">
        <f t="shared" ref="AN38" si="172">SUM(AN34:AN37)+AN32</f>
        <v>2686.7000000000003</v>
      </c>
      <c r="AO38" s="168">
        <f>AN38</f>
        <v>2686.7000000000003</v>
      </c>
      <c r="AP38" s="165">
        <f>SUM(AP34:AP37)+AP32</f>
        <v>2644.5000000000005</v>
      </c>
      <c r="AQ38" s="165">
        <f>SUM(AQ34:AQ37)+AQ32</f>
        <v>2702.9</v>
      </c>
      <c r="AR38" s="165">
        <f t="shared" ref="AR38" si="173">SUM(AR34:AR37)+AR32</f>
        <v>2269.1</v>
      </c>
      <c r="AS38" s="165">
        <f t="shared" ref="AS38" si="174">SUM(AS34:AS37)+AS32</f>
        <v>2253.1</v>
      </c>
      <c r="AT38" s="168">
        <f>AS38</f>
        <v>2253.1</v>
      </c>
      <c r="AU38" s="165">
        <f>SUM(AU34:AU37)+AU32</f>
        <v>2120</v>
      </c>
      <c r="AV38" s="165">
        <f>SUM(AV34:AV37)+AV32</f>
        <v>2203.9</v>
      </c>
      <c r="AW38" s="165">
        <f t="shared" ref="AW38" si="175">SUM(AW34:AW37)+AW32</f>
        <v>2248</v>
      </c>
      <c r="AX38" s="165">
        <f t="shared" ref="AX38" si="176">SUM(AX34:AX37)+AX32</f>
        <v>2331.9</v>
      </c>
      <c r="AY38" s="168">
        <f>AX38</f>
        <v>2331.9</v>
      </c>
      <c r="AZ38" s="165">
        <f>SUM(AZ34:AZ37)+AZ32</f>
        <v>3094.5</v>
      </c>
      <c r="BA38" s="165">
        <f>SUM(BA34:BA37)+BA32</f>
        <v>3086.9853849491474</v>
      </c>
      <c r="BB38" s="165">
        <f t="shared" ref="BB38" si="177">SUM(BB34:BB37)+BB32</f>
        <v>3077.6679622212855</v>
      </c>
      <c r="BC38" s="165">
        <f t="shared" ref="BC38" si="178">SUM(BC34:BC37)+BC32</f>
        <v>3068.446093718544</v>
      </c>
      <c r="BD38" s="168">
        <f>BC38</f>
        <v>3068.446093718544</v>
      </c>
      <c r="BE38" s="165">
        <f>SUM(BE34:BE37)+BE32</f>
        <v>3058.1278261723205</v>
      </c>
      <c r="BF38" s="165">
        <f>SUM(BF34:BF37)+BF32</f>
        <v>3046.1552231392652</v>
      </c>
      <c r="BG38" s="165">
        <f t="shared" ref="BG38" si="179">SUM(BG34:BG37)+BG32</f>
        <v>3031.5811751221986</v>
      </c>
      <c r="BH38" s="165">
        <f t="shared" ref="BH38" si="180">SUM(BH34:BH37)+BH32</f>
        <v>3020.5730786413692</v>
      </c>
      <c r="BI38" s="168">
        <f>BH38</f>
        <v>3020.5730786413692</v>
      </c>
    </row>
    <row r="39" spans="1:61" ht="13.5" thickTop="1" x14ac:dyDescent="0.2">
      <c r="B39" s="31"/>
      <c r="C39" s="66"/>
      <c r="D39" s="66"/>
      <c r="E39" s="66"/>
      <c r="F39" s="161"/>
      <c r="G39" s="150"/>
      <c r="H39" s="150"/>
      <c r="I39" s="150"/>
      <c r="J39" s="150"/>
      <c r="K39" s="161"/>
      <c r="L39" s="150"/>
      <c r="M39" s="150"/>
      <c r="N39" s="150"/>
      <c r="O39" s="150"/>
      <c r="P39" s="161"/>
      <c r="Q39" s="150"/>
      <c r="R39" s="150"/>
      <c r="S39" s="150"/>
      <c r="T39" s="150"/>
      <c r="U39" s="161"/>
      <c r="V39" s="150"/>
      <c r="W39" s="150"/>
      <c r="X39" s="150"/>
      <c r="Y39" s="150"/>
      <c r="Z39" s="161"/>
      <c r="AA39" s="150"/>
      <c r="AB39" s="150"/>
      <c r="AC39" s="150"/>
      <c r="AD39" s="150"/>
      <c r="AE39" s="161"/>
      <c r="AF39" s="150"/>
      <c r="AG39" s="150"/>
      <c r="AH39" s="150"/>
      <c r="AI39" s="150"/>
      <c r="AJ39" s="161"/>
      <c r="AK39" s="150"/>
      <c r="AL39" s="150"/>
      <c r="AM39" s="150"/>
      <c r="AN39" s="150"/>
      <c r="AO39" s="161"/>
      <c r="AP39" s="150"/>
      <c r="AQ39" s="150"/>
      <c r="AR39" s="150"/>
      <c r="AS39" s="150"/>
      <c r="AT39" s="161"/>
      <c r="AU39" s="150"/>
      <c r="AV39" s="150"/>
      <c r="AW39" s="150"/>
      <c r="AX39" s="150"/>
      <c r="AY39" s="161"/>
      <c r="AZ39" s="150"/>
      <c r="BA39" s="150"/>
      <c r="BB39" s="150"/>
      <c r="BC39" s="150"/>
      <c r="BD39" s="161"/>
      <c r="BE39" s="150"/>
      <c r="BF39" s="150"/>
      <c r="BG39" s="150"/>
      <c r="BH39" s="150"/>
      <c r="BI39" s="161"/>
    </row>
    <row r="40" spans="1:61" x14ac:dyDescent="0.2">
      <c r="A40" s="4" t="s">
        <v>16</v>
      </c>
      <c r="B40" s="2"/>
      <c r="C40" s="62"/>
      <c r="D40" s="62"/>
      <c r="E40" s="62"/>
      <c r="F40" s="161"/>
      <c r="G40" s="150"/>
      <c r="H40" s="150"/>
      <c r="I40" s="150"/>
      <c r="J40" s="155"/>
      <c r="K40" s="161"/>
      <c r="L40" s="150"/>
      <c r="M40" s="150"/>
      <c r="N40" s="150"/>
      <c r="O40" s="150"/>
      <c r="P40" s="161"/>
      <c r="Q40" s="150"/>
      <c r="R40" s="150"/>
      <c r="S40" s="150"/>
      <c r="T40" s="150"/>
      <c r="U40" s="161"/>
      <c r="V40" s="150"/>
      <c r="W40" s="150"/>
      <c r="X40" s="150"/>
      <c r="Y40" s="150"/>
      <c r="Z40" s="161"/>
      <c r="AA40" s="150"/>
      <c r="AB40" s="150"/>
      <c r="AC40" s="150"/>
      <c r="AD40" s="150"/>
      <c r="AE40" s="161"/>
      <c r="AF40" s="150"/>
      <c r="AG40" s="150"/>
      <c r="AH40" s="150"/>
      <c r="AI40" s="150"/>
      <c r="AJ40" s="161"/>
      <c r="AK40" s="150"/>
      <c r="AL40" s="150"/>
      <c r="AM40" s="150"/>
      <c r="AN40" s="150"/>
      <c r="AO40" s="161"/>
      <c r="AP40" s="150"/>
      <c r="AQ40" s="150"/>
      <c r="AR40" s="150"/>
      <c r="AS40" s="150"/>
      <c r="AT40" s="161"/>
      <c r="AU40" s="150"/>
      <c r="AV40" s="150"/>
      <c r="AW40" s="150"/>
      <c r="AX40" s="150"/>
      <c r="AY40" s="161"/>
      <c r="AZ40" s="150"/>
      <c r="BA40" s="150"/>
      <c r="BB40" s="150"/>
      <c r="BC40" s="150"/>
      <c r="BD40" s="161"/>
      <c r="BE40" s="150"/>
      <c r="BF40" s="150"/>
      <c r="BG40" s="150"/>
      <c r="BH40" s="150"/>
      <c r="BI40" s="161"/>
    </row>
    <row r="41" spans="1:61" ht="12.75" hidden="1" customHeight="1" outlineLevel="1" x14ac:dyDescent="0.2">
      <c r="A41" s="27" t="s">
        <v>63</v>
      </c>
      <c r="B41" s="2"/>
      <c r="C41" s="62"/>
      <c r="D41" s="62"/>
      <c r="E41" s="62"/>
      <c r="F41" s="154"/>
      <c r="G41" s="155"/>
      <c r="H41" s="155"/>
      <c r="I41" s="155"/>
      <c r="J41" s="155"/>
      <c r="K41" s="154"/>
      <c r="L41" s="155"/>
      <c r="M41" s="155"/>
      <c r="N41" s="155"/>
      <c r="O41" s="155"/>
      <c r="P41" s="154"/>
      <c r="Q41" s="155">
        <v>0</v>
      </c>
      <c r="R41" s="155">
        <v>0</v>
      </c>
      <c r="S41" s="155">
        <v>0</v>
      </c>
      <c r="T41" s="155">
        <v>0</v>
      </c>
      <c r="U41" s="154">
        <f>T41</f>
        <v>0</v>
      </c>
      <c r="V41" s="155">
        <v>0</v>
      </c>
      <c r="W41" s="155">
        <v>0</v>
      </c>
      <c r="X41" s="155">
        <v>0</v>
      </c>
      <c r="Y41" s="155">
        <v>0</v>
      </c>
      <c r="Z41" s="154">
        <f>Y41</f>
        <v>0</v>
      </c>
      <c r="AA41" s="155">
        <v>0</v>
      </c>
      <c r="AB41" s="155">
        <v>0</v>
      </c>
      <c r="AC41" s="155">
        <v>0</v>
      </c>
      <c r="AD41" s="155">
        <v>0</v>
      </c>
      <c r="AE41" s="154">
        <f>AD41</f>
        <v>0</v>
      </c>
      <c r="AF41" s="155">
        <v>0</v>
      </c>
      <c r="AG41" s="155">
        <v>0</v>
      </c>
      <c r="AH41" s="155">
        <v>0</v>
      </c>
      <c r="AI41" s="155">
        <v>0</v>
      </c>
      <c r="AJ41" s="154">
        <f>AI41</f>
        <v>0</v>
      </c>
      <c r="AK41" s="155">
        <v>0</v>
      </c>
      <c r="AL41" s="155">
        <v>0</v>
      </c>
      <c r="AM41" s="155">
        <v>0</v>
      </c>
      <c r="AN41" s="155">
        <v>0</v>
      </c>
      <c r="AO41" s="154">
        <f>AN41</f>
        <v>0</v>
      </c>
      <c r="AP41" s="150"/>
      <c r="AQ41" s="150"/>
      <c r="AR41" s="150"/>
      <c r="AS41" s="150"/>
      <c r="AT41" s="154">
        <f>AS41</f>
        <v>0</v>
      </c>
      <c r="AU41" s="150"/>
      <c r="AV41" s="150"/>
      <c r="AW41" s="150"/>
      <c r="AX41" s="150"/>
      <c r="AY41" s="154"/>
      <c r="AZ41" s="150"/>
      <c r="BA41" s="150"/>
      <c r="BB41" s="150"/>
      <c r="BC41" s="150"/>
      <c r="BD41" s="154"/>
      <c r="BE41" s="150"/>
      <c r="BF41" s="150"/>
      <c r="BG41" s="150"/>
      <c r="BH41" s="150"/>
      <c r="BI41" s="154"/>
    </row>
    <row r="42" spans="1:61" ht="12.75" hidden="1" customHeight="1" outlineLevel="1" x14ac:dyDescent="0.2">
      <c r="A42" s="27" t="s">
        <v>64</v>
      </c>
      <c r="B42" s="2"/>
      <c r="C42" s="62"/>
      <c r="D42" s="62"/>
      <c r="E42" s="62"/>
      <c r="F42" s="154"/>
      <c r="G42" s="155"/>
      <c r="H42" s="155"/>
      <c r="I42" s="155"/>
      <c r="J42" s="155"/>
      <c r="K42" s="154"/>
      <c r="L42" s="155"/>
      <c r="M42" s="155"/>
      <c r="N42" s="155"/>
      <c r="O42" s="155"/>
      <c r="P42" s="154"/>
      <c r="Q42" s="155">
        <v>2</v>
      </c>
      <c r="R42" s="155">
        <v>2</v>
      </c>
      <c r="S42" s="155">
        <v>2</v>
      </c>
      <c r="T42" s="155">
        <v>2</v>
      </c>
      <c r="U42" s="154">
        <f t="shared" ref="U42:U45" si="181">T42</f>
        <v>2</v>
      </c>
      <c r="V42" s="155">
        <v>2</v>
      </c>
      <c r="W42" s="155">
        <v>2</v>
      </c>
      <c r="X42" s="155">
        <v>2</v>
      </c>
      <c r="Y42" s="155">
        <v>2</v>
      </c>
      <c r="Z42" s="154">
        <f t="shared" ref="Z42:Z45" si="182">Y42</f>
        <v>2</v>
      </c>
      <c r="AA42" s="155">
        <v>2</v>
      </c>
      <c r="AB42" s="155">
        <v>2</v>
      </c>
      <c r="AC42" s="155">
        <v>2</v>
      </c>
      <c r="AD42" s="155">
        <v>2</v>
      </c>
      <c r="AE42" s="154">
        <f t="shared" ref="AE42:AE45" si="183">AD42</f>
        <v>2</v>
      </c>
      <c r="AF42" s="155">
        <v>2</v>
      </c>
      <c r="AG42" s="155">
        <v>2</v>
      </c>
      <c r="AH42" s="155">
        <v>2</v>
      </c>
      <c r="AI42" s="155">
        <v>1.8</v>
      </c>
      <c r="AJ42" s="154">
        <f t="shared" ref="AJ42:AJ45" si="184">AI42</f>
        <v>1.8</v>
      </c>
      <c r="AK42" s="155">
        <v>1.7</v>
      </c>
      <c r="AL42" s="155">
        <v>1.7</v>
      </c>
      <c r="AM42" s="155">
        <v>1.4</v>
      </c>
      <c r="AN42" s="155">
        <v>1.3</v>
      </c>
      <c r="AO42" s="154">
        <f t="shared" ref="AO42:AO45" si="185">AN42</f>
        <v>1.3</v>
      </c>
      <c r="AP42" s="150">
        <v>1.3</v>
      </c>
      <c r="AQ42" s="150">
        <v>1.3</v>
      </c>
      <c r="AR42" s="150">
        <v>1.3</v>
      </c>
      <c r="AS42" s="150">
        <v>1.3</v>
      </c>
      <c r="AT42" s="154">
        <f t="shared" ref="AT42:AT45" si="186">AS42</f>
        <v>1.3</v>
      </c>
      <c r="AU42" s="150">
        <v>1.3</v>
      </c>
      <c r="AV42" s="150">
        <v>1.3</v>
      </c>
      <c r="AW42" s="150">
        <v>1.3</v>
      </c>
      <c r="AX42" s="150"/>
      <c r="AY42" s="154"/>
      <c r="AZ42" s="150"/>
      <c r="BA42" s="150"/>
      <c r="BB42" s="150"/>
      <c r="BC42" s="150"/>
      <c r="BD42" s="154"/>
      <c r="BE42" s="150"/>
      <c r="BF42" s="150"/>
      <c r="BG42" s="150"/>
      <c r="BH42" s="150"/>
      <c r="BI42" s="154"/>
    </row>
    <row r="43" spans="1:61" ht="12.75" hidden="1" customHeight="1" outlineLevel="1" x14ac:dyDescent="0.2">
      <c r="A43" s="27" t="s">
        <v>65</v>
      </c>
      <c r="B43" s="2"/>
      <c r="C43" s="62"/>
      <c r="D43" s="62"/>
      <c r="E43" s="62"/>
      <c r="F43" s="154"/>
      <c r="G43" s="155"/>
      <c r="H43" s="155"/>
      <c r="I43" s="155"/>
      <c r="J43" s="155"/>
      <c r="K43" s="154"/>
      <c r="L43" s="155"/>
      <c r="M43" s="155"/>
      <c r="N43" s="155"/>
      <c r="O43" s="155"/>
      <c r="P43" s="154"/>
      <c r="Q43" s="155">
        <v>8</v>
      </c>
      <c r="R43" s="155">
        <v>10</v>
      </c>
      <c r="S43" s="155">
        <v>13</v>
      </c>
      <c r="T43" s="155">
        <v>13</v>
      </c>
      <c r="U43" s="154">
        <f t="shared" si="181"/>
        <v>13</v>
      </c>
      <c r="V43" s="155">
        <v>16</v>
      </c>
      <c r="W43" s="155">
        <v>16</v>
      </c>
      <c r="X43" s="155">
        <v>20</v>
      </c>
      <c r="Y43" s="155">
        <v>24</v>
      </c>
      <c r="Z43" s="154">
        <f t="shared" si="182"/>
        <v>24</v>
      </c>
      <c r="AA43" s="155">
        <v>25</v>
      </c>
      <c r="AB43" s="155">
        <v>29</v>
      </c>
      <c r="AC43" s="155">
        <v>32</v>
      </c>
      <c r="AD43" s="155">
        <v>35</v>
      </c>
      <c r="AE43" s="154">
        <f t="shared" si="183"/>
        <v>35</v>
      </c>
      <c r="AF43" s="155">
        <v>33</v>
      </c>
      <c r="AG43" s="155">
        <v>36</v>
      </c>
      <c r="AH43" s="155">
        <v>41</v>
      </c>
      <c r="AI43" s="155">
        <v>44.1</v>
      </c>
      <c r="AJ43" s="154">
        <f t="shared" si="184"/>
        <v>44.1</v>
      </c>
      <c r="AK43" s="155">
        <v>40.799999999999997</v>
      </c>
      <c r="AL43" s="155">
        <v>42.6</v>
      </c>
      <c r="AM43" s="155">
        <v>44.8</v>
      </c>
      <c r="AN43" s="155">
        <v>48</v>
      </c>
      <c r="AO43" s="154">
        <f t="shared" si="185"/>
        <v>48</v>
      </c>
      <c r="AP43" s="150">
        <v>46.3</v>
      </c>
      <c r="AQ43" s="150">
        <v>45.3</v>
      </c>
      <c r="AR43" s="150">
        <v>48.9</v>
      </c>
      <c r="AS43" s="150">
        <v>51.2</v>
      </c>
      <c r="AT43" s="154">
        <f t="shared" si="186"/>
        <v>51.2</v>
      </c>
      <c r="AU43" s="150">
        <v>50.3</v>
      </c>
      <c r="AV43" s="150">
        <v>52.8</v>
      </c>
      <c r="AW43" s="150">
        <v>55.5</v>
      </c>
      <c r="AX43" s="150"/>
      <c r="AY43" s="154"/>
      <c r="AZ43" s="150"/>
      <c r="BA43" s="150"/>
      <c r="BB43" s="150"/>
      <c r="BC43" s="150"/>
      <c r="BD43" s="154"/>
      <c r="BE43" s="150"/>
      <c r="BF43" s="150"/>
      <c r="BG43" s="150"/>
      <c r="BH43" s="150"/>
      <c r="BI43" s="154"/>
    </row>
    <row r="44" spans="1:61" ht="12.75" hidden="1" customHeight="1" outlineLevel="1" x14ac:dyDescent="0.2">
      <c r="A44" s="27" t="s">
        <v>17</v>
      </c>
      <c r="B44" s="2"/>
      <c r="C44" s="62"/>
      <c r="D44" s="62"/>
      <c r="E44" s="62"/>
      <c r="F44" s="154"/>
      <c r="G44" s="155"/>
      <c r="H44" s="155"/>
      <c r="I44" s="155"/>
      <c r="J44" s="155"/>
      <c r="K44" s="154"/>
      <c r="L44" s="155"/>
      <c r="M44" s="155"/>
      <c r="N44" s="155"/>
      <c r="O44" s="155"/>
      <c r="P44" s="154"/>
      <c r="Q44" s="155">
        <v>-379</v>
      </c>
      <c r="R44" s="155">
        <v>-336</v>
      </c>
      <c r="S44" s="155">
        <v>-291</v>
      </c>
      <c r="T44" s="155">
        <v>-284</v>
      </c>
      <c r="U44" s="154">
        <f t="shared" si="181"/>
        <v>-284</v>
      </c>
      <c r="V44" s="155">
        <v>-231</v>
      </c>
      <c r="W44" s="155">
        <v>-249</v>
      </c>
      <c r="X44" s="155">
        <v>-211</v>
      </c>
      <c r="Y44" s="155">
        <v>-110</v>
      </c>
      <c r="Z44" s="154">
        <f t="shared" si="182"/>
        <v>-110</v>
      </c>
      <c r="AA44" s="155">
        <v>-106</v>
      </c>
      <c r="AB44" s="155">
        <v>-103</v>
      </c>
      <c r="AC44" s="155">
        <v>-29</v>
      </c>
      <c r="AD44" s="155">
        <v>90</v>
      </c>
      <c r="AE44" s="154">
        <f t="shared" si="183"/>
        <v>90</v>
      </c>
      <c r="AF44" s="155">
        <v>123</v>
      </c>
      <c r="AG44" s="155">
        <v>147</v>
      </c>
      <c r="AH44" s="155">
        <v>186</v>
      </c>
      <c r="AI44" s="155">
        <v>282</v>
      </c>
      <c r="AJ44" s="154">
        <f t="shared" si="184"/>
        <v>282</v>
      </c>
      <c r="AK44" s="155">
        <v>254.6</v>
      </c>
      <c r="AL44" s="155">
        <v>1310.2</v>
      </c>
      <c r="AM44" s="155">
        <v>222.2</v>
      </c>
      <c r="AN44" s="155">
        <v>140.69999999999999</v>
      </c>
      <c r="AO44" s="154">
        <f t="shared" si="185"/>
        <v>140.69999999999999</v>
      </c>
      <c r="AP44" s="150">
        <v>-0.2</v>
      </c>
      <c r="AQ44" s="150">
        <v>0.4</v>
      </c>
      <c r="AR44" s="150">
        <v>46.3</v>
      </c>
      <c r="AS44" s="150">
        <v>123.2</v>
      </c>
      <c r="AT44" s="154">
        <f t="shared" si="186"/>
        <v>123.2</v>
      </c>
      <c r="AU44" s="150">
        <v>175.2</v>
      </c>
      <c r="AV44" s="150">
        <v>192.1</v>
      </c>
      <c r="AW44" s="150">
        <v>248.6</v>
      </c>
      <c r="AX44" s="150"/>
      <c r="AY44" s="154"/>
      <c r="AZ44" s="150"/>
      <c r="BA44" s="150"/>
      <c r="BB44" s="150"/>
      <c r="BC44" s="150"/>
      <c r="BD44" s="154"/>
      <c r="BE44" s="150"/>
      <c r="BF44" s="150"/>
      <c r="BG44" s="150"/>
      <c r="BH44" s="150"/>
      <c r="BI44" s="154"/>
    </row>
    <row r="45" spans="1:61" ht="12.75" hidden="1" customHeight="1" outlineLevel="1" x14ac:dyDescent="0.2">
      <c r="A45" s="27" t="s">
        <v>66</v>
      </c>
      <c r="B45" s="2"/>
      <c r="C45" s="62"/>
      <c r="D45" s="62"/>
      <c r="E45" s="62"/>
      <c r="F45" s="154"/>
      <c r="G45" s="155"/>
      <c r="H45" s="155"/>
      <c r="I45" s="155"/>
      <c r="J45" s="155"/>
      <c r="K45" s="154"/>
      <c r="L45" s="155"/>
      <c r="M45" s="155"/>
      <c r="N45" s="155"/>
      <c r="O45" s="155"/>
      <c r="P45" s="154"/>
      <c r="Q45" s="155">
        <v>26</v>
      </c>
      <c r="R45" s="155">
        <v>26</v>
      </c>
      <c r="S45" s="155">
        <v>24</v>
      </c>
      <c r="T45" s="155">
        <v>11</v>
      </c>
      <c r="U45" s="154">
        <f t="shared" si="181"/>
        <v>11</v>
      </c>
      <c r="V45" s="155">
        <v>17</v>
      </c>
      <c r="W45" s="155">
        <v>-6</v>
      </c>
      <c r="X45" s="155">
        <v>1</v>
      </c>
      <c r="Y45" s="155">
        <v>8</v>
      </c>
      <c r="Z45" s="154">
        <f t="shared" si="182"/>
        <v>8</v>
      </c>
      <c r="AA45" s="155">
        <v>24</v>
      </c>
      <c r="AB45" s="155">
        <v>16</v>
      </c>
      <c r="AC45" s="155">
        <v>18</v>
      </c>
      <c r="AD45" s="155">
        <v>8</v>
      </c>
      <c r="AE45" s="154">
        <f t="shared" si="183"/>
        <v>8</v>
      </c>
      <c r="AF45" s="155">
        <v>9</v>
      </c>
      <c r="AG45" s="155">
        <v>15</v>
      </c>
      <c r="AH45" s="155">
        <v>-3</v>
      </c>
      <c r="AI45" s="155">
        <v>-21.3</v>
      </c>
      <c r="AJ45" s="154">
        <f t="shared" si="184"/>
        <v>-21.3</v>
      </c>
      <c r="AK45" s="155">
        <v>-7.8</v>
      </c>
      <c r="AL45" s="155">
        <v>17.899999999999999</v>
      </c>
      <c r="AM45" s="155">
        <v>17</v>
      </c>
      <c r="AN45" s="155">
        <v>13.2</v>
      </c>
      <c r="AO45" s="154">
        <f t="shared" si="185"/>
        <v>13.2</v>
      </c>
      <c r="AP45" s="150">
        <v>17.399999999999999</v>
      </c>
      <c r="AQ45" s="150">
        <v>13.1</v>
      </c>
      <c r="AR45" s="150">
        <v>10</v>
      </c>
      <c r="AS45" s="150">
        <v>9.9</v>
      </c>
      <c r="AT45" s="154">
        <f t="shared" si="186"/>
        <v>9.9</v>
      </c>
      <c r="AU45" s="150">
        <v>3</v>
      </c>
      <c r="AV45" s="150">
        <v>2.5</v>
      </c>
      <c r="AW45" s="150">
        <v>8.1999999999999993</v>
      </c>
      <c r="AX45" s="150"/>
      <c r="AY45" s="154"/>
      <c r="AZ45" s="150"/>
      <c r="BA45" s="150"/>
      <c r="BB45" s="150"/>
      <c r="BC45" s="150"/>
      <c r="BD45" s="154"/>
      <c r="BE45" s="150"/>
      <c r="BF45" s="150"/>
      <c r="BG45" s="150"/>
      <c r="BH45" s="150"/>
      <c r="BI45" s="154"/>
    </row>
    <row r="46" spans="1:61" collapsed="1" x14ac:dyDescent="0.2">
      <c r="A46" s="24" t="s">
        <v>18</v>
      </c>
      <c r="B46" s="2"/>
      <c r="C46" s="62"/>
      <c r="D46" s="62"/>
      <c r="E46" s="62">
        <f>E23-E38</f>
        <v>-330</v>
      </c>
      <c r="F46" s="161">
        <f>F23-F38</f>
        <v>-330</v>
      </c>
      <c r="G46" s="155">
        <v>-286</v>
      </c>
      <c r="H46" s="155">
        <v>-218</v>
      </c>
      <c r="I46" s="155">
        <v>-203</v>
      </c>
      <c r="J46" s="155">
        <f>J23-J38</f>
        <v>-117</v>
      </c>
      <c r="K46" s="161">
        <f>K23-K38</f>
        <v>-117</v>
      </c>
      <c r="L46" s="155">
        <f t="shared" ref="L46:N46" si="187">L23-L38</f>
        <v>-194</v>
      </c>
      <c r="M46" s="155">
        <f t="shared" si="187"/>
        <v>-226</v>
      </c>
      <c r="N46" s="155">
        <f t="shared" si="187"/>
        <v>-288</v>
      </c>
      <c r="O46" s="155">
        <f>O23-O38</f>
        <v>-358</v>
      </c>
      <c r="P46" s="161">
        <f>P23-P38</f>
        <v>-358</v>
      </c>
      <c r="Q46" s="155">
        <f>SUM(Q41:Q45)</f>
        <v>-343</v>
      </c>
      <c r="R46" s="155">
        <f t="shared" ref="R46:V46" si="188">SUM(R41:R45)</f>
        <v>-298</v>
      </c>
      <c r="S46" s="155">
        <f t="shared" si="188"/>
        <v>-252</v>
      </c>
      <c r="T46" s="155">
        <f t="shared" si="188"/>
        <v>-258</v>
      </c>
      <c r="U46" s="161">
        <f>T46</f>
        <v>-258</v>
      </c>
      <c r="V46" s="155">
        <f t="shared" si="188"/>
        <v>-196</v>
      </c>
      <c r="W46" s="155">
        <f t="shared" ref="W46" si="189">SUM(W41:W45)</f>
        <v>-237</v>
      </c>
      <c r="X46" s="155">
        <f t="shared" ref="X46" si="190">SUM(X41:X45)</f>
        <v>-188</v>
      </c>
      <c r="Y46" s="155">
        <f t="shared" ref="Y46" si="191">SUM(Y41:Y45)</f>
        <v>-76</v>
      </c>
      <c r="Z46" s="161">
        <f>Y46</f>
        <v>-76</v>
      </c>
      <c r="AA46" s="155">
        <f t="shared" ref="AA46" si="192">SUM(AA41:AA45)</f>
        <v>-55</v>
      </c>
      <c r="AB46" s="155">
        <f t="shared" ref="AB46" si="193">SUM(AB41:AB45)</f>
        <v>-56</v>
      </c>
      <c r="AC46" s="155">
        <f t="shared" ref="AC46" si="194">SUM(AC41:AC45)</f>
        <v>23</v>
      </c>
      <c r="AD46" s="155">
        <f t="shared" ref="AD46" si="195">SUM(AD41:AD45)</f>
        <v>135</v>
      </c>
      <c r="AE46" s="161">
        <f>AD46</f>
        <v>135</v>
      </c>
      <c r="AF46" s="155">
        <f t="shared" ref="AF46" si="196">SUM(AF41:AF45)</f>
        <v>167</v>
      </c>
      <c r="AG46" s="155">
        <f t="shared" ref="AG46" si="197">SUM(AG41:AG45)</f>
        <v>200</v>
      </c>
      <c r="AH46" s="155">
        <f t="shared" ref="AH46" si="198">SUM(AH41:AH45)</f>
        <v>226</v>
      </c>
      <c r="AI46" s="155">
        <f t="shared" ref="AI46" si="199">SUM(AI41:AI45)</f>
        <v>306.59999999999997</v>
      </c>
      <c r="AJ46" s="161">
        <f>AI46</f>
        <v>306.59999999999997</v>
      </c>
      <c r="AK46" s="155">
        <f>SUM(AK41:AK45)</f>
        <v>289.3</v>
      </c>
      <c r="AL46" s="155">
        <f>SUM(AL41:AL45)</f>
        <v>1372.4</v>
      </c>
      <c r="AM46" s="155">
        <f>SUM(AM41:AM45)</f>
        <v>285.39999999999998</v>
      </c>
      <c r="AN46" s="155">
        <f>SUM(AN41:AN45)</f>
        <v>203.2</v>
      </c>
      <c r="AO46" s="161">
        <f>AN46</f>
        <v>203.2</v>
      </c>
      <c r="AP46" s="155">
        <f>SUM(AP42:AP45)</f>
        <v>64.799999999999983</v>
      </c>
      <c r="AQ46" s="155">
        <f>SUM(AQ42:AQ45)</f>
        <v>60.099999999999994</v>
      </c>
      <c r="AR46" s="155">
        <f>SUM(AR42:AR45)</f>
        <v>106.5</v>
      </c>
      <c r="AS46" s="155">
        <f>SUM(AS42:AS45)</f>
        <v>185.6</v>
      </c>
      <c r="AT46" s="161">
        <f>AS46</f>
        <v>185.6</v>
      </c>
      <c r="AU46" s="155">
        <f>SUM(AU42:AU45)</f>
        <v>229.79999999999998</v>
      </c>
      <c r="AV46" s="155">
        <f>SUM(AV42:AV45)</f>
        <v>248.7</v>
      </c>
      <c r="AW46" s="155">
        <f>SUM(AW42:AW45)</f>
        <v>313.59999999999997</v>
      </c>
      <c r="AX46" s="155">
        <f t="shared" ref="AX46" si="200">AX23-AX38</f>
        <v>338.49999999999955</v>
      </c>
      <c r="AY46" s="161">
        <f>AX46</f>
        <v>338.49999999999955</v>
      </c>
      <c r="AZ46" s="155">
        <v>307.60000000000002</v>
      </c>
      <c r="BA46" s="155">
        <f t="shared" ref="BA46:BC46" si="201">BA23-BA38</f>
        <v>317.75828905931257</v>
      </c>
      <c r="BB46" s="155">
        <f t="shared" si="201"/>
        <v>336.63278047014637</v>
      </c>
      <c r="BC46" s="155">
        <f t="shared" si="201"/>
        <v>353.2745165477736</v>
      </c>
      <c r="BD46" s="161">
        <f>BC46</f>
        <v>353.2745165477736</v>
      </c>
      <c r="BE46" s="155">
        <f>BE23-BE38</f>
        <v>371.6710056397751</v>
      </c>
      <c r="BF46" s="155">
        <f t="shared" ref="BF46:BH46" si="202">BF23-BF38</f>
        <v>392.19152831477959</v>
      </c>
      <c r="BG46" s="155">
        <f t="shared" si="202"/>
        <v>417.08219043751069</v>
      </c>
      <c r="BH46" s="155">
        <f t="shared" si="202"/>
        <v>440.06166598394475</v>
      </c>
      <c r="BI46" s="161">
        <f>BH46</f>
        <v>440.06166598394475</v>
      </c>
    </row>
    <row r="47" spans="1:61" ht="13.5" thickBot="1" x14ac:dyDescent="0.25">
      <c r="A47" s="30" t="s">
        <v>19</v>
      </c>
      <c r="B47" s="26"/>
      <c r="C47" s="65"/>
      <c r="D47" s="65"/>
      <c r="E47" s="65">
        <f t="shared" ref="E47:L47" si="203">E46+E38</f>
        <v>1825</v>
      </c>
      <c r="F47" s="169">
        <f t="shared" si="203"/>
        <v>1825</v>
      </c>
      <c r="G47" s="165">
        <f t="shared" si="203"/>
        <v>1865</v>
      </c>
      <c r="H47" s="165">
        <f t="shared" si="203"/>
        <v>1907</v>
      </c>
      <c r="I47" s="165">
        <f t="shared" si="203"/>
        <v>1960</v>
      </c>
      <c r="J47" s="165">
        <f t="shared" si="203"/>
        <v>1915</v>
      </c>
      <c r="K47" s="169">
        <f t="shared" si="203"/>
        <v>1915</v>
      </c>
      <c r="L47" s="165">
        <f t="shared" si="203"/>
        <v>1827</v>
      </c>
      <c r="M47" s="165">
        <f t="shared" ref="M47" si="204">M46+M38</f>
        <v>1869</v>
      </c>
      <c r="N47" s="165">
        <f t="shared" ref="N47" si="205">N46+N38</f>
        <v>1849</v>
      </c>
      <c r="O47" s="165">
        <f t="shared" ref="O47" si="206">O46+O38</f>
        <v>1854</v>
      </c>
      <c r="P47" s="169"/>
      <c r="Q47" s="165">
        <f>Q46+Q38</f>
        <v>1832</v>
      </c>
      <c r="R47" s="165">
        <f t="shared" ref="R47:T47" si="207">R46+R38</f>
        <v>1914</v>
      </c>
      <c r="S47" s="165">
        <f t="shared" si="207"/>
        <v>2000</v>
      </c>
      <c r="T47" s="165">
        <f t="shared" si="207"/>
        <v>2064</v>
      </c>
      <c r="U47" s="169">
        <f>U46+U38</f>
        <v>2064</v>
      </c>
      <c r="V47" s="165">
        <f>V46+V38</f>
        <v>2417</v>
      </c>
      <c r="W47" s="165">
        <f t="shared" ref="W47" si="208">W46+W38</f>
        <v>2917</v>
      </c>
      <c r="X47" s="165">
        <f t="shared" ref="X47" si="209">X46+X38</f>
        <v>2963</v>
      </c>
      <c r="Y47" s="165">
        <f t="shared" ref="Y47" si="210">Y46+Y38</f>
        <v>3051</v>
      </c>
      <c r="Z47" s="169">
        <f>Z46+Z38</f>
        <v>3051</v>
      </c>
      <c r="AA47" s="165">
        <f>AA46+AA38</f>
        <v>3156</v>
      </c>
      <c r="AB47" s="165">
        <f t="shared" ref="AB47" si="211">AB46+AB38</f>
        <v>2942</v>
      </c>
      <c r="AC47" s="165">
        <f t="shared" ref="AC47" si="212">AC46+AC38</f>
        <v>3049</v>
      </c>
      <c r="AD47" s="165">
        <f t="shared" ref="AD47" si="213">AD46+AD38</f>
        <v>3191</v>
      </c>
      <c r="AE47" s="169">
        <f>AE46+AE38</f>
        <v>3191</v>
      </c>
      <c r="AF47" s="165">
        <f>AF46+AF38</f>
        <v>3183</v>
      </c>
      <c r="AG47" s="165">
        <f t="shared" ref="AG47" si="214">AG46+AG38</f>
        <v>3248</v>
      </c>
      <c r="AH47" s="165">
        <f t="shared" ref="AH47" si="215">AH46+AH38</f>
        <v>3348</v>
      </c>
      <c r="AI47" s="165">
        <f t="shared" ref="AI47" si="216">AI46+AI38</f>
        <v>3417</v>
      </c>
      <c r="AJ47" s="169">
        <f>AJ46+AJ38</f>
        <v>3417</v>
      </c>
      <c r="AK47" s="165">
        <f>AK46+AK38</f>
        <v>3551.5</v>
      </c>
      <c r="AL47" s="165">
        <f>AL46+AL38</f>
        <v>4280.3999999999996</v>
      </c>
      <c r="AM47" s="165">
        <f t="shared" ref="AM47:AN47" si="217">AM46+AM38</f>
        <v>2985.5</v>
      </c>
      <c r="AN47" s="165">
        <f t="shared" si="217"/>
        <v>2889.9</v>
      </c>
      <c r="AO47" s="169">
        <f>AO46+AO38</f>
        <v>2889.9</v>
      </c>
      <c r="AP47" s="165">
        <f>AP46+AP38</f>
        <v>2709.3000000000006</v>
      </c>
      <c r="AQ47" s="165">
        <f t="shared" ref="AQ47:AS47" si="218">AQ46+AQ38</f>
        <v>2763</v>
      </c>
      <c r="AR47" s="165">
        <f t="shared" ref="AR47" si="219">AR46+AR38</f>
        <v>2375.6</v>
      </c>
      <c r="AS47" s="165">
        <f t="shared" si="218"/>
        <v>2438.6999999999998</v>
      </c>
      <c r="AT47" s="169">
        <f>AT46+AT38</f>
        <v>2438.6999999999998</v>
      </c>
      <c r="AU47" s="165">
        <f>AU46+AU38</f>
        <v>2349.8000000000002</v>
      </c>
      <c r="AV47" s="165">
        <f t="shared" ref="AV47:AW47" si="220">AV46+AV38</f>
        <v>2452.6</v>
      </c>
      <c r="AW47" s="165">
        <f t="shared" si="220"/>
        <v>2561.6</v>
      </c>
      <c r="AX47" s="165">
        <f t="shared" ref="AX47" si="221">AX46+AX38</f>
        <v>2670.3999999999996</v>
      </c>
      <c r="AY47" s="169">
        <f>AY46+AY38</f>
        <v>2670.3999999999996</v>
      </c>
      <c r="AZ47" s="165">
        <f>AZ46+AZ38</f>
        <v>3402.1</v>
      </c>
      <c r="BA47" s="165">
        <f t="shared" ref="BA47:BC47" si="222">BA46+BA38</f>
        <v>3404.7436740084599</v>
      </c>
      <c r="BB47" s="165">
        <f t="shared" si="222"/>
        <v>3414.3007426914319</v>
      </c>
      <c r="BC47" s="165">
        <f t="shared" si="222"/>
        <v>3421.7206102663176</v>
      </c>
      <c r="BD47" s="169">
        <f>BD46+BD38</f>
        <v>3421.7206102663176</v>
      </c>
      <c r="BE47" s="165">
        <f>BE46+BE38</f>
        <v>3429.7988318120956</v>
      </c>
      <c r="BF47" s="165">
        <f t="shared" ref="BF47:BH47" si="223">BF46+BF38</f>
        <v>3438.3467514540448</v>
      </c>
      <c r="BG47" s="165">
        <f t="shared" si="223"/>
        <v>3448.6633655597093</v>
      </c>
      <c r="BH47" s="165">
        <f t="shared" si="223"/>
        <v>3460.6347446253139</v>
      </c>
      <c r="BI47" s="169">
        <f>BI46+BI38</f>
        <v>3460.6347446253139</v>
      </c>
    </row>
    <row r="48" spans="1:61" ht="13.5" thickTop="1" x14ac:dyDescent="0.2">
      <c r="T48" s="59"/>
      <c r="AD48" s="59">
        <f>AD47-AD23</f>
        <v>0</v>
      </c>
    </row>
    <row r="49" spans="1:61" ht="12.75" customHeight="1" x14ac:dyDescent="0.2">
      <c r="A49" s="32" t="s">
        <v>20</v>
      </c>
      <c r="AM49" s="33"/>
    </row>
    <row r="50" spans="1:61" s="17" customFormat="1" ht="12.75" customHeight="1" x14ac:dyDescent="0.2">
      <c r="A50" s="34" t="s">
        <v>21</v>
      </c>
      <c r="B50" s="16"/>
      <c r="C50" s="16"/>
      <c r="D50" s="16"/>
      <c r="E50" s="16"/>
      <c r="F50" s="155">
        <f>F11</f>
        <v>172</v>
      </c>
      <c r="G50" s="155">
        <f t="shared" ref="G50:AT50" si="224">G11</f>
        <v>236</v>
      </c>
      <c r="H50" s="155">
        <f t="shared" si="224"/>
        <v>135</v>
      </c>
      <c r="I50" s="155">
        <f t="shared" si="224"/>
        <v>132</v>
      </c>
      <c r="J50" s="155">
        <f t="shared" si="224"/>
        <v>201</v>
      </c>
      <c r="K50" s="155">
        <f t="shared" si="224"/>
        <v>201</v>
      </c>
      <c r="L50" s="155">
        <f t="shared" si="224"/>
        <v>115</v>
      </c>
      <c r="M50" s="155">
        <f t="shared" si="224"/>
        <v>127</v>
      </c>
      <c r="N50" s="155">
        <f t="shared" si="224"/>
        <v>107</v>
      </c>
      <c r="O50" s="155">
        <f t="shared" si="224"/>
        <v>96</v>
      </c>
      <c r="P50" s="155">
        <f t="shared" si="224"/>
        <v>96</v>
      </c>
      <c r="Q50" s="155">
        <f t="shared" si="224"/>
        <v>99</v>
      </c>
      <c r="R50" s="155">
        <f t="shared" si="224"/>
        <v>114</v>
      </c>
      <c r="S50" s="155">
        <f t="shared" si="224"/>
        <v>126</v>
      </c>
      <c r="T50" s="155">
        <f t="shared" si="224"/>
        <v>159</v>
      </c>
      <c r="U50" s="155">
        <f t="shared" si="224"/>
        <v>159</v>
      </c>
      <c r="V50" s="155">
        <f t="shared" si="224"/>
        <v>162</v>
      </c>
      <c r="W50" s="155">
        <f t="shared" si="224"/>
        <v>774</v>
      </c>
      <c r="X50" s="155">
        <f t="shared" si="224"/>
        <v>751</v>
      </c>
      <c r="Y50" s="155">
        <f t="shared" si="224"/>
        <v>760</v>
      </c>
      <c r="Z50" s="155">
        <f t="shared" si="224"/>
        <v>760</v>
      </c>
      <c r="AA50" s="155">
        <f t="shared" si="224"/>
        <v>527</v>
      </c>
      <c r="AB50" s="155">
        <f t="shared" si="224"/>
        <v>247</v>
      </c>
      <c r="AC50" s="155">
        <f t="shared" si="224"/>
        <v>226</v>
      </c>
      <c r="AD50" s="155">
        <f t="shared" si="224"/>
        <v>230</v>
      </c>
      <c r="AE50" s="155">
        <f t="shared" si="224"/>
        <v>230</v>
      </c>
      <c r="AF50" s="155">
        <f t="shared" si="224"/>
        <v>152</v>
      </c>
      <c r="AG50" s="155">
        <f t="shared" si="224"/>
        <v>118</v>
      </c>
      <c r="AH50" s="155">
        <f t="shared" si="224"/>
        <v>98</v>
      </c>
      <c r="AI50" s="155">
        <f t="shared" si="224"/>
        <v>23.4</v>
      </c>
      <c r="AJ50" s="155">
        <f t="shared" si="224"/>
        <v>23.4</v>
      </c>
      <c r="AK50" s="155">
        <f t="shared" si="224"/>
        <v>21</v>
      </c>
      <c r="AL50" s="155">
        <f t="shared" si="224"/>
        <v>2334.5</v>
      </c>
      <c r="AM50" s="155">
        <f t="shared" si="224"/>
        <v>526.70000000000005</v>
      </c>
      <c r="AN50" s="155">
        <f t="shared" si="224"/>
        <v>409.1</v>
      </c>
      <c r="AO50" s="155">
        <f t="shared" si="224"/>
        <v>409.1</v>
      </c>
      <c r="AP50" s="155">
        <f t="shared" si="224"/>
        <v>420.7</v>
      </c>
      <c r="AQ50" s="155">
        <f t="shared" si="224"/>
        <v>494.5</v>
      </c>
      <c r="AR50" s="155">
        <f t="shared" si="224"/>
        <v>65.7</v>
      </c>
      <c r="AS50" s="155">
        <f t="shared" si="224"/>
        <v>68.3</v>
      </c>
      <c r="AT50" s="155">
        <f t="shared" si="224"/>
        <v>68.3</v>
      </c>
      <c r="AU50" s="155">
        <f t="shared" ref="AU50:AY50" si="225">AU11</f>
        <v>60</v>
      </c>
      <c r="AV50" s="155">
        <f t="shared" si="225"/>
        <v>61.9</v>
      </c>
      <c r="AW50" s="155">
        <f t="shared" si="225"/>
        <v>68.3</v>
      </c>
      <c r="AX50" s="155">
        <f t="shared" si="225"/>
        <v>51.6</v>
      </c>
      <c r="AY50" s="155">
        <f t="shared" si="225"/>
        <v>51.6</v>
      </c>
      <c r="AZ50" s="155">
        <f t="shared" ref="AZ50:BD50" si="226">AZ11</f>
        <v>69.900000000000006</v>
      </c>
      <c r="BA50" s="155">
        <f t="shared" si="226"/>
        <v>71.058485827368102</v>
      </c>
      <c r="BB50" s="155">
        <f t="shared" si="226"/>
        <v>74.260015804524329</v>
      </c>
      <c r="BC50" s="155">
        <f t="shared" si="226"/>
        <v>76.878198527627745</v>
      </c>
      <c r="BD50" s="155">
        <f t="shared" si="226"/>
        <v>76.878198527627745</v>
      </c>
      <c r="BE50" s="155">
        <f t="shared" ref="BE50:BI50" si="227">BE11</f>
        <v>79.015503813388648</v>
      </c>
      <c r="BF50" s="155">
        <f t="shared" si="227"/>
        <v>81.348377123875736</v>
      </c>
      <c r="BG50" s="155">
        <f t="shared" si="227"/>
        <v>84.509122465245696</v>
      </c>
      <c r="BH50" s="155">
        <f t="shared" si="227"/>
        <v>88.150574441665796</v>
      </c>
      <c r="BI50" s="155">
        <f t="shared" si="227"/>
        <v>88.150574441665796</v>
      </c>
    </row>
    <row r="51" spans="1:61" ht="12.75" customHeight="1" x14ac:dyDescent="0.2">
      <c r="A51" s="34" t="s">
        <v>22</v>
      </c>
      <c r="B51" s="2"/>
      <c r="C51" s="2"/>
      <c r="D51" s="2"/>
      <c r="E51" s="2"/>
      <c r="F51" s="193">
        <f>F34+F27</f>
        <v>743</v>
      </c>
      <c r="G51" s="193">
        <f t="shared" ref="G51:AT51" si="228">G34+G27</f>
        <v>740</v>
      </c>
      <c r="H51" s="193">
        <f t="shared" si="228"/>
        <v>737</v>
      </c>
      <c r="I51" s="193">
        <f t="shared" si="228"/>
        <v>733</v>
      </c>
      <c r="J51" s="193">
        <f t="shared" si="228"/>
        <v>1124</v>
      </c>
      <c r="K51" s="193">
        <f t="shared" si="228"/>
        <v>1124</v>
      </c>
      <c r="L51" s="193">
        <f t="shared" si="228"/>
        <v>1166</v>
      </c>
      <c r="M51" s="193">
        <f t="shared" si="228"/>
        <v>1206</v>
      </c>
      <c r="N51" s="193">
        <f t="shared" si="228"/>
        <v>1257</v>
      </c>
      <c r="O51" s="193">
        <f t="shared" si="228"/>
        <v>1322</v>
      </c>
      <c r="P51" s="193">
        <f t="shared" si="228"/>
        <v>1322</v>
      </c>
      <c r="Q51" s="193">
        <f t="shared" si="228"/>
        <v>1321</v>
      </c>
      <c r="R51" s="193">
        <f t="shared" si="228"/>
        <v>1348</v>
      </c>
      <c r="S51" s="193">
        <f t="shared" si="228"/>
        <v>1341</v>
      </c>
      <c r="T51" s="193">
        <f t="shared" si="228"/>
        <v>1342</v>
      </c>
      <c r="U51" s="193">
        <f t="shared" si="228"/>
        <v>1342</v>
      </c>
      <c r="V51" s="193">
        <f t="shared" si="228"/>
        <v>1352</v>
      </c>
      <c r="W51" s="193">
        <f t="shared" si="228"/>
        <v>2003</v>
      </c>
      <c r="X51" s="193">
        <f t="shared" si="228"/>
        <v>1953</v>
      </c>
      <c r="Y51" s="193">
        <f t="shared" si="228"/>
        <v>1962</v>
      </c>
      <c r="Z51" s="193">
        <f t="shared" si="228"/>
        <v>1962</v>
      </c>
      <c r="AA51" s="193">
        <f t="shared" si="228"/>
        <v>1975</v>
      </c>
      <c r="AB51" s="193">
        <f t="shared" si="228"/>
        <v>1720</v>
      </c>
      <c r="AC51" s="193">
        <f t="shared" si="228"/>
        <v>1693</v>
      </c>
      <c r="AD51" s="193">
        <f t="shared" si="228"/>
        <v>1694</v>
      </c>
      <c r="AE51" s="193">
        <f t="shared" si="228"/>
        <v>1694</v>
      </c>
      <c r="AF51" s="193">
        <f t="shared" si="228"/>
        <v>1694</v>
      </c>
      <c r="AG51" s="193">
        <f t="shared" si="228"/>
        <v>1695</v>
      </c>
      <c r="AH51" s="193">
        <f t="shared" si="228"/>
        <v>1700</v>
      </c>
      <c r="AI51" s="193">
        <f t="shared" si="228"/>
        <v>1687.6</v>
      </c>
      <c r="AJ51" s="193">
        <f t="shared" si="228"/>
        <v>1687.6</v>
      </c>
      <c r="AK51" s="193">
        <f t="shared" si="228"/>
        <v>1880.6</v>
      </c>
      <c r="AL51" s="193">
        <f t="shared" si="228"/>
        <v>1597.2</v>
      </c>
      <c r="AM51" s="193">
        <f t="shared" si="228"/>
        <v>1591.5</v>
      </c>
      <c r="AN51" s="193">
        <f t="shared" si="228"/>
        <v>1586.1</v>
      </c>
      <c r="AO51" s="193">
        <f t="shared" si="228"/>
        <v>1586.1</v>
      </c>
      <c r="AP51" s="193">
        <f t="shared" si="228"/>
        <v>1580.6</v>
      </c>
      <c r="AQ51" s="193">
        <f t="shared" si="228"/>
        <v>1575.1</v>
      </c>
      <c r="AR51" s="193">
        <f t="shared" si="228"/>
        <v>1149.5</v>
      </c>
      <c r="AS51" s="193">
        <f t="shared" si="228"/>
        <v>1093.8</v>
      </c>
      <c r="AT51" s="193">
        <f t="shared" si="228"/>
        <v>1093.8</v>
      </c>
      <c r="AU51" s="193">
        <f t="shared" ref="AU51:AY51" si="229">AU34+AU27</f>
        <v>1033.0999999999999</v>
      </c>
      <c r="AV51" s="193">
        <f t="shared" si="229"/>
        <v>1075.7</v>
      </c>
      <c r="AW51" s="193">
        <f t="shared" si="229"/>
        <v>1079.7</v>
      </c>
      <c r="AX51" s="193">
        <f t="shared" si="229"/>
        <v>1074</v>
      </c>
      <c r="AY51" s="193">
        <f t="shared" si="229"/>
        <v>1074</v>
      </c>
      <c r="AZ51" s="193">
        <f t="shared" ref="AZ51:BD51" si="230">AZ34+AZ27</f>
        <v>1664.8</v>
      </c>
      <c r="BA51" s="193">
        <f t="shared" si="230"/>
        <v>1654.8</v>
      </c>
      <c r="BB51" s="193">
        <f t="shared" si="230"/>
        <v>1644.8</v>
      </c>
      <c r="BC51" s="193">
        <f t="shared" si="230"/>
        <v>1634.8</v>
      </c>
      <c r="BD51" s="193">
        <f t="shared" si="230"/>
        <v>1634.8</v>
      </c>
      <c r="BE51" s="193">
        <f t="shared" ref="BE51:BI51" si="231">BE34+BE27</f>
        <v>1619.8</v>
      </c>
      <c r="BF51" s="193">
        <f t="shared" si="231"/>
        <v>1604.8</v>
      </c>
      <c r="BG51" s="193">
        <f t="shared" si="231"/>
        <v>1589.8</v>
      </c>
      <c r="BH51" s="193">
        <f t="shared" si="231"/>
        <v>1574.8</v>
      </c>
      <c r="BI51" s="193">
        <f t="shared" si="231"/>
        <v>1574.8</v>
      </c>
    </row>
    <row r="52" spans="1:61" ht="12.75" customHeight="1" x14ac:dyDescent="0.2">
      <c r="A52" s="34" t="s">
        <v>199</v>
      </c>
      <c r="B52" s="2"/>
      <c r="C52" s="2"/>
      <c r="D52" s="2"/>
      <c r="E52" s="2"/>
      <c r="F52" s="193">
        <f>F51-F50</f>
        <v>571</v>
      </c>
      <c r="G52" s="193">
        <f t="shared" ref="G52:AT52" si="232">G51-G50</f>
        <v>504</v>
      </c>
      <c r="H52" s="193">
        <f t="shared" si="232"/>
        <v>602</v>
      </c>
      <c r="I52" s="193">
        <f t="shared" si="232"/>
        <v>601</v>
      </c>
      <c r="J52" s="193">
        <f t="shared" si="232"/>
        <v>923</v>
      </c>
      <c r="K52" s="193">
        <f t="shared" si="232"/>
        <v>923</v>
      </c>
      <c r="L52" s="193">
        <f t="shared" si="232"/>
        <v>1051</v>
      </c>
      <c r="M52" s="193">
        <f t="shared" si="232"/>
        <v>1079</v>
      </c>
      <c r="N52" s="193">
        <f t="shared" si="232"/>
        <v>1150</v>
      </c>
      <c r="O52" s="193">
        <f t="shared" si="232"/>
        <v>1226</v>
      </c>
      <c r="P52" s="193">
        <f t="shared" si="232"/>
        <v>1226</v>
      </c>
      <c r="Q52" s="193">
        <f t="shared" si="232"/>
        <v>1222</v>
      </c>
      <c r="R52" s="193">
        <f t="shared" si="232"/>
        <v>1234</v>
      </c>
      <c r="S52" s="193">
        <f t="shared" si="232"/>
        <v>1215</v>
      </c>
      <c r="T52" s="193">
        <f t="shared" si="232"/>
        <v>1183</v>
      </c>
      <c r="U52" s="193">
        <f t="shared" si="232"/>
        <v>1183</v>
      </c>
      <c r="V52" s="193">
        <f t="shared" si="232"/>
        <v>1190</v>
      </c>
      <c r="W52" s="193">
        <f t="shared" si="232"/>
        <v>1229</v>
      </c>
      <c r="X52" s="193">
        <f t="shared" si="232"/>
        <v>1202</v>
      </c>
      <c r="Y52" s="193">
        <f t="shared" si="232"/>
        <v>1202</v>
      </c>
      <c r="Z52" s="193">
        <f t="shared" si="232"/>
        <v>1202</v>
      </c>
      <c r="AA52" s="193">
        <f t="shared" si="232"/>
        <v>1448</v>
      </c>
      <c r="AB52" s="193">
        <f t="shared" si="232"/>
        <v>1473</v>
      </c>
      <c r="AC52" s="193">
        <f t="shared" si="232"/>
        <v>1467</v>
      </c>
      <c r="AD52" s="193">
        <f t="shared" si="232"/>
        <v>1464</v>
      </c>
      <c r="AE52" s="193">
        <f t="shared" si="232"/>
        <v>1464</v>
      </c>
      <c r="AF52" s="193">
        <f t="shared" si="232"/>
        <v>1542</v>
      </c>
      <c r="AG52" s="193">
        <f t="shared" si="232"/>
        <v>1577</v>
      </c>
      <c r="AH52" s="193">
        <f t="shared" si="232"/>
        <v>1602</v>
      </c>
      <c r="AI52" s="193">
        <f t="shared" si="232"/>
        <v>1664.1999999999998</v>
      </c>
      <c r="AJ52" s="193">
        <f t="shared" si="232"/>
        <v>1664.1999999999998</v>
      </c>
      <c r="AK52" s="193">
        <f t="shared" si="232"/>
        <v>1859.6</v>
      </c>
      <c r="AL52" s="193">
        <f t="shared" si="232"/>
        <v>-737.3</v>
      </c>
      <c r="AM52" s="193">
        <f>AM51-AM50</f>
        <v>1064.8</v>
      </c>
      <c r="AN52" s="193">
        <f t="shared" si="232"/>
        <v>1177</v>
      </c>
      <c r="AO52" s="193">
        <f t="shared" si="232"/>
        <v>1177</v>
      </c>
      <c r="AP52" s="193">
        <f t="shared" si="232"/>
        <v>1159.8999999999999</v>
      </c>
      <c r="AQ52" s="193">
        <f t="shared" si="232"/>
        <v>1080.5999999999999</v>
      </c>
      <c r="AR52" s="193">
        <f t="shared" si="232"/>
        <v>1083.8</v>
      </c>
      <c r="AS52" s="193">
        <f t="shared" si="232"/>
        <v>1025.5</v>
      </c>
      <c r="AT52" s="193">
        <f t="shared" si="232"/>
        <v>1025.5</v>
      </c>
      <c r="AU52" s="193">
        <f t="shared" ref="AU52:AY52" si="233">AU51-AU50</f>
        <v>973.09999999999991</v>
      </c>
      <c r="AV52" s="193">
        <f t="shared" si="233"/>
        <v>1013.8000000000001</v>
      </c>
      <c r="AW52" s="193">
        <f t="shared" si="233"/>
        <v>1011.4000000000001</v>
      </c>
      <c r="AX52" s="193">
        <f t="shared" si="233"/>
        <v>1022.4</v>
      </c>
      <c r="AY52" s="193">
        <f t="shared" si="233"/>
        <v>1022.4</v>
      </c>
      <c r="AZ52" s="193">
        <f t="shared" ref="AZ52:BD52" si="234">AZ51-AZ50</f>
        <v>1594.8999999999999</v>
      </c>
      <c r="BA52" s="193">
        <f t="shared" si="234"/>
        <v>1583.7415141726319</v>
      </c>
      <c r="BB52" s="193">
        <f t="shared" si="234"/>
        <v>1570.5399841954757</v>
      </c>
      <c r="BC52" s="193">
        <f t="shared" si="234"/>
        <v>1557.9218014723722</v>
      </c>
      <c r="BD52" s="193">
        <f t="shared" si="234"/>
        <v>1557.9218014723722</v>
      </c>
      <c r="BE52" s="193">
        <f t="shared" ref="BE52:BI52" si="235">BE51-BE50</f>
        <v>1540.7844961866112</v>
      </c>
      <c r="BF52" s="193">
        <f t="shared" si="235"/>
        <v>1523.4516228761242</v>
      </c>
      <c r="BG52" s="193">
        <f t="shared" si="235"/>
        <v>1505.2908775347541</v>
      </c>
      <c r="BH52" s="193">
        <f t="shared" si="235"/>
        <v>1486.6494255583341</v>
      </c>
      <c r="BI52" s="193">
        <f t="shared" si="235"/>
        <v>1486.6494255583341</v>
      </c>
    </row>
    <row r="53" spans="1:61" ht="12.75" customHeight="1" x14ac:dyDescent="0.2">
      <c r="A53" s="34" t="s">
        <v>23</v>
      </c>
      <c r="B53" s="2"/>
      <c r="C53" s="2"/>
      <c r="D53" s="2"/>
      <c r="E53" s="2"/>
      <c r="F53" s="193">
        <f>F51+F46</f>
        <v>413</v>
      </c>
      <c r="G53" s="193">
        <f t="shared" ref="G53:AT53" si="236">G51+G46</f>
        <v>454</v>
      </c>
      <c r="H53" s="193">
        <f t="shared" si="236"/>
        <v>519</v>
      </c>
      <c r="I53" s="193">
        <f t="shared" si="236"/>
        <v>530</v>
      </c>
      <c r="J53" s="193">
        <f t="shared" si="236"/>
        <v>1007</v>
      </c>
      <c r="K53" s="193">
        <f t="shared" si="236"/>
        <v>1007</v>
      </c>
      <c r="L53" s="193">
        <f t="shared" si="236"/>
        <v>972</v>
      </c>
      <c r="M53" s="193">
        <f t="shared" si="236"/>
        <v>980</v>
      </c>
      <c r="N53" s="193">
        <f t="shared" si="236"/>
        <v>969</v>
      </c>
      <c r="O53" s="193">
        <f t="shared" si="236"/>
        <v>964</v>
      </c>
      <c r="P53" s="193">
        <f t="shared" si="236"/>
        <v>964</v>
      </c>
      <c r="Q53" s="193">
        <f t="shared" si="236"/>
        <v>978</v>
      </c>
      <c r="R53" s="193">
        <f t="shared" si="236"/>
        <v>1050</v>
      </c>
      <c r="S53" s="193">
        <f t="shared" si="236"/>
        <v>1089</v>
      </c>
      <c r="T53" s="193">
        <f t="shared" si="236"/>
        <v>1084</v>
      </c>
      <c r="U53" s="193">
        <f t="shared" si="236"/>
        <v>1084</v>
      </c>
      <c r="V53" s="193">
        <f t="shared" si="236"/>
        <v>1156</v>
      </c>
      <c r="W53" s="193">
        <f t="shared" si="236"/>
        <v>1766</v>
      </c>
      <c r="X53" s="193">
        <f t="shared" si="236"/>
        <v>1765</v>
      </c>
      <c r="Y53" s="193">
        <f t="shared" si="236"/>
        <v>1886</v>
      </c>
      <c r="Z53" s="193">
        <f t="shared" si="236"/>
        <v>1886</v>
      </c>
      <c r="AA53" s="193">
        <f t="shared" si="236"/>
        <v>1920</v>
      </c>
      <c r="AB53" s="193">
        <f t="shared" si="236"/>
        <v>1664</v>
      </c>
      <c r="AC53" s="193">
        <f t="shared" si="236"/>
        <v>1716</v>
      </c>
      <c r="AD53" s="193">
        <f t="shared" si="236"/>
        <v>1829</v>
      </c>
      <c r="AE53" s="193">
        <f t="shared" si="236"/>
        <v>1829</v>
      </c>
      <c r="AF53" s="193">
        <f t="shared" si="236"/>
        <v>1861</v>
      </c>
      <c r="AG53" s="193">
        <f t="shared" si="236"/>
        <v>1895</v>
      </c>
      <c r="AH53" s="193">
        <f t="shared" si="236"/>
        <v>1926</v>
      </c>
      <c r="AI53" s="193">
        <f t="shared" si="236"/>
        <v>1994.1999999999998</v>
      </c>
      <c r="AJ53" s="193">
        <f t="shared" si="236"/>
        <v>1994.1999999999998</v>
      </c>
      <c r="AK53" s="193">
        <f t="shared" si="236"/>
        <v>2169.9</v>
      </c>
      <c r="AL53" s="193">
        <f t="shared" si="236"/>
        <v>2969.6000000000004</v>
      </c>
      <c r="AM53" s="193">
        <f>AM51+AM46</f>
        <v>1876.9</v>
      </c>
      <c r="AN53" s="193">
        <f t="shared" si="236"/>
        <v>1789.3</v>
      </c>
      <c r="AO53" s="193">
        <f t="shared" si="236"/>
        <v>1789.3</v>
      </c>
      <c r="AP53" s="193">
        <f t="shared" si="236"/>
        <v>1645.3999999999999</v>
      </c>
      <c r="AQ53" s="193">
        <f t="shared" si="236"/>
        <v>1635.1999999999998</v>
      </c>
      <c r="AR53" s="193">
        <f t="shared" si="236"/>
        <v>1256</v>
      </c>
      <c r="AS53" s="193">
        <f t="shared" si="236"/>
        <v>1279.3999999999999</v>
      </c>
      <c r="AT53" s="193">
        <f t="shared" si="236"/>
        <v>1279.3999999999999</v>
      </c>
      <c r="AU53" s="193">
        <f t="shared" ref="AU53:AY53" si="237">AU51+AU46</f>
        <v>1262.8999999999999</v>
      </c>
      <c r="AV53" s="193">
        <f t="shared" si="237"/>
        <v>1324.4</v>
      </c>
      <c r="AW53" s="193">
        <f t="shared" si="237"/>
        <v>1393.3</v>
      </c>
      <c r="AX53" s="193">
        <f t="shared" si="237"/>
        <v>1412.4999999999995</v>
      </c>
      <c r="AY53" s="193">
        <f t="shared" si="237"/>
        <v>1412.4999999999995</v>
      </c>
      <c r="AZ53" s="193">
        <f t="shared" ref="AZ53:BD53" si="238">AZ51+AZ46</f>
        <v>1972.4</v>
      </c>
      <c r="BA53" s="193">
        <f t="shared" si="238"/>
        <v>1972.5582890593125</v>
      </c>
      <c r="BB53" s="193">
        <f t="shared" si="238"/>
        <v>1981.4327804701463</v>
      </c>
      <c r="BC53" s="193">
        <f t="shared" si="238"/>
        <v>1988.0745165477736</v>
      </c>
      <c r="BD53" s="193">
        <f t="shared" si="238"/>
        <v>1988.0745165477736</v>
      </c>
      <c r="BE53" s="193">
        <f t="shared" ref="BE53:BI53" si="239">BE51+BE46</f>
        <v>1991.4710056397751</v>
      </c>
      <c r="BF53" s="193">
        <f t="shared" si="239"/>
        <v>1996.9915283147795</v>
      </c>
      <c r="BG53" s="193">
        <f t="shared" si="239"/>
        <v>2006.8821904375106</v>
      </c>
      <c r="BH53" s="193">
        <f t="shared" si="239"/>
        <v>2014.8616659839447</v>
      </c>
      <c r="BI53" s="193">
        <f t="shared" si="239"/>
        <v>2014.8616659839447</v>
      </c>
    </row>
    <row r="54" spans="1:61" ht="12.75" customHeight="1" x14ac:dyDescent="0.2">
      <c r="A54" s="34" t="s">
        <v>24</v>
      </c>
      <c r="B54" s="2"/>
      <c r="C54" s="2"/>
      <c r="D54" s="2"/>
      <c r="E54" s="2"/>
      <c r="F54" s="193">
        <f>F46</f>
        <v>-330</v>
      </c>
      <c r="G54" s="193">
        <f t="shared" ref="G54:AT54" si="240">G46</f>
        <v>-286</v>
      </c>
      <c r="H54" s="193">
        <f t="shared" si="240"/>
        <v>-218</v>
      </c>
      <c r="I54" s="193">
        <f t="shared" si="240"/>
        <v>-203</v>
      </c>
      <c r="J54" s="193">
        <f t="shared" si="240"/>
        <v>-117</v>
      </c>
      <c r="K54" s="193">
        <f t="shared" si="240"/>
        <v>-117</v>
      </c>
      <c r="L54" s="193">
        <f t="shared" si="240"/>
        <v>-194</v>
      </c>
      <c r="M54" s="193">
        <f t="shared" si="240"/>
        <v>-226</v>
      </c>
      <c r="N54" s="193">
        <f t="shared" si="240"/>
        <v>-288</v>
      </c>
      <c r="O54" s="193">
        <f t="shared" si="240"/>
        <v>-358</v>
      </c>
      <c r="P54" s="193">
        <f t="shared" si="240"/>
        <v>-358</v>
      </c>
      <c r="Q54" s="193">
        <f t="shared" si="240"/>
        <v>-343</v>
      </c>
      <c r="R54" s="193">
        <f t="shared" si="240"/>
        <v>-298</v>
      </c>
      <c r="S54" s="193">
        <f t="shared" si="240"/>
        <v>-252</v>
      </c>
      <c r="T54" s="193">
        <f t="shared" si="240"/>
        <v>-258</v>
      </c>
      <c r="U54" s="193">
        <f t="shared" si="240"/>
        <v>-258</v>
      </c>
      <c r="V54" s="193">
        <f t="shared" si="240"/>
        <v>-196</v>
      </c>
      <c r="W54" s="193">
        <f t="shared" si="240"/>
        <v>-237</v>
      </c>
      <c r="X54" s="193">
        <f t="shared" si="240"/>
        <v>-188</v>
      </c>
      <c r="Y54" s="193">
        <f t="shared" si="240"/>
        <v>-76</v>
      </c>
      <c r="Z54" s="193">
        <f t="shared" si="240"/>
        <v>-76</v>
      </c>
      <c r="AA54" s="193">
        <f t="shared" si="240"/>
        <v>-55</v>
      </c>
      <c r="AB54" s="193">
        <f t="shared" si="240"/>
        <v>-56</v>
      </c>
      <c r="AC54" s="193">
        <f t="shared" si="240"/>
        <v>23</v>
      </c>
      <c r="AD54" s="193">
        <f t="shared" si="240"/>
        <v>135</v>
      </c>
      <c r="AE54" s="193">
        <f t="shared" si="240"/>
        <v>135</v>
      </c>
      <c r="AF54" s="193">
        <f t="shared" si="240"/>
        <v>167</v>
      </c>
      <c r="AG54" s="193">
        <f t="shared" si="240"/>
        <v>200</v>
      </c>
      <c r="AH54" s="193">
        <f t="shared" si="240"/>
        <v>226</v>
      </c>
      <c r="AI54" s="193">
        <f t="shared" si="240"/>
        <v>306.59999999999997</v>
      </c>
      <c r="AJ54" s="193">
        <f t="shared" si="240"/>
        <v>306.59999999999997</v>
      </c>
      <c r="AK54" s="193">
        <f t="shared" si="240"/>
        <v>289.3</v>
      </c>
      <c r="AL54" s="193">
        <f>AL46</f>
        <v>1372.4</v>
      </c>
      <c r="AM54" s="193">
        <f t="shared" si="240"/>
        <v>285.39999999999998</v>
      </c>
      <c r="AN54" s="193">
        <f t="shared" si="240"/>
        <v>203.2</v>
      </c>
      <c r="AO54" s="193">
        <f t="shared" si="240"/>
        <v>203.2</v>
      </c>
      <c r="AP54" s="193">
        <f t="shared" si="240"/>
        <v>64.799999999999983</v>
      </c>
      <c r="AQ54" s="193">
        <f t="shared" si="240"/>
        <v>60.099999999999994</v>
      </c>
      <c r="AR54" s="193">
        <f t="shared" si="240"/>
        <v>106.5</v>
      </c>
      <c r="AS54" s="193">
        <f t="shared" si="240"/>
        <v>185.6</v>
      </c>
      <c r="AT54" s="193">
        <f t="shared" si="240"/>
        <v>185.6</v>
      </c>
      <c r="AU54" s="193">
        <f t="shared" ref="AU54:AY54" si="241">AU46</f>
        <v>229.79999999999998</v>
      </c>
      <c r="AV54" s="193">
        <f t="shared" si="241"/>
        <v>248.7</v>
      </c>
      <c r="AW54" s="193">
        <f t="shared" si="241"/>
        <v>313.59999999999997</v>
      </c>
      <c r="AX54" s="193">
        <f t="shared" si="241"/>
        <v>338.49999999999955</v>
      </c>
      <c r="AY54" s="193">
        <f t="shared" si="241"/>
        <v>338.49999999999955</v>
      </c>
      <c r="AZ54" s="193">
        <f t="shared" ref="AZ54:BD54" si="242">AZ46</f>
        <v>307.60000000000002</v>
      </c>
      <c r="BA54" s="193">
        <f t="shared" si="242"/>
        <v>317.75828905931257</v>
      </c>
      <c r="BB54" s="193">
        <f t="shared" si="242"/>
        <v>336.63278047014637</v>
      </c>
      <c r="BC54" s="193">
        <f t="shared" si="242"/>
        <v>353.2745165477736</v>
      </c>
      <c r="BD54" s="193">
        <f t="shared" si="242"/>
        <v>353.2745165477736</v>
      </c>
      <c r="BE54" s="193">
        <f t="shared" ref="BE54:BI54" si="243">BE46</f>
        <v>371.6710056397751</v>
      </c>
      <c r="BF54" s="193">
        <f t="shared" si="243"/>
        <v>392.19152831477959</v>
      </c>
      <c r="BG54" s="193">
        <f t="shared" si="243"/>
        <v>417.08219043751069</v>
      </c>
      <c r="BH54" s="193">
        <f t="shared" si="243"/>
        <v>440.06166598394475</v>
      </c>
      <c r="BI54" s="193">
        <f t="shared" si="243"/>
        <v>440.06166598394475</v>
      </c>
    </row>
    <row r="55" spans="1:61" ht="12.75" customHeight="1" x14ac:dyDescent="0.2">
      <c r="A55" s="35" t="s">
        <v>25</v>
      </c>
      <c r="B55" s="2"/>
      <c r="C55" s="2"/>
      <c r="D55" s="2"/>
      <c r="E55" s="2"/>
      <c r="F55" s="193">
        <f>F46-F20</f>
        <v>-597</v>
      </c>
      <c r="G55" s="193">
        <f t="shared" ref="G55:AT55" si="244">G46-G20</f>
        <v>-556</v>
      </c>
      <c r="H55" s="193">
        <f t="shared" si="244"/>
        <v>-535</v>
      </c>
      <c r="I55" s="193">
        <f t="shared" si="244"/>
        <v>-537</v>
      </c>
      <c r="J55" s="193">
        <f t="shared" si="244"/>
        <v>-452</v>
      </c>
      <c r="K55" s="193">
        <f t="shared" si="244"/>
        <v>-452</v>
      </c>
      <c r="L55" s="193">
        <f t="shared" si="244"/>
        <v>-587</v>
      </c>
      <c r="M55" s="193">
        <f t="shared" si="244"/>
        <v>-622</v>
      </c>
      <c r="N55" s="193">
        <f t="shared" si="244"/>
        <v>-686</v>
      </c>
      <c r="O55" s="193">
        <f t="shared" si="244"/>
        <v>-806</v>
      </c>
      <c r="P55" s="193">
        <f t="shared" si="244"/>
        <v>-806</v>
      </c>
      <c r="Q55" s="193">
        <f t="shared" si="244"/>
        <v>-816</v>
      </c>
      <c r="R55" s="193">
        <f t="shared" si="244"/>
        <v>-776</v>
      </c>
      <c r="S55" s="193">
        <f t="shared" si="244"/>
        <v>-742</v>
      </c>
      <c r="T55" s="193">
        <f t="shared" si="244"/>
        <v>-762</v>
      </c>
      <c r="U55" s="193">
        <f t="shared" si="244"/>
        <v>-762</v>
      </c>
      <c r="V55" s="193">
        <f t="shared" si="244"/>
        <v>-703</v>
      </c>
      <c r="W55" s="193">
        <f t="shared" si="244"/>
        <v>-740</v>
      </c>
      <c r="X55" s="193">
        <f t="shared" si="244"/>
        <v>-698</v>
      </c>
      <c r="Y55" s="193">
        <f t="shared" si="244"/>
        <v>-605</v>
      </c>
      <c r="Z55" s="193">
        <f t="shared" si="244"/>
        <v>-605</v>
      </c>
      <c r="AA55" s="193">
        <f t="shared" si="244"/>
        <v>-794</v>
      </c>
      <c r="AB55" s="193">
        <f t="shared" si="244"/>
        <v>-788</v>
      </c>
      <c r="AC55" s="193">
        <f t="shared" si="244"/>
        <v>-750</v>
      </c>
      <c r="AD55" s="193">
        <f t="shared" si="244"/>
        <v>-640</v>
      </c>
      <c r="AE55" s="193">
        <f t="shared" si="244"/>
        <v>-640</v>
      </c>
      <c r="AF55" s="193">
        <f t="shared" si="244"/>
        <v>-615</v>
      </c>
      <c r="AG55" s="193">
        <f t="shared" si="244"/>
        <v>-588</v>
      </c>
      <c r="AH55" s="193">
        <f t="shared" si="244"/>
        <v>-578</v>
      </c>
      <c r="AI55" s="193">
        <f t="shared" si="244"/>
        <v>-356.50000000000006</v>
      </c>
      <c r="AJ55" s="193">
        <f t="shared" si="244"/>
        <v>-356.50000000000006</v>
      </c>
      <c r="AK55" s="193">
        <f t="shared" si="244"/>
        <v>-378.90000000000003</v>
      </c>
      <c r="AL55" s="193">
        <f t="shared" si="244"/>
        <v>699.30000000000007</v>
      </c>
      <c r="AM55" s="193">
        <f t="shared" si="244"/>
        <v>-392.6</v>
      </c>
      <c r="AN55" s="193">
        <f t="shared" si="244"/>
        <v>-477.40000000000003</v>
      </c>
      <c r="AO55" s="193">
        <f t="shared" si="244"/>
        <v>-477.40000000000003</v>
      </c>
      <c r="AP55" s="193">
        <f t="shared" si="244"/>
        <v>-620.80000000000007</v>
      </c>
      <c r="AQ55" s="193">
        <f t="shared" si="244"/>
        <v>-632.19999999999993</v>
      </c>
      <c r="AR55" s="193">
        <f t="shared" si="244"/>
        <v>-587.20000000000005</v>
      </c>
      <c r="AS55" s="193">
        <f t="shared" si="244"/>
        <v>-520</v>
      </c>
      <c r="AT55" s="193">
        <f t="shared" si="244"/>
        <v>-520</v>
      </c>
      <c r="AU55" s="193">
        <f t="shared" ref="AU55:AY55" si="245">AU46-AU20</f>
        <v>-459.70000000000005</v>
      </c>
      <c r="AV55" s="193">
        <f t="shared" si="245"/>
        <v>-442.09999999999997</v>
      </c>
      <c r="AW55" s="193">
        <f t="shared" si="245"/>
        <v>-399.50000000000006</v>
      </c>
      <c r="AX55" s="193">
        <f t="shared" si="245"/>
        <v>-402.00000000000045</v>
      </c>
      <c r="AY55" s="193">
        <f t="shared" si="245"/>
        <v>-402.00000000000045</v>
      </c>
      <c r="AZ55" s="193">
        <f t="shared" ref="AZ55:BD55" si="246">AZ46-AZ20</f>
        <v>-997.30000000000007</v>
      </c>
      <c r="BA55" s="193">
        <f t="shared" si="246"/>
        <v>-987.14171094068752</v>
      </c>
      <c r="BB55" s="193">
        <f t="shared" si="246"/>
        <v>-968.26721952985372</v>
      </c>
      <c r="BC55" s="193">
        <f t="shared" si="246"/>
        <v>-951.62548345222649</v>
      </c>
      <c r="BD55" s="193">
        <f t="shared" si="246"/>
        <v>-951.62548345222649</v>
      </c>
      <c r="BE55" s="193">
        <f t="shared" ref="BE55:BI55" si="247">BE46-BE20</f>
        <v>-933.22899436022499</v>
      </c>
      <c r="BF55" s="193">
        <f t="shared" si="247"/>
        <v>-912.7084716852205</v>
      </c>
      <c r="BG55" s="193">
        <f t="shared" si="247"/>
        <v>-887.8178095624894</v>
      </c>
      <c r="BH55" s="193">
        <f t="shared" si="247"/>
        <v>-864.83833401605534</v>
      </c>
      <c r="BI55" s="193">
        <f t="shared" si="247"/>
        <v>-864.83833401605534</v>
      </c>
    </row>
    <row r="56" spans="1:61" ht="12.75" customHeight="1" x14ac:dyDescent="0.2">
      <c r="A56" s="35" t="s">
        <v>26</v>
      </c>
      <c r="B56" s="2"/>
      <c r="C56" s="2"/>
      <c r="D56" s="2"/>
      <c r="E56" s="2"/>
      <c r="F56" s="193">
        <f>F16-F32</f>
        <v>330</v>
      </c>
      <c r="G56" s="193">
        <f t="shared" ref="G56:AT56" si="248">G16-G32</f>
        <v>266</v>
      </c>
      <c r="H56" s="193">
        <f t="shared" si="248"/>
        <v>261</v>
      </c>
      <c r="I56" s="193">
        <f t="shared" si="248"/>
        <v>227</v>
      </c>
      <c r="J56" s="193">
        <f t="shared" si="248"/>
        <v>312</v>
      </c>
      <c r="K56" s="193">
        <f t="shared" si="248"/>
        <v>312</v>
      </c>
      <c r="L56" s="193">
        <f t="shared" si="248"/>
        <v>367</v>
      </c>
      <c r="M56" s="193">
        <f t="shared" si="248"/>
        <v>380</v>
      </c>
      <c r="N56" s="193">
        <f t="shared" si="248"/>
        <v>365</v>
      </c>
      <c r="O56" s="193">
        <f t="shared" si="248"/>
        <v>314</v>
      </c>
      <c r="P56" s="193">
        <f t="shared" si="248"/>
        <v>314</v>
      </c>
      <c r="Q56" s="193">
        <f t="shared" si="248"/>
        <v>288</v>
      </c>
      <c r="R56" s="193">
        <f t="shared" si="248"/>
        <v>343</v>
      </c>
      <c r="S56" s="193">
        <f t="shared" si="248"/>
        <v>389</v>
      </c>
      <c r="T56" s="193">
        <f t="shared" si="248"/>
        <v>374</v>
      </c>
      <c r="U56" s="193">
        <f t="shared" si="248"/>
        <v>374</v>
      </c>
      <c r="V56" s="193">
        <f t="shared" si="248"/>
        <v>253</v>
      </c>
      <c r="W56" s="193">
        <f t="shared" si="248"/>
        <v>983</v>
      </c>
      <c r="X56" s="193">
        <f t="shared" si="248"/>
        <v>947</v>
      </c>
      <c r="Y56" s="193">
        <f t="shared" si="248"/>
        <v>994</v>
      </c>
      <c r="Z56" s="193">
        <f t="shared" si="248"/>
        <v>994</v>
      </c>
      <c r="AA56" s="193">
        <f t="shared" si="248"/>
        <v>708</v>
      </c>
      <c r="AB56" s="193">
        <f t="shared" si="248"/>
        <v>520</v>
      </c>
      <c r="AC56" s="193">
        <f t="shared" si="248"/>
        <v>509</v>
      </c>
      <c r="AD56" s="193">
        <f t="shared" si="248"/>
        <v>468</v>
      </c>
      <c r="AE56" s="193">
        <f t="shared" si="248"/>
        <v>468</v>
      </c>
      <c r="AF56" s="193">
        <f t="shared" si="248"/>
        <v>460</v>
      </c>
      <c r="AG56" s="193">
        <f t="shared" si="248"/>
        <v>431</v>
      </c>
      <c r="AH56" s="193">
        <f t="shared" si="248"/>
        <v>410</v>
      </c>
      <c r="AI56" s="193">
        <f t="shared" si="248"/>
        <v>701.70000000000016</v>
      </c>
      <c r="AJ56" s="193">
        <f t="shared" si="248"/>
        <v>701.70000000000016</v>
      </c>
      <c r="AK56" s="193">
        <f t="shared" si="248"/>
        <v>776.99999999999977</v>
      </c>
      <c r="AL56" s="193">
        <f t="shared" si="248"/>
        <v>1836.5</v>
      </c>
      <c r="AM56" s="193">
        <f t="shared" si="248"/>
        <v>681.2</v>
      </c>
      <c r="AN56" s="193">
        <f t="shared" si="248"/>
        <v>574.40000000000009</v>
      </c>
      <c r="AO56" s="193">
        <f t="shared" si="248"/>
        <v>574.40000000000009</v>
      </c>
      <c r="AP56" s="193">
        <f t="shared" si="248"/>
        <v>393.20000000000005</v>
      </c>
      <c r="AQ56" s="193">
        <f t="shared" si="248"/>
        <v>-262.29999999999995</v>
      </c>
      <c r="AR56" s="193">
        <f t="shared" si="248"/>
        <v>-95</v>
      </c>
      <c r="AS56" s="193">
        <f t="shared" si="248"/>
        <v>-98.5</v>
      </c>
      <c r="AT56" s="193">
        <f t="shared" si="248"/>
        <v>-98.5</v>
      </c>
      <c r="AU56" s="193">
        <f t="shared" ref="AU56:AY56" si="249">AU16-AU32</f>
        <v>-90.900000000000034</v>
      </c>
      <c r="AV56" s="193">
        <f t="shared" si="249"/>
        <v>-85.600000000000023</v>
      </c>
      <c r="AW56" s="193">
        <f t="shared" si="249"/>
        <v>-88.500000000000028</v>
      </c>
      <c r="AX56" s="193">
        <f t="shared" si="249"/>
        <v>-103.69999999999999</v>
      </c>
      <c r="AY56" s="193">
        <f t="shared" si="249"/>
        <v>-103.69999999999999</v>
      </c>
      <c r="AZ56" s="193">
        <f t="shared" ref="AZ56:BD56" si="250">AZ16-AZ32</f>
        <v>-108.59999999999997</v>
      </c>
      <c r="BA56" s="193">
        <f t="shared" si="250"/>
        <v>-108.4417109406877</v>
      </c>
      <c r="BB56" s="193">
        <f t="shared" si="250"/>
        <v>-99.567219529853787</v>
      </c>
      <c r="BC56" s="193">
        <f t="shared" si="250"/>
        <v>-92.925483452226615</v>
      </c>
      <c r="BD56" s="193">
        <f t="shared" si="250"/>
        <v>-92.925483452226615</v>
      </c>
      <c r="BE56" s="193">
        <f t="shared" ref="BE56:BI56" si="251">BE16-BE32</f>
        <v>-89.52899436022534</v>
      </c>
      <c r="BF56" s="193">
        <f t="shared" si="251"/>
        <v>-84.008471685220854</v>
      </c>
      <c r="BG56" s="193">
        <f t="shared" si="251"/>
        <v>-74.11780956248964</v>
      </c>
      <c r="BH56" s="193">
        <f t="shared" si="251"/>
        <v>-66.138334016055353</v>
      </c>
      <c r="BI56" s="193">
        <f t="shared" si="251"/>
        <v>-66.138334016055353</v>
      </c>
    </row>
    <row r="57" spans="1:61" ht="12.75" customHeight="1" x14ac:dyDescent="0.2">
      <c r="A57" s="35" t="s">
        <v>27</v>
      </c>
      <c r="B57" s="2"/>
      <c r="C57" s="2"/>
      <c r="D57" s="2"/>
      <c r="E57" s="2"/>
      <c r="F57" s="155">
        <f>AVERAGE(E46,D46,C46,B46)</f>
        <v>-330</v>
      </c>
      <c r="G57" s="155">
        <f>AVERAGE(G46,E46,D46,C46)</f>
        <v>-308</v>
      </c>
      <c r="H57" s="155">
        <f>AVERAGE(H46,G46,E46,D46)</f>
        <v>-278</v>
      </c>
      <c r="I57" s="155">
        <f>AVERAGE(I46,H46,G46,E46)</f>
        <v>-259.25</v>
      </c>
      <c r="J57" s="155">
        <f>AVERAGE(J46,I46,H46,G46)</f>
        <v>-206</v>
      </c>
      <c r="K57" s="155">
        <f>AVERAGE(J46,I46,H46,G46)</f>
        <v>-206</v>
      </c>
      <c r="L57" s="155">
        <f t="shared" ref="L57" si="252">AVERAGE(L46,J46,I46,H46)</f>
        <v>-183</v>
      </c>
      <c r="M57" s="155">
        <f t="shared" ref="M57" si="253">AVERAGE(M46,L46,J46,I46)</f>
        <v>-185</v>
      </c>
      <c r="N57" s="155">
        <f t="shared" ref="N57" si="254">AVERAGE(N46,M46,L46,J46)</f>
        <v>-206.25</v>
      </c>
      <c r="O57" s="155">
        <f t="shared" ref="O57" si="255">AVERAGE(O46,N46,M46,L46)</f>
        <v>-266.5</v>
      </c>
      <c r="P57" s="155">
        <f t="shared" ref="P57" si="256">AVERAGE(O46,N46,M46,L46)</f>
        <v>-266.5</v>
      </c>
      <c r="Q57" s="155">
        <f t="shared" ref="Q57" si="257">AVERAGE(Q46,O46,N46,M46)</f>
        <v>-303.75</v>
      </c>
      <c r="R57" s="155">
        <f t="shared" ref="R57" si="258">AVERAGE(R46,Q46,O46,N46)</f>
        <v>-321.75</v>
      </c>
      <c r="S57" s="155">
        <f t="shared" ref="S57" si="259">AVERAGE(S46,R46,Q46,O46)</f>
        <v>-312.75</v>
      </c>
      <c r="T57" s="155">
        <f t="shared" ref="T57" si="260">AVERAGE(T46,S46,R46,Q46)</f>
        <v>-287.75</v>
      </c>
      <c r="U57" s="155">
        <f t="shared" ref="U57" si="261">AVERAGE(T46,S46,R46,Q46)</f>
        <v>-287.75</v>
      </c>
      <c r="V57" s="155">
        <f t="shared" ref="V57" si="262">AVERAGE(V46,T46,S46,R46)</f>
        <v>-251</v>
      </c>
      <c r="W57" s="155">
        <f t="shared" ref="W57" si="263">AVERAGE(W46,V46,T46,S46)</f>
        <v>-235.75</v>
      </c>
      <c r="X57" s="155">
        <f t="shared" ref="X57" si="264">AVERAGE(X46,W46,V46,T46)</f>
        <v>-219.75</v>
      </c>
      <c r="Y57" s="155">
        <f t="shared" ref="Y57" si="265">AVERAGE(Y46,X46,W46,V46)</f>
        <v>-174.25</v>
      </c>
      <c r="Z57" s="155">
        <f t="shared" ref="Z57" si="266">AVERAGE(Y46,X46,W46,V46)</f>
        <v>-174.25</v>
      </c>
      <c r="AA57" s="155">
        <f t="shared" ref="AA57" si="267">AVERAGE(AA46,Y46,X46,W46)</f>
        <v>-139</v>
      </c>
      <c r="AB57" s="155">
        <f t="shared" ref="AB57" si="268">AVERAGE(AB46,AA46,Y46,X46)</f>
        <v>-93.75</v>
      </c>
      <c r="AC57" s="155">
        <f t="shared" ref="AC57" si="269">AVERAGE(AC46,AB46,AA46,Y46)</f>
        <v>-41</v>
      </c>
      <c r="AD57" s="155">
        <f t="shared" ref="AD57" si="270">AVERAGE(AD46,AC46,AB46,AA46)</f>
        <v>11.75</v>
      </c>
      <c r="AE57" s="155">
        <f t="shared" ref="AE57" si="271">AVERAGE(AD46,AC46,AB46,AA46)</f>
        <v>11.75</v>
      </c>
      <c r="AF57" s="155">
        <f t="shared" ref="AF57" si="272">AVERAGE(AF46,AD46,AC46,AB46)</f>
        <v>67.25</v>
      </c>
      <c r="AG57" s="155">
        <f t="shared" ref="AG57" si="273">AVERAGE(AG46,AF46,AD46,AC46)</f>
        <v>131.25</v>
      </c>
      <c r="AH57" s="155">
        <f t="shared" ref="AH57" si="274">AVERAGE(AH46,AG46,AF46,AD46)</f>
        <v>182</v>
      </c>
      <c r="AI57" s="155">
        <f t="shared" ref="AI57" si="275">AVERAGE(AI46,AH46,AG46,AF46)</f>
        <v>224.89999999999998</v>
      </c>
      <c r="AJ57" s="155">
        <f t="shared" ref="AJ57" si="276">AVERAGE(AI46,AH46,AG46,AF46)</f>
        <v>224.89999999999998</v>
      </c>
      <c r="AK57" s="155">
        <f t="shared" ref="AK57" si="277">AVERAGE(AK46,AI46,AH46,AG46)</f>
        <v>255.47499999999999</v>
      </c>
      <c r="AL57" s="155">
        <f t="shared" ref="AL57" si="278">AVERAGE(AL46,AK46,AI46,AH46)</f>
        <v>548.57500000000005</v>
      </c>
      <c r="AM57" s="155">
        <f t="shared" ref="AM57" si="279">AVERAGE(AM46,AL46,AK46,AI46)</f>
        <v>563.42500000000007</v>
      </c>
      <c r="AN57" s="155">
        <f t="shared" ref="AN57" si="280">AVERAGE(AN46,AM46,AL46,AK46)</f>
        <v>537.57500000000005</v>
      </c>
      <c r="AO57" s="155">
        <f t="shared" ref="AO57" si="281">AVERAGE(AN46,AM46,AL46,AK46)</f>
        <v>537.57500000000005</v>
      </c>
      <c r="AP57" s="155">
        <f t="shared" ref="AP57" si="282">AVERAGE(AP46,AN46,AM46,AL46)</f>
        <v>481.45000000000005</v>
      </c>
      <c r="AQ57" s="155">
        <f t="shared" ref="AQ57" si="283">AVERAGE(AQ46,AP46,AN46,AM46)</f>
        <v>153.375</v>
      </c>
      <c r="AR57" s="155">
        <f t="shared" ref="AR57" si="284">AVERAGE(AR46,AQ46,AP46,AN46)</f>
        <v>108.64999999999999</v>
      </c>
      <c r="AS57" s="155">
        <f t="shared" ref="AS57" si="285">AVERAGE(AS46,AR46,AQ46,AP46)</f>
        <v>104.25</v>
      </c>
      <c r="AT57" s="155">
        <f t="shared" ref="AT57" si="286">AVERAGE(AS46,AR46,AQ46,AP46)</f>
        <v>104.25</v>
      </c>
      <c r="AU57" s="155">
        <f t="shared" ref="AU57" si="287">AVERAGE(AU46,AS46,AR46,AQ46)</f>
        <v>145.5</v>
      </c>
      <c r="AV57" s="155">
        <f t="shared" ref="AV57" si="288">AVERAGE(AV46,AU46,AS46,AR46)</f>
        <v>192.65</v>
      </c>
      <c r="AW57" s="155">
        <f t="shared" ref="AW57" si="289">AVERAGE(AW46,AV46,AU46,AS46)</f>
        <v>244.42499999999998</v>
      </c>
      <c r="AX57" s="155">
        <f t="shared" ref="AX57" si="290">AVERAGE(AX46,AW46,AV46,AU46)</f>
        <v>282.64999999999986</v>
      </c>
      <c r="AY57" s="155">
        <f t="shared" ref="AY57" si="291">AVERAGE(AX46,AW46,AV46,AU46)</f>
        <v>282.64999999999986</v>
      </c>
      <c r="AZ57" s="155">
        <f t="shared" ref="AZ57" si="292">AVERAGE(AZ46,AX46,AW46,AV46)</f>
        <v>302.09999999999991</v>
      </c>
      <c r="BA57" s="155">
        <f t="shared" ref="BA57" si="293">AVERAGE(BA46,AZ46,AX46,AW46)</f>
        <v>319.36457226482804</v>
      </c>
      <c r="BB57" s="155">
        <f t="shared" ref="BB57" si="294">AVERAGE(BB46,BA46,AZ46,AX46)</f>
        <v>325.1227673823646</v>
      </c>
      <c r="BC57" s="155">
        <f t="shared" ref="BC57" si="295">AVERAGE(BC46,BB46,BA46,AZ46)</f>
        <v>328.81639651930811</v>
      </c>
      <c r="BD57" s="155">
        <f t="shared" ref="BD57" si="296">AVERAGE(BC46,BB46,BA46,AZ46)</f>
        <v>328.81639651930811</v>
      </c>
      <c r="BE57" s="155">
        <f t="shared" ref="BE57" si="297">AVERAGE(BE46,BC46,BB46,BA46)</f>
        <v>344.83414792925191</v>
      </c>
      <c r="BF57" s="155">
        <f t="shared" ref="BF57" si="298">AVERAGE(BF46,BE46,BC46,BB46)</f>
        <v>363.44245774311867</v>
      </c>
      <c r="BG57" s="155">
        <f t="shared" ref="BG57" si="299">AVERAGE(BG46,BF46,BE46,BC46)</f>
        <v>383.55481023495975</v>
      </c>
      <c r="BH57" s="155">
        <f t="shared" ref="BH57" si="300">AVERAGE(BH46,BG46,BF46,BE46)</f>
        <v>405.25159759400253</v>
      </c>
      <c r="BI57" s="155">
        <f t="shared" ref="BI57" si="301">AVERAGE(BH46,BG46,BF46,BE46)</f>
        <v>405.25159759400253</v>
      </c>
    </row>
    <row r="58" spans="1:61" ht="12.75" customHeight="1" x14ac:dyDescent="0.2">
      <c r="A58" s="36" t="s">
        <v>28</v>
      </c>
      <c r="B58" s="2"/>
      <c r="C58" s="2"/>
      <c r="D58" s="2"/>
      <c r="E58" s="2"/>
      <c r="F58" s="193">
        <f>IS!F113</f>
        <v>187.75</v>
      </c>
      <c r="G58" s="193">
        <f>IS!G113</f>
        <v>205</v>
      </c>
      <c r="H58" s="193">
        <f>IS!H113</f>
        <v>205</v>
      </c>
      <c r="I58" s="193">
        <f>IS!I113</f>
        <v>204</v>
      </c>
      <c r="J58" s="193">
        <f>IS!J113</f>
        <v>203</v>
      </c>
      <c r="K58" s="193">
        <f>IS!K113</f>
        <v>204.25</v>
      </c>
      <c r="L58" s="193">
        <f>IS!L113</f>
        <v>202</v>
      </c>
      <c r="M58" s="193">
        <f>IS!M113</f>
        <v>200</v>
      </c>
      <c r="N58" s="193">
        <f>IS!N113</f>
        <v>196</v>
      </c>
      <c r="O58" s="193">
        <f>IS!O113</f>
        <v>191</v>
      </c>
      <c r="P58" s="193">
        <f>IS!P113</f>
        <v>197.25</v>
      </c>
      <c r="Q58" s="193">
        <f>IS!Q113</f>
        <v>189</v>
      </c>
      <c r="R58" s="193">
        <f>IS!R113</f>
        <v>189</v>
      </c>
      <c r="S58" s="193">
        <f>IS!S113</f>
        <v>189</v>
      </c>
      <c r="T58" s="193">
        <f>IS!T113</f>
        <v>189</v>
      </c>
      <c r="U58" s="193">
        <f>IS!U113</f>
        <v>189</v>
      </c>
      <c r="V58" s="193">
        <f>IS!V113</f>
        <v>189</v>
      </c>
      <c r="W58" s="193">
        <f>IS!W113</f>
        <v>188</v>
      </c>
      <c r="X58" s="193">
        <f>IS!X113</f>
        <v>186</v>
      </c>
      <c r="Y58" s="193">
        <f>IS!Y113</f>
        <v>186</v>
      </c>
      <c r="Z58" s="193">
        <f>IS!Z113</f>
        <v>187.25</v>
      </c>
      <c r="AA58" s="193">
        <f>IS!AA113</f>
        <v>186</v>
      </c>
      <c r="AB58" s="193">
        <f>IS!AB113</f>
        <v>183</v>
      </c>
      <c r="AC58" s="193">
        <f>IS!AC113</f>
        <v>183</v>
      </c>
      <c r="AD58" s="193">
        <f>IS!AD113</f>
        <v>182</v>
      </c>
      <c r="AE58" s="193">
        <f>IS!AE113</f>
        <v>183.5</v>
      </c>
      <c r="AF58" s="193">
        <f>IS!AF113</f>
        <v>182</v>
      </c>
      <c r="AG58" s="193">
        <f>IS!AG113</f>
        <v>181</v>
      </c>
      <c r="AH58" s="193">
        <f>IS!AH113</f>
        <v>179</v>
      </c>
      <c r="AI58" s="193">
        <f>IS!AI113</f>
        <v>178.6</v>
      </c>
      <c r="AJ58" s="193">
        <f>IS!AJ113</f>
        <v>180.15</v>
      </c>
      <c r="AK58" s="193">
        <f>IS!AK113</f>
        <v>176.3</v>
      </c>
      <c r="AL58" s="193">
        <f>IS!AL113</f>
        <v>172.7</v>
      </c>
      <c r="AM58" s="193">
        <f>IS!AM113</f>
        <v>162.5</v>
      </c>
      <c r="AN58" s="193">
        <f>IS!AN113</f>
        <v>139.19999999999999</v>
      </c>
      <c r="AO58" s="193">
        <f>IS!AO113</f>
        <v>162.67500000000001</v>
      </c>
      <c r="AP58" s="193">
        <f>IS!AP113</f>
        <v>132.69999999999999</v>
      </c>
      <c r="AQ58" s="193">
        <f>IS!AQ113</f>
        <v>130.69999999999999</v>
      </c>
      <c r="AR58" s="193">
        <f>IS!AR113</f>
        <v>130.19999999999999</v>
      </c>
      <c r="AS58" s="193">
        <f>IS!AS113</f>
        <v>130.30000000000001</v>
      </c>
      <c r="AT58" s="193">
        <f>IS!AT113</f>
        <v>130.97499999999999</v>
      </c>
      <c r="AU58" s="193">
        <f>IS!AU113</f>
        <v>129.5</v>
      </c>
      <c r="AV58" s="193">
        <f>IS!AV113</f>
        <v>128.19999999999999</v>
      </c>
      <c r="AW58" s="193">
        <f>IS!AW113</f>
        <v>128.19999999999999</v>
      </c>
      <c r="AX58" s="193">
        <f>IS!AX113</f>
        <v>128.4</v>
      </c>
      <c r="AY58" s="193">
        <f>IS!AY113</f>
        <v>128.57499999999999</v>
      </c>
      <c r="AZ58" s="193">
        <f>IS!AZ113</f>
        <v>128.19999999999999</v>
      </c>
      <c r="BA58" s="193">
        <f>IS!BA113</f>
        <v>128.19999999999999</v>
      </c>
      <c r="BB58" s="193">
        <f>IS!BB113</f>
        <v>128.19999999999999</v>
      </c>
      <c r="BC58" s="193">
        <f>IS!BC113</f>
        <v>128.24392</v>
      </c>
      <c r="BD58" s="193">
        <f>IS!BD113</f>
        <v>128.21098000000001</v>
      </c>
      <c r="BE58" s="193">
        <f>IS!BE113</f>
        <v>128.19999999999999</v>
      </c>
      <c r="BF58" s="193">
        <f>IS!BF113</f>
        <v>128.19999999999999</v>
      </c>
      <c r="BG58" s="193">
        <f>IS!BG113</f>
        <v>128.19999999999999</v>
      </c>
      <c r="BH58" s="193">
        <f>IS!BH113</f>
        <v>128.24392</v>
      </c>
      <c r="BI58" s="193">
        <f>IS!BI113</f>
        <v>128.21098000000001</v>
      </c>
    </row>
    <row r="59" spans="1:61" ht="12.75" customHeight="1" x14ac:dyDescent="0.2">
      <c r="A59" s="36" t="s">
        <v>200</v>
      </c>
      <c r="B59" s="2"/>
      <c r="C59" s="2"/>
      <c r="D59" s="2"/>
      <c r="E59" s="2"/>
      <c r="F59" s="2">
        <f>IS!F52</f>
        <v>1068</v>
      </c>
      <c r="G59" s="2">
        <f>IS!G52</f>
        <v>1076</v>
      </c>
      <c r="H59" s="2">
        <f>IS!H52</f>
        <v>1108</v>
      </c>
      <c r="I59" s="2">
        <f>IS!I52</f>
        <v>1113</v>
      </c>
      <c r="J59" s="2">
        <f>IS!J52</f>
        <v>1127</v>
      </c>
      <c r="K59" s="2">
        <f>IS!K52</f>
        <v>1127</v>
      </c>
      <c r="L59" s="2">
        <f>IS!L52</f>
        <v>1139</v>
      </c>
      <c r="M59" s="2">
        <f>IS!M52</f>
        <v>1141</v>
      </c>
      <c r="N59" s="2">
        <f>IS!N52</f>
        <v>1154</v>
      </c>
      <c r="O59" s="2">
        <f>IS!O52</f>
        <v>1242</v>
      </c>
      <c r="P59" s="2">
        <f>IS!P52</f>
        <v>1242</v>
      </c>
      <c r="Q59" s="2">
        <f>IS!Q52</f>
        <v>1301</v>
      </c>
      <c r="R59" s="2">
        <f>IS!R52</f>
        <v>1327</v>
      </c>
      <c r="S59" s="2">
        <f>IS!S52</f>
        <v>1352</v>
      </c>
      <c r="T59" s="2">
        <f>IS!T52</f>
        <v>1385</v>
      </c>
      <c r="U59" s="2">
        <f>IS!U52</f>
        <v>1385</v>
      </c>
      <c r="V59" s="2">
        <f>IS!V52</f>
        <v>1407</v>
      </c>
      <c r="W59" s="2">
        <f>IS!W52</f>
        <v>1419</v>
      </c>
      <c r="X59" s="2">
        <f>IS!X52</f>
        <v>1432</v>
      </c>
      <c r="Y59" s="2">
        <f>IS!Y52</f>
        <v>1462</v>
      </c>
      <c r="Z59" s="2">
        <f>IS!Z52</f>
        <v>1462</v>
      </c>
      <c r="AA59" s="2">
        <f>IS!AA52</f>
        <v>1533</v>
      </c>
      <c r="AB59" s="2">
        <f>IS!AB52</f>
        <v>1548</v>
      </c>
      <c r="AC59" s="2">
        <f>IS!AC52</f>
        <v>1569</v>
      </c>
      <c r="AD59" s="2">
        <f>IS!AD52</f>
        <v>1594</v>
      </c>
      <c r="AE59" s="2">
        <f>IS!AE52</f>
        <v>1594</v>
      </c>
      <c r="AF59" s="2">
        <f>IS!AF52</f>
        <v>1635</v>
      </c>
      <c r="AG59" s="2">
        <f>IS!AG52</f>
        <v>1661</v>
      </c>
      <c r="AH59" s="2">
        <f>IS!AH52</f>
        <v>1690</v>
      </c>
      <c r="AI59" s="2">
        <f>IS!AI52</f>
        <v>1715</v>
      </c>
      <c r="AJ59" s="2">
        <f>IS!AJ52</f>
        <v>1715</v>
      </c>
      <c r="AK59" s="2">
        <f>IS!AK52</f>
        <v>1746</v>
      </c>
      <c r="AL59" s="2">
        <f>IS!AL52</f>
        <v>1781</v>
      </c>
      <c r="AM59" s="2">
        <f>IS!AM52</f>
        <v>1804</v>
      </c>
      <c r="AN59" s="2">
        <f>IS!AN52</f>
        <v>1852</v>
      </c>
      <c r="AO59" s="2">
        <f>IS!AO52</f>
        <v>1852</v>
      </c>
      <c r="AP59" s="2">
        <f>IS!AP52</f>
        <v>1890</v>
      </c>
      <c r="AQ59" s="2">
        <f>IS!AQ52</f>
        <v>1928</v>
      </c>
      <c r="AR59" s="2">
        <f>IS!AR52</f>
        <v>1961</v>
      </c>
      <c r="AS59" s="2">
        <f>IS!AS52</f>
        <v>2010</v>
      </c>
      <c r="AT59" s="2">
        <f>IS!AT52</f>
        <v>2010</v>
      </c>
      <c r="AU59" s="2">
        <f>IS!AU52</f>
        <v>2045</v>
      </c>
      <c r="AV59" s="2">
        <f>IS!AV52</f>
        <v>2078</v>
      </c>
      <c r="AW59" s="2">
        <f>IS!AW52</f>
        <v>2124</v>
      </c>
      <c r="AX59" s="2">
        <f>IS!AX52</f>
        <v>2180</v>
      </c>
      <c r="AY59" s="2">
        <f>IS!AY52</f>
        <v>2180</v>
      </c>
      <c r="AZ59" s="2">
        <f>IS!AZ52</f>
        <v>2380</v>
      </c>
      <c r="BA59" s="2">
        <f>IS!BA52</f>
        <v>2423</v>
      </c>
      <c r="BB59" s="2">
        <f>IS!BB52</f>
        <v>2470</v>
      </c>
      <c r="BC59" s="2">
        <f>IS!BC52</f>
        <v>2528</v>
      </c>
      <c r="BD59" s="2">
        <f>IS!BD52</f>
        <v>2528</v>
      </c>
      <c r="BE59" s="2">
        <f>IS!BE52</f>
        <v>2573</v>
      </c>
      <c r="BF59" s="2">
        <f>IS!BF52</f>
        <v>2618</v>
      </c>
      <c r="BG59" s="2">
        <f>IS!BG52</f>
        <v>2671</v>
      </c>
      <c r="BH59" s="2">
        <f>IS!BH52</f>
        <v>2729</v>
      </c>
      <c r="BI59" s="2">
        <f>IS!BI52</f>
        <v>2729</v>
      </c>
    </row>
    <row r="60" spans="1:61" ht="12.75" customHeight="1" x14ac:dyDescent="0.2">
      <c r="A60" s="36" t="s">
        <v>29</v>
      </c>
      <c r="B60" s="38"/>
      <c r="C60" s="38"/>
      <c r="D60" s="38"/>
      <c r="E60" s="38"/>
      <c r="F60" s="38">
        <f>F13/F59</f>
        <v>0.13014981273408241</v>
      </c>
      <c r="G60" s="38">
        <f t="shared" ref="G60:AT60" si="302">G13/G59</f>
        <v>0.13104089219330856</v>
      </c>
      <c r="H60" s="38">
        <f t="shared" si="302"/>
        <v>0.1407942238267148</v>
      </c>
      <c r="I60" s="38">
        <f t="shared" si="302"/>
        <v>0.16262353998203055</v>
      </c>
      <c r="J60" s="38">
        <f t="shared" si="302"/>
        <v>0.15527950310559005</v>
      </c>
      <c r="K60" s="38">
        <f t="shared" si="302"/>
        <v>0.15527950310559005</v>
      </c>
      <c r="L60" s="38">
        <f t="shared" si="302"/>
        <v>0.14925373134328357</v>
      </c>
      <c r="M60" s="38">
        <f t="shared" si="302"/>
        <v>0.17002629272567923</v>
      </c>
      <c r="N60" s="38">
        <f t="shared" si="302"/>
        <v>0.16984402079722705</v>
      </c>
      <c r="O60" s="38">
        <f t="shared" si="302"/>
        <v>0.14170692431561996</v>
      </c>
      <c r="P60" s="38">
        <f t="shared" si="302"/>
        <v>0.14170692431561996</v>
      </c>
      <c r="Q60" s="38">
        <f t="shared" si="302"/>
        <v>0.15372790161414296</v>
      </c>
      <c r="R60" s="38">
        <f t="shared" si="302"/>
        <v>0.14468726450640543</v>
      </c>
      <c r="S60" s="38">
        <f t="shared" si="302"/>
        <v>0.14792899408284024</v>
      </c>
      <c r="T60" s="38">
        <f t="shared" si="302"/>
        <v>0.14007220216606497</v>
      </c>
      <c r="U60" s="38">
        <f t="shared" si="302"/>
        <v>0.14007220216606497</v>
      </c>
      <c r="V60" s="38">
        <f t="shared" si="302"/>
        <v>0.13788201847903339</v>
      </c>
      <c r="W60" s="38">
        <f t="shared" si="302"/>
        <v>0.14728682170542637</v>
      </c>
      <c r="X60" s="38">
        <f t="shared" si="302"/>
        <v>0.13198324022346369</v>
      </c>
      <c r="Y60" s="38">
        <f t="shared" si="302"/>
        <v>0.13611491108071136</v>
      </c>
      <c r="Z60" s="38">
        <f t="shared" si="302"/>
        <v>0.13611491108071136</v>
      </c>
      <c r="AA60" s="38">
        <f t="shared" si="302"/>
        <v>0.13894324853228962</v>
      </c>
      <c r="AB60" s="38">
        <f t="shared" si="302"/>
        <v>0.14082687338501293</v>
      </c>
      <c r="AC60" s="38">
        <f t="shared" si="302"/>
        <v>0.15742511153601019</v>
      </c>
      <c r="AD60" s="38">
        <f t="shared" si="302"/>
        <v>0.16185696361355081</v>
      </c>
      <c r="AE60" s="38">
        <f t="shared" si="302"/>
        <v>0.16185696361355081</v>
      </c>
      <c r="AF60" s="38">
        <f t="shared" si="302"/>
        <v>0.16146788990825689</v>
      </c>
      <c r="AG60" s="38">
        <f t="shared" si="302"/>
        <v>0.16616496086694763</v>
      </c>
      <c r="AH60" s="38">
        <f t="shared" si="302"/>
        <v>0.18106508875739644</v>
      </c>
      <c r="AI60" s="38">
        <f t="shared" si="302"/>
        <v>1.7142857142857144E-2</v>
      </c>
      <c r="AJ60" s="38">
        <f t="shared" si="302"/>
        <v>1.7142857142857144E-2</v>
      </c>
      <c r="AK60" s="38">
        <f t="shared" si="302"/>
        <v>1.7869415807560136E-2</v>
      </c>
      <c r="AL60" s="38">
        <f t="shared" si="302"/>
        <v>1.8809657495788883E-2</v>
      </c>
      <c r="AM60" s="38">
        <f t="shared" si="302"/>
        <v>1.8902439024390243E-2</v>
      </c>
      <c r="AN60" s="38">
        <f t="shared" si="302"/>
        <v>1.7980561555075592E-2</v>
      </c>
      <c r="AO60" s="38">
        <f t="shared" si="302"/>
        <v>1.7980561555075592E-2</v>
      </c>
      <c r="AP60" s="38">
        <f t="shared" si="302"/>
        <v>1.6666666666666666E-2</v>
      </c>
      <c r="AQ60" s="38">
        <f t="shared" si="302"/>
        <v>1.9450207468879668E-2</v>
      </c>
      <c r="AR60" s="38">
        <f t="shared" si="302"/>
        <v>2.0499745028046915E-2</v>
      </c>
      <c r="AS60" s="38">
        <f t="shared" si="302"/>
        <v>1.9751243781094528E-2</v>
      </c>
      <c r="AT60" s="38">
        <f t="shared" si="302"/>
        <v>1.9751243781094528E-2</v>
      </c>
      <c r="AU60" s="38">
        <f t="shared" ref="AU60:AY60" si="303">AU13/AU59</f>
        <v>1.8581907090464547E-2</v>
      </c>
      <c r="AV60" s="38">
        <f t="shared" si="303"/>
        <v>1.9971126082771896E-2</v>
      </c>
      <c r="AW60" s="38">
        <f t="shared" si="303"/>
        <v>1.9444444444444445E-2</v>
      </c>
      <c r="AX60" s="38">
        <f t="shared" si="303"/>
        <v>1.9541284403669725E-2</v>
      </c>
      <c r="AY60" s="38">
        <f t="shared" si="303"/>
        <v>1.9541284403669725E-2</v>
      </c>
      <c r="AZ60" s="38">
        <f t="shared" ref="AZ60:BD60" si="304">AZ13/AZ59</f>
        <v>2.0378151260504202E-2</v>
      </c>
      <c r="BA60" s="38">
        <f t="shared" si="304"/>
        <v>2.0083871327654702E-2</v>
      </c>
      <c r="BB60" s="38">
        <f t="shared" si="304"/>
        <v>2.048840902107155E-2</v>
      </c>
      <c r="BC60" s="38">
        <f t="shared" si="304"/>
        <v>2.0750203526701871E-2</v>
      </c>
      <c r="BD60" s="38">
        <f t="shared" si="304"/>
        <v>2.0750203526701871E-2</v>
      </c>
      <c r="BE60" s="38">
        <f t="shared" ref="BE60:BI60" si="305">BE13/BE59</f>
        <v>2.1108376575158756E-2</v>
      </c>
      <c r="BF60" s="38">
        <f t="shared" si="305"/>
        <v>2.1234028802868662E-2</v>
      </c>
      <c r="BG60" s="38">
        <f t="shared" si="305"/>
        <v>2.1562621719405765E-2</v>
      </c>
      <c r="BH60" s="38">
        <f t="shared" si="305"/>
        <v>2.2119446108712536E-2</v>
      </c>
      <c r="BI60" s="38">
        <f t="shared" si="305"/>
        <v>2.2119446108712536E-2</v>
      </c>
    </row>
    <row r="61" spans="1:61" ht="12.75" customHeight="1" x14ac:dyDescent="0.2">
      <c r="A61" s="34"/>
      <c r="B61" s="2"/>
      <c r="C61" s="2"/>
      <c r="D61" s="2"/>
      <c r="E61" s="2"/>
      <c r="F61" s="2"/>
      <c r="G61" s="2"/>
      <c r="H61" s="2"/>
      <c r="I61" s="2"/>
      <c r="J61" s="2"/>
      <c r="K61" s="2"/>
      <c r="L61" s="2"/>
      <c r="M61" s="2"/>
      <c r="N61" s="2"/>
      <c r="O61" s="2"/>
      <c r="P61" s="2"/>
      <c r="Q61" s="2"/>
      <c r="R61" s="2"/>
      <c r="S61" s="2"/>
      <c r="T61" s="2"/>
      <c r="U61" s="2"/>
      <c r="V61" s="2"/>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row>
    <row r="62" spans="1:61" ht="12.75" customHeight="1" x14ac:dyDescent="0.2">
      <c r="A62" s="39" t="s">
        <v>30</v>
      </c>
      <c r="B62" s="40"/>
      <c r="C62" s="40"/>
      <c r="D62" s="40"/>
      <c r="E62" s="40"/>
      <c r="F62" s="40"/>
      <c r="G62" s="40"/>
      <c r="H62" s="40"/>
      <c r="I62" s="40"/>
      <c r="J62" s="40"/>
      <c r="K62" s="40"/>
      <c r="L62" s="40"/>
      <c r="M62" s="40"/>
      <c r="N62" s="40"/>
      <c r="O62" s="40"/>
      <c r="P62" s="40"/>
      <c r="Q62" s="40"/>
      <c r="R62" s="40"/>
      <c r="S62" s="40"/>
      <c r="T62" s="40"/>
      <c r="U62" s="40"/>
      <c r="V62" s="40"/>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row>
    <row r="63" spans="1:61" ht="12.75" customHeight="1" x14ac:dyDescent="0.2">
      <c r="A63" s="35" t="s">
        <v>31</v>
      </c>
      <c r="B63" s="42"/>
      <c r="C63" s="42"/>
      <c r="D63" s="42"/>
      <c r="E63" s="42"/>
      <c r="F63" s="42">
        <f>F54/IS!F113</f>
        <v>-1.7576564580559255</v>
      </c>
      <c r="G63" s="42">
        <f>G54/IS!G113</f>
        <v>-1.3951219512195121</v>
      </c>
      <c r="H63" s="42">
        <f>H54/IS!H113</f>
        <v>-1.0634146341463415</v>
      </c>
      <c r="I63" s="42">
        <f>I54/IS!I113</f>
        <v>-0.99509803921568629</v>
      </c>
      <c r="J63" s="42">
        <f>J54/IS!J113</f>
        <v>-0.57635467980295563</v>
      </c>
      <c r="K63" s="42">
        <f>K54/IS!K113</f>
        <v>-0.57282741738066101</v>
      </c>
      <c r="L63" s="42">
        <f>L54/IS!L113</f>
        <v>-0.96039603960396036</v>
      </c>
      <c r="M63" s="42">
        <f>M54/IS!M113</f>
        <v>-1.1299999999999999</v>
      </c>
      <c r="N63" s="42">
        <f>N54/IS!N113</f>
        <v>-1.4693877551020409</v>
      </c>
      <c r="O63" s="42">
        <f>O54/IS!O113</f>
        <v>-1.87434554973822</v>
      </c>
      <c r="P63" s="42">
        <f>P54/IS!P113</f>
        <v>-1.814955640050697</v>
      </c>
      <c r="Q63" s="42">
        <f>Q54/IS!Q113</f>
        <v>-1.8148148148148149</v>
      </c>
      <c r="R63" s="42">
        <f>R54/IS!R113</f>
        <v>-1.5767195767195767</v>
      </c>
      <c r="S63" s="42">
        <f>S54/IS!S113</f>
        <v>-1.3333333333333333</v>
      </c>
      <c r="T63" s="42">
        <f>T54/IS!T113</f>
        <v>-1.3650793650793651</v>
      </c>
      <c r="U63" s="42">
        <f>U54/IS!U113</f>
        <v>-1.3650793650793651</v>
      </c>
      <c r="V63" s="42">
        <f>V54/IS!V113</f>
        <v>-1.037037037037037</v>
      </c>
      <c r="W63" s="42">
        <f>W54/IS!W113</f>
        <v>-1.2606382978723405</v>
      </c>
      <c r="X63" s="42">
        <f>X54/IS!X113</f>
        <v>-1.010752688172043</v>
      </c>
      <c r="Y63" s="42">
        <f>Y54/IS!Y113</f>
        <v>-0.40860215053763443</v>
      </c>
      <c r="Z63" s="42">
        <f>Z54/IS!Z113</f>
        <v>-0.40587449933244324</v>
      </c>
      <c r="AA63" s="42">
        <f>AA54/IS!AA113</f>
        <v>-0.29569892473118281</v>
      </c>
      <c r="AB63" s="42">
        <f>AB54/IS!AB113</f>
        <v>-0.30601092896174864</v>
      </c>
      <c r="AC63" s="42">
        <f>AC54/IS!AC113</f>
        <v>0.12568306010928962</v>
      </c>
      <c r="AD63" s="42">
        <f>AD54/IS!AD113</f>
        <v>0.74175824175824179</v>
      </c>
      <c r="AE63" s="42">
        <f>AE54/IS!AE113</f>
        <v>0.73569482288828336</v>
      </c>
      <c r="AF63" s="42">
        <f>AF54/IS!AF113</f>
        <v>0.91758241758241754</v>
      </c>
      <c r="AG63" s="42">
        <f>AG54/IS!AG113</f>
        <v>1.1049723756906078</v>
      </c>
      <c r="AH63" s="42">
        <f>AH54/IS!AH113</f>
        <v>1.2625698324022345</v>
      </c>
      <c r="AI63" s="42">
        <f>AI54/IS!AI113</f>
        <v>1.7166853303471443</v>
      </c>
      <c r="AJ63" s="42">
        <f>AJ54/IS!AJ113</f>
        <v>1.7019150707743544</v>
      </c>
      <c r="AK63" s="42">
        <f>AK54/IS!AK113</f>
        <v>1.6409529211571185</v>
      </c>
      <c r="AL63" s="42">
        <f>AL54/IS!AL113</f>
        <v>7.9467284308048649</v>
      </c>
      <c r="AM63" s="42">
        <f>AM54/IS!AM113</f>
        <v>1.7563076923076921</v>
      </c>
      <c r="AN63" s="42">
        <f>AN54/IS!AN113</f>
        <v>1.4597701149425288</v>
      </c>
      <c r="AO63" s="42">
        <f>AO54/IS!AO113</f>
        <v>1.2491163362532656</v>
      </c>
      <c r="AP63" s="42">
        <f>AP54/IS!AP113</f>
        <v>0.48831951770911824</v>
      </c>
      <c r="AQ63" s="42">
        <f>AQ54/IS!AQ113</f>
        <v>0.45983167559296095</v>
      </c>
      <c r="AR63" s="42">
        <f>AR54/IS!AR113</f>
        <v>0.81797235023041481</v>
      </c>
      <c r="AS63" s="42">
        <f>AS54/IS!AS113</f>
        <v>1.4244052187260168</v>
      </c>
      <c r="AT63" s="42">
        <f>AT54/IS!AT113</f>
        <v>1.4170643252529109</v>
      </c>
      <c r="AU63" s="42">
        <f>AU54/IS!AU113</f>
        <v>1.7745173745173743</v>
      </c>
      <c r="AV63" s="42">
        <f>AV54/IS!AV113</f>
        <v>1.9399375975039002</v>
      </c>
      <c r="AW63" s="42">
        <f>AW54/IS!AW113</f>
        <v>2.4461778471138844</v>
      </c>
      <c r="AX63" s="42">
        <f>AX54/IS!AX113</f>
        <v>2.6362928348909622</v>
      </c>
      <c r="AY63" s="42">
        <f>AY54/IS!AY113</f>
        <v>2.6327046470931328</v>
      </c>
      <c r="AZ63" s="42">
        <f>AZ54/IS!AZ113</f>
        <v>2.399375975039002</v>
      </c>
      <c r="BA63" s="42">
        <f>BA54/IS!BA113</f>
        <v>2.4786137992146067</v>
      </c>
      <c r="BB63" s="42">
        <f>BB54/IS!BB113</f>
        <v>2.6258407212959938</v>
      </c>
      <c r="BC63" s="42">
        <f>BC54/IS!BC113</f>
        <v>2.7547077206293569</v>
      </c>
      <c r="BD63" s="42">
        <f>BD54/IS!BD113</f>
        <v>2.7554154608893371</v>
      </c>
      <c r="BE63" s="42">
        <f>BE54/IS!BE113</f>
        <v>2.8991498099826454</v>
      </c>
      <c r="BF63" s="42">
        <f>BF54/IS!BF113</f>
        <v>3.0592162895068613</v>
      </c>
      <c r="BG63" s="42">
        <f>BG54/IS!BG113</f>
        <v>3.253371220261394</v>
      </c>
      <c r="BH63" s="42">
        <f>BH54/IS!BH113</f>
        <v>3.4314427224615773</v>
      </c>
      <c r="BI63" s="42">
        <f>BI54/IS!BI113</f>
        <v>3.4323243296630657</v>
      </c>
    </row>
    <row r="64" spans="1:61" ht="12.75" customHeight="1" x14ac:dyDescent="0.2">
      <c r="A64" s="34" t="s">
        <v>32</v>
      </c>
      <c r="B64" s="43"/>
      <c r="C64" s="43"/>
      <c r="D64" s="43"/>
      <c r="E64" s="43"/>
      <c r="F64" s="43">
        <f>F55/F58</f>
        <v>-3.1797603195739015</v>
      </c>
      <c r="G64" s="43">
        <f t="shared" ref="G64:AT64" si="306">G55/G58</f>
        <v>-2.7121951219512197</v>
      </c>
      <c r="H64" s="43">
        <f t="shared" si="306"/>
        <v>-2.6097560975609757</v>
      </c>
      <c r="I64" s="43">
        <f t="shared" si="306"/>
        <v>-2.6323529411764706</v>
      </c>
      <c r="J64" s="43">
        <f t="shared" si="306"/>
        <v>-2.2266009852216748</v>
      </c>
      <c r="K64" s="43">
        <f t="shared" si="306"/>
        <v>-2.2129742962056302</v>
      </c>
      <c r="L64" s="43">
        <f t="shared" si="306"/>
        <v>-2.9059405940594059</v>
      </c>
      <c r="M64" s="43">
        <f t="shared" si="306"/>
        <v>-3.11</v>
      </c>
      <c r="N64" s="43">
        <f t="shared" si="306"/>
        <v>-3.5</v>
      </c>
      <c r="O64" s="43">
        <f t="shared" si="306"/>
        <v>-4.2198952879581153</v>
      </c>
      <c r="P64" s="43">
        <f t="shared" si="306"/>
        <v>-4.086185044359949</v>
      </c>
      <c r="Q64" s="43">
        <f t="shared" si="306"/>
        <v>-4.3174603174603172</v>
      </c>
      <c r="R64" s="43">
        <f t="shared" si="306"/>
        <v>-4.105820105820106</v>
      </c>
      <c r="S64" s="43">
        <f t="shared" si="306"/>
        <v>-3.925925925925926</v>
      </c>
      <c r="T64" s="43">
        <f t="shared" si="306"/>
        <v>-4.0317460317460316</v>
      </c>
      <c r="U64" s="43">
        <f t="shared" si="306"/>
        <v>-4.0317460317460316</v>
      </c>
      <c r="V64" s="43">
        <f t="shared" si="306"/>
        <v>-3.7195767195767195</v>
      </c>
      <c r="W64" s="43">
        <f t="shared" si="306"/>
        <v>-3.9361702127659575</v>
      </c>
      <c r="X64" s="43">
        <f t="shared" si="306"/>
        <v>-3.752688172043011</v>
      </c>
      <c r="Y64" s="43">
        <f t="shared" si="306"/>
        <v>-3.252688172043011</v>
      </c>
      <c r="Z64" s="43">
        <f t="shared" si="306"/>
        <v>-3.2309746328437918</v>
      </c>
      <c r="AA64" s="43">
        <f t="shared" si="306"/>
        <v>-4.268817204301075</v>
      </c>
      <c r="AB64" s="43">
        <f t="shared" si="306"/>
        <v>-4.306010928961749</v>
      </c>
      <c r="AC64" s="43">
        <f t="shared" si="306"/>
        <v>-4.0983606557377046</v>
      </c>
      <c r="AD64" s="43">
        <f t="shared" si="306"/>
        <v>-3.5164835164835164</v>
      </c>
      <c r="AE64" s="43">
        <f t="shared" si="306"/>
        <v>-3.4877384196185286</v>
      </c>
      <c r="AF64" s="43">
        <f t="shared" si="306"/>
        <v>-3.3791208791208791</v>
      </c>
      <c r="AG64" s="43">
        <f t="shared" si="306"/>
        <v>-3.2486187845303869</v>
      </c>
      <c r="AH64" s="43">
        <f t="shared" si="306"/>
        <v>-3.2290502793296088</v>
      </c>
      <c r="AI64" s="43">
        <f t="shared" si="306"/>
        <v>-1.9960806270996645</v>
      </c>
      <c r="AJ64" s="43">
        <f t="shared" si="306"/>
        <v>-1.9789064668331948</v>
      </c>
      <c r="AK64" s="43">
        <f t="shared" si="306"/>
        <v>-2.1491775382870109</v>
      </c>
      <c r="AL64" s="43">
        <f t="shared" si="306"/>
        <v>4.0492182976259414</v>
      </c>
      <c r="AM64" s="43">
        <f t="shared" si="306"/>
        <v>-2.4159999999999999</v>
      </c>
      <c r="AN64" s="43">
        <f t="shared" si="306"/>
        <v>-3.4295977011494259</v>
      </c>
      <c r="AO64" s="43">
        <f t="shared" si="306"/>
        <v>-2.9346857230674659</v>
      </c>
      <c r="AP64" s="43">
        <f>AP55/AP58</f>
        <v>-4.6782215523737767</v>
      </c>
      <c r="AQ64" s="43">
        <f t="shared" si="306"/>
        <v>-4.8370313695485843</v>
      </c>
      <c r="AR64" s="43">
        <f t="shared" si="306"/>
        <v>-4.5099846390168974</v>
      </c>
      <c r="AS64" s="43">
        <f t="shared" si="306"/>
        <v>-3.990790483499616</v>
      </c>
      <c r="AT64" s="43">
        <f t="shared" si="306"/>
        <v>-3.9702233250620349</v>
      </c>
      <c r="AU64" s="43">
        <f t="shared" ref="AU64:AY64" si="307">AU55/AU58</f>
        <v>-3.5498069498069502</v>
      </c>
      <c r="AV64" s="43">
        <f t="shared" si="307"/>
        <v>-3.448517940717629</v>
      </c>
      <c r="AW64" s="43">
        <f t="shared" si="307"/>
        <v>-3.11622464898596</v>
      </c>
      <c r="AX64" s="43">
        <f t="shared" si="307"/>
        <v>-3.1308411214953304</v>
      </c>
      <c r="AY64" s="43">
        <f t="shared" si="307"/>
        <v>-3.1265798172273032</v>
      </c>
      <c r="AZ64" s="43">
        <f t="shared" ref="AZ64:BD64" si="308">AZ55/AZ58</f>
        <v>-7.7792511700468028</v>
      </c>
      <c r="BA64" s="43">
        <f t="shared" si="308"/>
        <v>-7.7000133458711986</v>
      </c>
      <c r="BB64" s="43">
        <f t="shared" si="308"/>
        <v>-7.5527864237898115</v>
      </c>
      <c r="BC64" s="43">
        <f t="shared" si="308"/>
        <v>-7.4204335258328538</v>
      </c>
      <c r="BD64" s="43">
        <f t="shared" si="308"/>
        <v>-7.4223399856410612</v>
      </c>
      <c r="BE64" s="43">
        <f t="shared" ref="BE64:BI64" si="309">BE55/BE58</f>
        <v>-7.2794773351031594</v>
      </c>
      <c r="BF64" s="43">
        <f t="shared" si="309"/>
        <v>-7.1194108555789439</v>
      </c>
      <c r="BG64" s="43">
        <f t="shared" si="309"/>
        <v>-6.9252559248244108</v>
      </c>
      <c r="BH64" s="43">
        <f t="shared" si="309"/>
        <v>-6.7436985240006333</v>
      </c>
      <c r="BI64" s="43">
        <f t="shared" si="309"/>
        <v>-6.7454311168673327</v>
      </c>
    </row>
    <row r="65" spans="1:61" ht="12.75" customHeight="1" x14ac:dyDescent="0.2">
      <c r="A65" s="35" t="s">
        <v>33</v>
      </c>
      <c r="B65" s="43"/>
      <c r="C65" s="43"/>
      <c r="D65" s="43"/>
      <c r="E65" s="43"/>
      <c r="F65" s="43">
        <f>F50/F58</f>
        <v>0.91611185086551261</v>
      </c>
      <c r="G65" s="43">
        <f t="shared" ref="G65:AT65" si="310">G50/G58</f>
        <v>1.1512195121951219</v>
      </c>
      <c r="H65" s="43">
        <f t="shared" si="310"/>
        <v>0.65853658536585369</v>
      </c>
      <c r="I65" s="43">
        <f t="shared" si="310"/>
        <v>0.6470588235294118</v>
      </c>
      <c r="J65" s="43">
        <f t="shared" si="310"/>
        <v>0.99014778325123154</v>
      </c>
      <c r="K65" s="43">
        <f t="shared" si="310"/>
        <v>0.98408812729498163</v>
      </c>
      <c r="L65" s="43">
        <f t="shared" si="310"/>
        <v>0.56930693069306926</v>
      </c>
      <c r="M65" s="43">
        <f t="shared" si="310"/>
        <v>0.63500000000000001</v>
      </c>
      <c r="N65" s="43">
        <f t="shared" si="310"/>
        <v>0.54591836734693877</v>
      </c>
      <c r="O65" s="43">
        <f t="shared" si="310"/>
        <v>0.50261780104712039</v>
      </c>
      <c r="P65" s="43">
        <f t="shared" si="310"/>
        <v>0.48669201520912547</v>
      </c>
      <c r="Q65" s="43">
        <f t="shared" si="310"/>
        <v>0.52380952380952384</v>
      </c>
      <c r="R65" s="43">
        <f t="shared" si="310"/>
        <v>0.60317460317460314</v>
      </c>
      <c r="S65" s="43">
        <f t="shared" si="310"/>
        <v>0.66666666666666663</v>
      </c>
      <c r="T65" s="43">
        <f t="shared" si="310"/>
        <v>0.84126984126984128</v>
      </c>
      <c r="U65" s="43">
        <f t="shared" si="310"/>
        <v>0.84126984126984128</v>
      </c>
      <c r="V65" s="43">
        <f t="shared" si="310"/>
        <v>0.8571428571428571</v>
      </c>
      <c r="W65" s="43">
        <f t="shared" si="310"/>
        <v>4.1170212765957448</v>
      </c>
      <c r="X65" s="43">
        <f t="shared" si="310"/>
        <v>4.0376344086021509</v>
      </c>
      <c r="Y65" s="43">
        <f t="shared" si="310"/>
        <v>4.086021505376344</v>
      </c>
      <c r="Z65" s="43">
        <f t="shared" si="310"/>
        <v>4.0587449933244324</v>
      </c>
      <c r="AA65" s="43">
        <f t="shared" si="310"/>
        <v>2.8333333333333335</v>
      </c>
      <c r="AB65" s="43">
        <f t="shared" si="310"/>
        <v>1.3497267759562841</v>
      </c>
      <c r="AC65" s="43">
        <f t="shared" si="310"/>
        <v>1.2349726775956285</v>
      </c>
      <c r="AD65" s="43">
        <f t="shared" si="310"/>
        <v>1.2637362637362637</v>
      </c>
      <c r="AE65" s="43">
        <f t="shared" si="310"/>
        <v>1.2534059945504088</v>
      </c>
      <c r="AF65" s="43">
        <f t="shared" si="310"/>
        <v>0.8351648351648352</v>
      </c>
      <c r="AG65" s="43">
        <f t="shared" si="310"/>
        <v>0.65193370165745856</v>
      </c>
      <c r="AH65" s="43">
        <f t="shared" si="310"/>
        <v>0.54748603351955305</v>
      </c>
      <c r="AI65" s="43">
        <f t="shared" si="310"/>
        <v>0.13101903695408734</v>
      </c>
      <c r="AJ65" s="43">
        <f t="shared" si="310"/>
        <v>0.12989175686927559</v>
      </c>
      <c r="AK65" s="43">
        <f t="shared" si="310"/>
        <v>0.11911514463981848</v>
      </c>
      <c r="AL65" s="43">
        <f t="shared" si="310"/>
        <v>13.517660683265779</v>
      </c>
      <c r="AM65" s="43">
        <f t="shared" si="310"/>
        <v>3.2412307692307696</v>
      </c>
      <c r="AN65" s="43">
        <f t="shared" si="310"/>
        <v>2.938936781609196</v>
      </c>
      <c r="AO65" s="43">
        <f t="shared" si="310"/>
        <v>2.5148301828799755</v>
      </c>
      <c r="AP65" s="43">
        <f t="shared" si="310"/>
        <v>3.1703089675960814</v>
      </c>
      <c r="AQ65" s="43">
        <f t="shared" si="310"/>
        <v>3.7834736036725327</v>
      </c>
      <c r="AR65" s="43">
        <f t="shared" si="310"/>
        <v>0.50460829493087567</v>
      </c>
      <c r="AS65" s="43">
        <f t="shared" si="310"/>
        <v>0.52417498081350722</v>
      </c>
      <c r="AT65" s="43">
        <f t="shared" si="310"/>
        <v>0.52147356365718645</v>
      </c>
      <c r="AU65" s="43">
        <f t="shared" ref="AU65:AY65" si="311">AU50/AU58</f>
        <v>0.46332046332046334</v>
      </c>
      <c r="AV65" s="43">
        <f t="shared" si="311"/>
        <v>0.48283931357254295</v>
      </c>
      <c r="AW65" s="43">
        <f t="shared" si="311"/>
        <v>0.53276131045241815</v>
      </c>
      <c r="AX65" s="43">
        <f t="shared" si="311"/>
        <v>0.40186915887850466</v>
      </c>
      <c r="AY65" s="43">
        <f t="shared" si="311"/>
        <v>0.40132218549484744</v>
      </c>
      <c r="AZ65" s="43">
        <f t="shared" ref="AZ65:BD65" si="312">AZ50/AZ58</f>
        <v>0.545241809672387</v>
      </c>
      <c r="BA65" s="43">
        <f t="shared" si="312"/>
        <v>0.55427836058789481</v>
      </c>
      <c r="BB65" s="43">
        <f t="shared" si="312"/>
        <v>0.57925129332702285</v>
      </c>
      <c r="BC65" s="43">
        <f t="shared" si="312"/>
        <v>0.59946856371536161</v>
      </c>
      <c r="BD65" s="43">
        <f t="shared" si="312"/>
        <v>0.59962257934248486</v>
      </c>
      <c r="BE65" s="43">
        <f t="shared" ref="BE65:BI65" si="313">BE50/BE58</f>
        <v>0.61634558356777425</v>
      </c>
      <c r="BF65" s="43">
        <f t="shared" si="313"/>
        <v>0.63454272327516181</v>
      </c>
      <c r="BG65" s="43">
        <f t="shared" si="313"/>
        <v>0.6591975231298417</v>
      </c>
      <c r="BH65" s="43">
        <f t="shared" si="313"/>
        <v>0.68736650003887745</v>
      </c>
      <c r="BI65" s="43">
        <f t="shared" si="313"/>
        <v>0.68754309842780859</v>
      </c>
    </row>
    <row r="66" spans="1:61" ht="12.75" customHeight="1" x14ac:dyDescent="0.2">
      <c r="A66" s="45" t="s">
        <v>34</v>
      </c>
      <c r="B66" s="37"/>
      <c r="C66" s="37"/>
      <c r="D66" s="37"/>
      <c r="E66" s="37"/>
      <c r="F66" s="37">
        <f>F51/F53</f>
        <v>1.7990314769975786</v>
      </c>
      <c r="G66" s="37">
        <f t="shared" ref="G66:AT66" si="314">G51/G53</f>
        <v>1.6299559471365639</v>
      </c>
      <c r="H66" s="37">
        <f t="shared" si="314"/>
        <v>1.4200385356454721</v>
      </c>
      <c r="I66" s="37">
        <f t="shared" si="314"/>
        <v>1.3830188679245283</v>
      </c>
      <c r="J66" s="37">
        <f t="shared" si="314"/>
        <v>1.1161866931479643</v>
      </c>
      <c r="K66" s="37">
        <f t="shared" si="314"/>
        <v>1.1161866931479643</v>
      </c>
      <c r="L66" s="37">
        <f t="shared" si="314"/>
        <v>1.1995884773662551</v>
      </c>
      <c r="M66" s="37">
        <f t="shared" si="314"/>
        <v>1.2306122448979593</v>
      </c>
      <c r="N66" s="37">
        <f t="shared" si="314"/>
        <v>1.2972136222910218</v>
      </c>
      <c r="O66" s="37">
        <f t="shared" si="314"/>
        <v>1.3713692946058091</v>
      </c>
      <c r="P66" s="37">
        <f t="shared" si="314"/>
        <v>1.3713692946058091</v>
      </c>
      <c r="Q66" s="37">
        <f t="shared" si="314"/>
        <v>1.3507157464212678</v>
      </c>
      <c r="R66" s="37">
        <f t="shared" si="314"/>
        <v>1.2838095238095237</v>
      </c>
      <c r="S66" s="37">
        <f t="shared" si="314"/>
        <v>1.2314049586776858</v>
      </c>
      <c r="T66" s="37">
        <f t="shared" si="314"/>
        <v>1.2380073800738007</v>
      </c>
      <c r="U66" s="37">
        <f t="shared" si="314"/>
        <v>1.2380073800738007</v>
      </c>
      <c r="V66" s="37">
        <f t="shared" si="314"/>
        <v>1.1695501730103806</v>
      </c>
      <c r="W66" s="37">
        <f t="shared" si="314"/>
        <v>1.1342015855039638</v>
      </c>
      <c r="X66" s="37">
        <f t="shared" si="314"/>
        <v>1.1065155807365439</v>
      </c>
      <c r="Y66" s="37">
        <f t="shared" si="314"/>
        <v>1.0402969247083775</v>
      </c>
      <c r="Z66" s="37">
        <f t="shared" si="314"/>
        <v>1.0402969247083775</v>
      </c>
      <c r="AA66" s="37">
        <f t="shared" si="314"/>
        <v>1.0286458333333333</v>
      </c>
      <c r="AB66" s="37">
        <f t="shared" si="314"/>
        <v>1.0336538461538463</v>
      </c>
      <c r="AC66" s="37">
        <f t="shared" si="314"/>
        <v>0.98659673659673663</v>
      </c>
      <c r="AD66" s="37">
        <f t="shared" si="314"/>
        <v>0.92618917441224713</v>
      </c>
      <c r="AE66" s="37">
        <f t="shared" si="314"/>
        <v>0.92618917441224713</v>
      </c>
      <c r="AF66" s="37">
        <f t="shared" si="314"/>
        <v>0.91026329930145078</v>
      </c>
      <c r="AG66" s="37">
        <f t="shared" si="314"/>
        <v>0.89445910290237463</v>
      </c>
      <c r="AH66" s="37">
        <f t="shared" si="314"/>
        <v>0.88265835929387326</v>
      </c>
      <c r="AI66" s="37">
        <f t="shared" si="314"/>
        <v>0.84625413699729213</v>
      </c>
      <c r="AJ66" s="37">
        <f t="shared" si="314"/>
        <v>0.84625413699729213</v>
      </c>
      <c r="AK66" s="37">
        <f t="shared" si="314"/>
        <v>0.86667588368127557</v>
      </c>
      <c r="AL66" s="37">
        <f t="shared" si="314"/>
        <v>0.53785021551724133</v>
      </c>
      <c r="AM66" s="37">
        <f t="shared" si="314"/>
        <v>0.84794075336991848</v>
      </c>
      <c r="AN66" s="37">
        <f t="shared" si="314"/>
        <v>0.88643603643883084</v>
      </c>
      <c r="AO66" s="37">
        <f t="shared" si="314"/>
        <v>0.88643603643883084</v>
      </c>
      <c r="AP66" s="37">
        <f t="shared" si="314"/>
        <v>0.96061747903245409</v>
      </c>
      <c r="AQ66" s="37">
        <f t="shared" si="314"/>
        <v>0.96324608610567519</v>
      </c>
      <c r="AR66" s="37">
        <f t="shared" si="314"/>
        <v>0.91520700636942676</v>
      </c>
      <c r="AS66" s="37">
        <f t="shared" si="314"/>
        <v>0.85493199937470699</v>
      </c>
      <c r="AT66" s="37">
        <f t="shared" si="314"/>
        <v>0.85493199937470699</v>
      </c>
      <c r="AU66" s="37">
        <f t="shared" ref="AU66:AY66" si="315">AU51/AU53</f>
        <v>0.81803784939425139</v>
      </c>
      <c r="AV66" s="37">
        <f t="shared" si="315"/>
        <v>0.81221685291452728</v>
      </c>
      <c r="AW66" s="37">
        <f t="shared" si="315"/>
        <v>0.77492284504413989</v>
      </c>
      <c r="AX66" s="37">
        <f t="shared" si="315"/>
        <v>0.76035398230088524</v>
      </c>
      <c r="AY66" s="37">
        <f t="shared" si="315"/>
        <v>0.76035398230088524</v>
      </c>
      <c r="AZ66" s="37">
        <f t="shared" ref="AZ66:BD66" si="316">AZ51/AZ53</f>
        <v>0.84404786047454872</v>
      </c>
      <c r="BA66" s="37">
        <f t="shared" si="316"/>
        <v>0.83891057069302255</v>
      </c>
      <c r="BB66" s="37">
        <f t="shared" si="316"/>
        <v>0.83010638372992318</v>
      </c>
      <c r="BC66" s="37">
        <f t="shared" si="316"/>
        <v>0.82230318149179682</v>
      </c>
      <c r="BD66" s="37">
        <f t="shared" si="316"/>
        <v>0.82230318149179682</v>
      </c>
      <c r="BE66" s="37">
        <f t="shared" ref="BE66:BI66" si="317">BE51/BE53</f>
        <v>0.81336860813578704</v>
      </c>
      <c r="BF66" s="37">
        <f t="shared" si="317"/>
        <v>0.8036088171862491</v>
      </c>
      <c r="BG66" s="37">
        <f t="shared" si="317"/>
        <v>0.79217405365155757</v>
      </c>
      <c r="BH66" s="37">
        <f t="shared" si="317"/>
        <v>0.78159211949221163</v>
      </c>
      <c r="BI66" s="37">
        <f t="shared" si="317"/>
        <v>0.78159211949221163</v>
      </c>
    </row>
    <row r="67" spans="1:61" ht="12.75" customHeight="1" x14ac:dyDescent="0.2">
      <c r="A67" s="45" t="s">
        <v>35</v>
      </c>
      <c r="B67" s="37"/>
      <c r="C67" s="37"/>
      <c r="D67" s="37"/>
      <c r="E67" s="37"/>
      <c r="F67" s="37">
        <f>F52/F53</f>
        <v>1.3825665859564165</v>
      </c>
      <c r="G67" s="37">
        <f t="shared" ref="G67:AT67" si="318">G52/G53</f>
        <v>1.1101321585903083</v>
      </c>
      <c r="H67" s="37">
        <f t="shared" si="318"/>
        <v>1.1599229287090558</v>
      </c>
      <c r="I67" s="37">
        <f t="shared" si="318"/>
        <v>1.1339622641509435</v>
      </c>
      <c r="J67" s="37">
        <f t="shared" si="318"/>
        <v>0.91658391261171801</v>
      </c>
      <c r="K67" s="37">
        <f t="shared" si="318"/>
        <v>0.91658391261171801</v>
      </c>
      <c r="L67" s="37">
        <f t="shared" si="318"/>
        <v>1.081275720164609</v>
      </c>
      <c r="M67" s="37">
        <f t="shared" si="318"/>
        <v>1.1010204081632653</v>
      </c>
      <c r="N67" s="37">
        <f t="shared" si="318"/>
        <v>1.1867905056759547</v>
      </c>
      <c r="O67" s="37">
        <f t="shared" si="318"/>
        <v>1.2717842323651452</v>
      </c>
      <c r="P67" s="37">
        <f t="shared" si="318"/>
        <v>1.2717842323651452</v>
      </c>
      <c r="Q67" s="37">
        <f t="shared" si="318"/>
        <v>1.2494887525562373</v>
      </c>
      <c r="R67" s="37">
        <f t="shared" si="318"/>
        <v>1.1752380952380952</v>
      </c>
      <c r="S67" s="37">
        <f t="shared" si="318"/>
        <v>1.115702479338843</v>
      </c>
      <c r="T67" s="37">
        <f t="shared" si="318"/>
        <v>1.0913284132841328</v>
      </c>
      <c r="U67" s="37">
        <f t="shared" si="318"/>
        <v>1.0913284132841328</v>
      </c>
      <c r="V67" s="37">
        <f t="shared" si="318"/>
        <v>1.0294117647058822</v>
      </c>
      <c r="W67" s="37">
        <f t="shared" si="318"/>
        <v>0.69592298980747447</v>
      </c>
      <c r="X67" s="37">
        <f t="shared" si="318"/>
        <v>0.68101983002832867</v>
      </c>
      <c r="Y67" s="37">
        <f t="shared" si="318"/>
        <v>0.6373276776246023</v>
      </c>
      <c r="Z67" s="37">
        <f t="shared" si="318"/>
        <v>0.6373276776246023</v>
      </c>
      <c r="AA67" s="37">
        <f t="shared" si="318"/>
        <v>0.75416666666666665</v>
      </c>
      <c r="AB67" s="37">
        <f t="shared" si="318"/>
        <v>0.88521634615384615</v>
      </c>
      <c r="AC67" s="37">
        <f t="shared" si="318"/>
        <v>0.8548951048951049</v>
      </c>
      <c r="AD67" s="37">
        <f t="shared" si="318"/>
        <v>0.80043739748496445</v>
      </c>
      <c r="AE67" s="37">
        <f t="shared" si="318"/>
        <v>0.80043739748496445</v>
      </c>
      <c r="AF67" s="37">
        <f t="shared" si="318"/>
        <v>0.82858678130037611</v>
      </c>
      <c r="AG67" s="37">
        <f t="shared" si="318"/>
        <v>0.83218997361477576</v>
      </c>
      <c r="AH67" s="37">
        <f t="shared" si="318"/>
        <v>0.83177570093457942</v>
      </c>
      <c r="AI67" s="37">
        <f t="shared" si="318"/>
        <v>0.83452010831411094</v>
      </c>
      <c r="AJ67" s="37">
        <f t="shared" si="318"/>
        <v>0.83452010831411094</v>
      </c>
      <c r="AK67" s="37">
        <f t="shared" si="318"/>
        <v>0.85699801834185896</v>
      </c>
      <c r="AL67" s="37">
        <f t="shared" si="318"/>
        <v>-0.24828259698275856</v>
      </c>
      <c r="AM67" s="37">
        <f t="shared" si="318"/>
        <v>0.56731845063668807</v>
      </c>
      <c r="AN67" s="37">
        <f t="shared" si="318"/>
        <v>0.65779913932822898</v>
      </c>
      <c r="AO67" s="37">
        <f t="shared" si="318"/>
        <v>0.65779913932822898</v>
      </c>
      <c r="AP67" s="37">
        <f t="shared" si="318"/>
        <v>0.70493497022000728</v>
      </c>
      <c r="AQ67" s="37">
        <f t="shared" si="318"/>
        <v>0.66083659491193736</v>
      </c>
      <c r="AR67" s="37">
        <f t="shared" si="318"/>
        <v>0.86289808917197452</v>
      </c>
      <c r="AS67" s="37">
        <f t="shared" si="318"/>
        <v>0.80154760043770523</v>
      </c>
      <c r="AT67" s="37">
        <f t="shared" si="318"/>
        <v>0.80154760043770523</v>
      </c>
      <c r="AU67" s="37">
        <f t="shared" ref="AU67:AY67" si="319">AU52/AU53</f>
        <v>0.77052814949718906</v>
      </c>
      <c r="AV67" s="37">
        <f t="shared" si="319"/>
        <v>0.76547870733917245</v>
      </c>
      <c r="AW67" s="37">
        <f t="shared" si="319"/>
        <v>0.72590253355343437</v>
      </c>
      <c r="AX67" s="37">
        <f t="shared" si="319"/>
        <v>0.72382300884955775</v>
      </c>
      <c r="AY67" s="37">
        <f t="shared" si="319"/>
        <v>0.72382300884955775</v>
      </c>
      <c r="AZ67" s="37">
        <f t="shared" ref="AZ67:BD67" si="320">AZ52/AZ53</f>
        <v>0.80860880146015002</v>
      </c>
      <c r="BA67" s="37">
        <f t="shared" si="320"/>
        <v>0.80288705431761798</v>
      </c>
      <c r="BB67" s="37">
        <f t="shared" si="320"/>
        <v>0.79262844527222587</v>
      </c>
      <c r="BC67" s="37">
        <f t="shared" si="320"/>
        <v>0.78363350493403661</v>
      </c>
      <c r="BD67" s="37">
        <f t="shared" si="320"/>
        <v>0.78363350493403661</v>
      </c>
      <c r="BE67" s="37">
        <f t="shared" ref="BE67:BI67" si="321">BE52/BE53</f>
        <v>0.773691653969937</v>
      </c>
      <c r="BF67" s="37">
        <f t="shared" si="321"/>
        <v>0.76287335287883473</v>
      </c>
      <c r="BG67" s="37">
        <f t="shared" si="321"/>
        <v>0.75006439576136408</v>
      </c>
      <c r="BH67" s="37">
        <f t="shared" si="321"/>
        <v>0.73784193260351616</v>
      </c>
      <c r="BI67" s="37">
        <f t="shared" si="321"/>
        <v>0.73784193260351616</v>
      </c>
    </row>
    <row r="68" spans="1:61" ht="12.75" customHeight="1" x14ac:dyDescent="0.2">
      <c r="A68" s="45" t="s">
        <v>201</v>
      </c>
      <c r="B68" s="37"/>
      <c r="C68" s="37"/>
      <c r="D68" s="37"/>
      <c r="E68" s="37"/>
      <c r="F68" s="155">
        <f>IS!F96</f>
        <v>273</v>
      </c>
      <c r="G68" s="155">
        <f>IS!G96</f>
        <v>72</v>
      </c>
      <c r="H68" s="155">
        <f>IS!H96</f>
        <v>71</v>
      </c>
      <c r="I68" s="155">
        <f>IS!I96</f>
        <v>56</v>
      </c>
      <c r="J68" s="155">
        <f>IS!J96</f>
        <v>105</v>
      </c>
      <c r="K68" s="155">
        <f>IS!K96</f>
        <v>304</v>
      </c>
      <c r="L68" s="155">
        <f>IS!L96</f>
        <v>-10</v>
      </c>
      <c r="M68" s="155">
        <f>IS!M96</f>
        <v>67</v>
      </c>
      <c r="N68" s="155">
        <f>IS!N96</f>
        <v>64</v>
      </c>
      <c r="O68" s="155">
        <f>IS!O96</f>
        <v>45</v>
      </c>
      <c r="P68" s="155">
        <f>IS!P96</f>
        <v>166</v>
      </c>
      <c r="Q68" s="155">
        <f>IS!Q96</f>
        <v>53</v>
      </c>
      <c r="R68" s="155">
        <f>IS!R96</f>
        <v>63</v>
      </c>
      <c r="S68" s="155">
        <f>IS!S96</f>
        <v>65</v>
      </c>
      <c r="T68" s="155">
        <f>IS!T96</f>
        <v>27</v>
      </c>
      <c r="U68" s="155">
        <f>IS!U96</f>
        <v>208</v>
      </c>
      <c r="V68" s="155">
        <f>IS!V96</f>
        <v>73</v>
      </c>
      <c r="W68" s="155">
        <f>IS!W96</f>
        <v>63</v>
      </c>
      <c r="X68" s="155">
        <f>IS!X96</f>
        <v>59</v>
      </c>
      <c r="Y68" s="155">
        <f>IS!Y96</f>
        <v>122</v>
      </c>
      <c r="Z68" s="155">
        <f>IS!Z96</f>
        <v>317</v>
      </c>
      <c r="AA68" s="155">
        <f>IS!AA96</f>
        <v>87</v>
      </c>
      <c r="AB68" s="155">
        <f>IS!AB96</f>
        <v>68</v>
      </c>
      <c r="AC68" s="155">
        <f>IS!AC96</f>
        <v>97</v>
      </c>
      <c r="AD68" s="155">
        <f>IS!AD96</f>
        <v>168</v>
      </c>
      <c r="AE68" s="155">
        <f>IS!AE96</f>
        <v>420</v>
      </c>
      <c r="AF68" s="155">
        <f>IS!AF96</f>
        <v>34.20000000000001</v>
      </c>
      <c r="AG68" s="155">
        <f>IS!AG96</f>
        <v>23.000000000000011</v>
      </c>
      <c r="AH68" s="155">
        <f>IS!AH96</f>
        <v>39.799999999999983</v>
      </c>
      <c r="AI68" s="155">
        <f>IS!AI96</f>
        <v>12.399999999999958</v>
      </c>
      <c r="AJ68" s="155">
        <f>IS!AJ96</f>
        <v>109.39999999999984</v>
      </c>
      <c r="AK68" s="155">
        <f>IS!AK96</f>
        <v>27.000000000000014</v>
      </c>
      <c r="AL68" s="155">
        <f>IS!AL96</f>
        <v>32.899999999999984</v>
      </c>
      <c r="AM68" s="155">
        <f>IS!AM96</f>
        <v>64.5</v>
      </c>
      <c r="AN68" s="155">
        <f>IS!AN96</f>
        <v>75.000000000000028</v>
      </c>
      <c r="AO68" s="155">
        <f>IS!AO96</f>
        <v>199.4</v>
      </c>
      <c r="AP68" s="155">
        <f>IS!AP96</f>
        <v>33.899999999999984</v>
      </c>
      <c r="AQ68" s="155">
        <f>IS!AQ96</f>
        <v>43.29999999999999</v>
      </c>
      <c r="AR68" s="155">
        <f>IS!AR96</f>
        <v>48.19999999999996</v>
      </c>
      <c r="AS68" s="155">
        <f>IS!AS96</f>
        <v>89.100000000000023</v>
      </c>
      <c r="AT68" s="155">
        <f>IS!AT96</f>
        <v>214.49999999999991</v>
      </c>
      <c r="AU68" s="155">
        <f>IS!AU96</f>
        <v>93.90000000000002</v>
      </c>
      <c r="AV68" s="155">
        <f>IS!AV96</f>
        <v>38.300000000000004</v>
      </c>
      <c r="AW68" s="155">
        <f>IS!AW96</f>
        <v>57.000000000000014</v>
      </c>
      <c r="AX68" s="155">
        <f>IS!AX96</f>
        <v>25.6</v>
      </c>
      <c r="AY68" s="155">
        <f>IS!AY96</f>
        <v>214.79999999999995</v>
      </c>
      <c r="AZ68" s="155">
        <f>IS!AZ96</f>
        <v>-32.199999999999989</v>
      </c>
      <c r="BA68" s="155">
        <f>IS!BA96</f>
        <v>40.435837916583658</v>
      </c>
      <c r="BB68" s="155">
        <f>IS!BB96</f>
        <v>57.622197247604539</v>
      </c>
      <c r="BC68" s="155">
        <f>IS!BC96</f>
        <v>58.769405040393266</v>
      </c>
      <c r="BD68" s="155">
        <f>IS!BD96</f>
        <v>124.62744020458142</v>
      </c>
      <c r="BE68" s="155">
        <f>IS!BE96</f>
        <v>42.996489092001205</v>
      </c>
      <c r="BF68" s="155">
        <f>IS!BF96</f>
        <v>48.720522675004517</v>
      </c>
      <c r="BG68" s="155">
        <f>IS!BG96</f>
        <v>71.390662122731257</v>
      </c>
      <c r="BH68" s="155">
        <f>IS!BH96</f>
        <v>72.794341684079129</v>
      </c>
      <c r="BI68" s="155">
        <f>IS!BI96</f>
        <v>235.9020155738161</v>
      </c>
    </row>
    <row r="69" spans="1:61" ht="12.75" customHeight="1" x14ac:dyDescent="0.2">
      <c r="A69" s="45" t="s">
        <v>202</v>
      </c>
      <c r="B69" s="37"/>
      <c r="C69" s="37"/>
      <c r="D69" s="37"/>
      <c r="E69" s="37"/>
      <c r="F69" s="155">
        <f>IS!F128</f>
        <v>440</v>
      </c>
      <c r="G69" s="155">
        <f>IS!G128</f>
        <v>0</v>
      </c>
      <c r="H69" s="155">
        <f>IS!H128</f>
        <v>0</v>
      </c>
      <c r="I69" s="155">
        <f>IS!I128</f>
        <v>0</v>
      </c>
      <c r="J69" s="155">
        <f>IS!J128</f>
        <v>0</v>
      </c>
      <c r="K69" s="155">
        <f>IS!K128</f>
        <v>447</v>
      </c>
      <c r="L69" s="155">
        <f>IS!L128</f>
        <v>0</v>
      </c>
      <c r="M69" s="155">
        <f>IS!M128</f>
        <v>0</v>
      </c>
      <c r="N69" s="155">
        <f>IS!N128</f>
        <v>0</v>
      </c>
      <c r="O69" s="155">
        <f>IS!O128</f>
        <v>0</v>
      </c>
      <c r="P69" s="155">
        <f>IS!P128</f>
        <v>466</v>
      </c>
      <c r="Q69" s="155">
        <f>IS!Q128</f>
        <v>0</v>
      </c>
      <c r="R69" s="155">
        <f>IS!R128</f>
        <v>0</v>
      </c>
      <c r="S69" s="155">
        <f>IS!S128</f>
        <v>0</v>
      </c>
      <c r="T69" s="155">
        <f>IS!T128</f>
        <v>0</v>
      </c>
      <c r="U69" s="155">
        <f>IS!U128</f>
        <v>478</v>
      </c>
      <c r="V69" s="155">
        <f>IS!V128</f>
        <v>120</v>
      </c>
      <c r="W69" s="155">
        <f>IS!W128</f>
        <v>134</v>
      </c>
      <c r="X69" s="155">
        <f>IS!X128</f>
        <v>99</v>
      </c>
      <c r="Y69" s="155">
        <f>IS!Y128</f>
        <v>150</v>
      </c>
      <c r="Z69" s="155">
        <f>IS!Z128</f>
        <v>503</v>
      </c>
      <c r="AA69" s="155">
        <f>IS!AA128</f>
        <v>145</v>
      </c>
      <c r="AB69" s="155">
        <f>IS!AB128</f>
        <v>152</v>
      </c>
      <c r="AC69" s="155">
        <f>IS!AC128</f>
        <v>173</v>
      </c>
      <c r="AD69" s="155">
        <f>IS!AD128</f>
        <v>155</v>
      </c>
      <c r="AE69" s="155">
        <f>IS!AE128</f>
        <v>625</v>
      </c>
      <c r="AF69" s="155">
        <f>IS!AF128</f>
        <v>72.40000000000002</v>
      </c>
      <c r="AG69" s="155">
        <f>IS!AG128</f>
        <v>69.400000000000006</v>
      </c>
      <c r="AH69" s="155">
        <f>IS!AH128</f>
        <v>86.399999999999977</v>
      </c>
      <c r="AI69" s="155">
        <f>IS!AI128</f>
        <v>87.499999999999972</v>
      </c>
      <c r="AJ69" s="155">
        <f>IS!AJ128</f>
        <v>315.69999999999993</v>
      </c>
      <c r="AK69" s="155">
        <f>IS!AK128</f>
        <v>73.300000000000011</v>
      </c>
      <c r="AL69" s="155">
        <f>IS!AL128</f>
        <v>87.1</v>
      </c>
      <c r="AM69" s="155">
        <f>IS!AM128</f>
        <v>110.4</v>
      </c>
      <c r="AN69" s="155">
        <f>IS!AN128</f>
        <v>109.20000000000005</v>
      </c>
      <c r="AO69" s="155">
        <f>IS!AO128</f>
        <v>380.00000000000006</v>
      </c>
      <c r="AP69" s="155">
        <f>IS!AP128</f>
        <v>90.199999999999989</v>
      </c>
      <c r="AQ69" s="155">
        <f>IS!AQ128</f>
        <v>105.09999999999998</v>
      </c>
      <c r="AR69" s="155">
        <f>IS!AR128</f>
        <v>123.19999999999995</v>
      </c>
      <c r="AS69" s="155">
        <f>IS!AS128</f>
        <v>124.10000000000002</v>
      </c>
      <c r="AT69" s="155">
        <f>IS!AT128</f>
        <v>442.59999999999991</v>
      </c>
      <c r="AU69" s="155">
        <f>IS!AU128</f>
        <v>102.80000000000001</v>
      </c>
      <c r="AV69" s="155">
        <f>IS!AV128</f>
        <v>104.40000000000002</v>
      </c>
      <c r="AW69" s="155">
        <f>IS!AW128</f>
        <v>129.50000000000003</v>
      </c>
      <c r="AX69" s="155">
        <f>IS!AX128</f>
        <v>130.10000000000002</v>
      </c>
      <c r="AY69" s="155">
        <f>IS!AY128</f>
        <v>466.80000000000007</v>
      </c>
      <c r="AZ69" s="155">
        <f>IS!AZ128</f>
        <v>117.4</v>
      </c>
      <c r="BA69" s="155">
        <f>IS!BA128</f>
        <v>126.92750103297004</v>
      </c>
      <c r="BB69" s="155">
        <f>IS!BB128</f>
        <v>151.07097475218279</v>
      </c>
      <c r="BC69" s="155">
        <f>IS!BC128</f>
        <v>154.20049556406715</v>
      </c>
      <c r="BD69" s="155">
        <f>IS!BD128</f>
        <v>549.59897134922005</v>
      </c>
      <c r="BE69" s="155">
        <f>IS!BE128</f>
        <v>134.97432775263317</v>
      </c>
      <c r="BF69" s="155">
        <f>IS!BF128</f>
        <v>143.90595088816383</v>
      </c>
      <c r="BG69" s="155">
        <f>IS!BG128</f>
        <v>174.43508174043586</v>
      </c>
      <c r="BH69" s="155">
        <f>IS!BH128</f>
        <v>177.96716239403824</v>
      </c>
      <c r="BI69" s="155">
        <f>IS!BI128</f>
        <v>631.2825227752711</v>
      </c>
    </row>
    <row r="70" spans="1:61" ht="12.75" customHeight="1" x14ac:dyDescent="0.2">
      <c r="A70" s="45" t="s">
        <v>103</v>
      </c>
      <c r="B70" s="37"/>
      <c r="C70" s="37"/>
      <c r="D70" s="37"/>
      <c r="E70" s="37"/>
      <c r="F70" s="155">
        <f>IS!F86</f>
        <v>1929</v>
      </c>
      <c r="G70" s="155">
        <f>IS!G86</f>
        <v>489</v>
      </c>
      <c r="H70" s="155">
        <f>IS!H86</f>
        <v>514</v>
      </c>
      <c r="I70" s="155">
        <f>IS!I86</f>
        <v>534</v>
      </c>
      <c r="J70" s="155">
        <f>IS!J86</f>
        <v>547</v>
      </c>
      <c r="K70" s="155">
        <f>IS!K86</f>
        <v>2084</v>
      </c>
      <c r="L70" s="155">
        <f>IS!L86</f>
        <v>545</v>
      </c>
      <c r="M70" s="155">
        <f>IS!M86</f>
        <v>569</v>
      </c>
      <c r="N70" s="155">
        <f>IS!N86</f>
        <v>577</v>
      </c>
      <c r="O70" s="155">
        <f>IS!O86</f>
        <v>594</v>
      </c>
      <c r="P70" s="155">
        <f>IS!P86</f>
        <v>2285</v>
      </c>
      <c r="Q70" s="155">
        <f>IS!Q86</f>
        <v>557</v>
      </c>
      <c r="R70" s="155">
        <f>IS!R86</f>
        <v>591</v>
      </c>
      <c r="S70" s="155">
        <f>IS!S86</f>
        <v>613</v>
      </c>
      <c r="T70" s="155">
        <f>IS!T86</f>
        <v>629</v>
      </c>
      <c r="U70" s="155">
        <f>IS!U86</f>
        <v>2390</v>
      </c>
      <c r="V70" s="155">
        <f>IS!V86</f>
        <v>607</v>
      </c>
      <c r="W70" s="155">
        <f>IS!W86</f>
        <v>578</v>
      </c>
      <c r="X70" s="155">
        <f>IS!X86</f>
        <v>516</v>
      </c>
      <c r="Y70" s="155">
        <f>IS!Y86</f>
        <v>652</v>
      </c>
      <c r="Z70" s="155">
        <f>IS!Z86</f>
        <v>2353</v>
      </c>
      <c r="AA70" s="155">
        <f>IS!AA86</f>
        <v>653</v>
      </c>
      <c r="AB70" s="155">
        <f>IS!AB86</f>
        <v>701</v>
      </c>
      <c r="AC70" s="155">
        <f>IS!AC86</f>
        <v>792</v>
      </c>
      <c r="AD70" s="155">
        <f>IS!AD86</f>
        <v>835</v>
      </c>
      <c r="AE70" s="155">
        <f>IS!AE86</f>
        <v>2981</v>
      </c>
      <c r="AF70" s="155">
        <f>IS!AF86</f>
        <v>287.3</v>
      </c>
      <c r="AG70" s="155">
        <f>IS!AG86</f>
        <v>296</v>
      </c>
      <c r="AH70" s="155">
        <f>IS!AH86</f>
        <v>317.39999999999998</v>
      </c>
      <c r="AI70" s="155">
        <f>IS!AI86</f>
        <v>335.4</v>
      </c>
      <c r="AJ70" s="155">
        <f>IS!AJ86</f>
        <v>1236.0999999999999</v>
      </c>
      <c r="AK70" s="155">
        <f>IS!AK86</f>
        <v>332.8</v>
      </c>
      <c r="AL70" s="155">
        <f>IS!AL86</f>
        <v>344.5</v>
      </c>
      <c r="AM70" s="155">
        <f>IS!AM86</f>
        <v>376.2</v>
      </c>
      <c r="AN70" s="155">
        <f>IS!AN86</f>
        <v>390</v>
      </c>
      <c r="AO70" s="155">
        <f>IS!AO86</f>
        <v>1443.5</v>
      </c>
      <c r="AP70" s="155">
        <f>IS!AP86</f>
        <v>373.4</v>
      </c>
      <c r="AQ70" s="155">
        <f>IS!AQ86</f>
        <v>388.7</v>
      </c>
      <c r="AR70" s="155">
        <f>IS!AR86</f>
        <v>421.4</v>
      </c>
      <c r="AS70" s="155">
        <f>IS!AS86</f>
        <v>435.5</v>
      </c>
      <c r="AT70" s="155">
        <f>IS!AT86</f>
        <v>1619</v>
      </c>
      <c r="AU70" s="155">
        <f>IS!AU86</f>
        <v>414.3</v>
      </c>
      <c r="AV70" s="155">
        <f>IS!AV86</f>
        <v>403.2</v>
      </c>
      <c r="AW70" s="155">
        <f>IS!AW86</f>
        <v>439</v>
      </c>
      <c r="AX70" s="155">
        <f>IS!AX86</f>
        <v>453.8</v>
      </c>
      <c r="AY70" s="155">
        <f>IS!AY86</f>
        <v>1710.3</v>
      </c>
      <c r="AZ70" s="155">
        <f>IS!AZ86</f>
        <v>461.8</v>
      </c>
      <c r="BA70" s="155">
        <f>IS!BA86</f>
        <v>505.72101828317045</v>
      </c>
      <c r="BB70" s="155">
        <f>IS!BB86</f>
        <v>541.76954170426529</v>
      </c>
      <c r="BC70" s="155">
        <f>IS!BC86</f>
        <v>560.26367264432781</v>
      </c>
      <c r="BD70" s="155">
        <f>IS!BD86</f>
        <v>2069.5542326317636</v>
      </c>
      <c r="BE70" s="155">
        <f>IS!BE86</f>
        <v>535.22056212032635</v>
      </c>
      <c r="BF70" s="155">
        <f>IS!BF86</f>
        <v>551.63696783807416</v>
      </c>
      <c r="BG70" s="155">
        <f>IS!BG86</f>
        <v>589.76297558586555</v>
      </c>
      <c r="BH70" s="155">
        <f>IS!BH86</f>
        <v>604.56346124198728</v>
      </c>
      <c r="BI70" s="155">
        <f>IS!BI86</f>
        <v>2281.1839667862532</v>
      </c>
    </row>
    <row r="71" spans="1:61" ht="12.75" customHeight="1" x14ac:dyDescent="0.2">
      <c r="A71" s="45" t="s">
        <v>204</v>
      </c>
      <c r="B71" s="37"/>
      <c r="C71" s="37"/>
      <c r="D71" s="37"/>
      <c r="E71" s="37"/>
      <c r="F71" s="155">
        <f>IS!F87</f>
        <v>1168</v>
      </c>
      <c r="G71" s="155">
        <f>IS!G87</f>
        <v>304</v>
      </c>
      <c r="H71" s="155">
        <f>IS!H87</f>
        <v>316</v>
      </c>
      <c r="I71" s="155">
        <f>IS!I87</f>
        <v>337</v>
      </c>
      <c r="J71" s="155">
        <f>IS!J87</f>
        <v>349</v>
      </c>
      <c r="K71" s="155">
        <f>IS!K87</f>
        <v>1306</v>
      </c>
      <c r="L71" s="155">
        <f>IS!L87</f>
        <v>350</v>
      </c>
      <c r="M71" s="155">
        <f>IS!M87</f>
        <v>362</v>
      </c>
      <c r="N71" s="155">
        <f>IS!N87</f>
        <v>376</v>
      </c>
      <c r="O71" s="155">
        <f>IS!O87</f>
        <v>391</v>
      </c>
      <c r="P71" s="155">
        <f>IS!P87</f>
        <v>1479</v>
      </c>
      <c r="Q71" s="155">
        <f>IS!Q87</f>
        <v>374</v>
      </c>
      <c r="R71" s="155">
        <f>IS!R87</f>
        <v>388</v>
      </c>
      <c r="S71" s="155">
        <f>IS!S87</f>
        <v>406</v>
      </c>
      <c r="T71" s="155">
        <f>IS!T87</f>
        <v>412</v>
      </c>
      <c r="U71" s="155">
        <f>IS!U87</f>
        <v>1580</v>
      </c>
      <c r="V71" s="155">
        <f>IS!V87</f>
        <v>396</v>
      </c>
      <c r="W71" s="155">
        <f>IS!W87</f>
        <v>371</v>
      </c>
      <c r="X71" s="155">
        <f>IS!X87</f>
        <v>329</v>
      </c>
      <c r="Y71" s="155">
        <f>IS!Y87</f>
        <v>394</v>
      </c>
      <c r="Z71" s="155">
        <f>IS!Z87</f>
        <v>1490</v>
      </c>
      <c r="AA71" s="155">
        <f>IS!AA87</f>
        <v>425</v>
      </c>
      <c r="AB71" s="155">
        <f>IS!AB87</f>
        <v>454</v>
      </c>
      <c r="AC71" s="155">
        <f>IS!AC87</f>
        <v>533</v>
      </c>
      <c r="AD71" s="155">
        <f>IS!AD87</f>
        <v>589</v>
      </c>
      <c r="AE71" s="155">
        <f>IS!AE87</f>
        <v>2001</v>
      </c>
      <c r="AF71" s="155">
        <f>IS!AF87</f>
        <v>175.1</v>
      </c>
      <c r="AG71" s="155">
        <f>IS!AG87</f>
        <v>188.7</v>
      </c>
      <c r="AH71" s="155">
        <f>IS!AH87</f>
        <v>189.6</v>
      </c>
      <c r="AI71" s="155">
        <f>IS!AI87</f>
        <v>206.3</v>
      </c>
      <c r="AJ71" s="155">
        <f>IS!AJ87</f>
        <v>759.7</v>
      </c>
      <c r="AK71" s="155">
        <f>IS!AK87</f>
        <v>214</v>
      </c>
      <c r="AL71" s="155">
        <f>IS!AL87</f>
        <v>217.8</v>
      </c>
      <c r="AM71" s="155">
        <f>IS!AM87</f>
        <v>225.5</v>
      </c>
      <c r="AN71" s="155">
        <f>IS!AN87</f>
        <v>241.7</v>
      </c>
      <c r="AO71" s="155">
        <f>IS!AO87</f>
        <v>899</v>
      </c>
      <c r="AP71" s="155">
        <f>IS!AP87</f>
        <v>238.6</v>
      </c>
      <c r="AQ71" s="155">
        <f>IS!AQ87</f>
        <v>242.5</v>
      </c>
      <c r="AR71" s="155">
        <f>IS!AR87</f>
        <v>253.9</v>
      </c>
      <c r="AS71" s="155">
        <f>IS!AS87</f>
        <v>265.2</v>
      </c>
      <c r="AT71" s="155">
        <f>IS!AT87</f>
        <v>1000.2</v>
      </c>
      <c r="AU71" s="155">
        <f>IS!AU87</f>
        <v>261.39999999999998</v>
      </c>
      <c r="AV71" s="155">
        <f>IS!AV87</f>
        <v>252.7</v>
      </c>
      <c r="AW71" s="155">
        <f>IS!AW87</f>
        <v>261.39999999999998</v>
      </c>
      <c r="AX71" s="155">
        <f>IS!AX87</f>
        <v>276.3</v>
      </c>
      <c r="AY71" s="155">
        <f>IS!AY87</f>
        <v>1051.8</v>
      </c>
      <c r="AZ71" s="155">
        <f>IS!AZ87</f>
        <v>289.3</v>
      </c>
      <c r="BA71" s="155">
        <f>IS!BA87</f>
        <v>314.80883353517982</v>
      </c>
      <c r="BB71" s="155">
        <f>IS!BB87</f>
        <v>326.59695277445888</v>
      </c>
      <c r="BC71" s="155">
        <f>IS!BC87</f>
        <v>342.68409195185063</v>
      </c>
      <c r="BD71" s="155">
        <f>IS!BD87</f>
        <v>1273.3898782614895</v>
      </c>
      <c r="BE71" s="155">
        <f>IS!BE87</f>
        <v>336.3203574466653</v>
      </c>
      <c r="BF71" s="155">
        <f>IS!BF87</f>
        <v>343.44543854310513</v>
      </c>
      <c r="BG71" s="155">
        <f>IS!BG87</f>
        <v>352.00363955735759</v>
      </c>
      <c r="BH71" s="155">
        <f>IS!BH87</f>
        <v>363.30981161308466</v>
      </c>
      <c r="BI71" s="155">
        <f>IS!BI87</f>
        <v>1395.0792471602126</v>
      </c>
    </row>
    <row r="72" spans="1:61" x14ac:dyDescent="0.2">
      <c r="A72" s="45" t="s">
        <v>37</v>
      </c>
      <c r="B72" s="37"/>
      <c r="C72" s="37"/>
      <c r="D72" s="37"/>
      <c r="E72" s="37"/>
      <c r="F72" s="37">
        <f>(F68+E68+D68+C68)/AVERAGE(F46,E46,D46,C46)</f>
        <v>-0.82727272727272727</v>
      </c>
      <c r="G72" s="37">
        <f>(G68+F68+E68+D68)/AVERAGE(G46,F46,E46,D46)</f>
        <v>-1.0940803382663848</v>
      </c>
      <c r="H72" s="37">
        <f>(H68+G68+F68+E68)/AVERAGE(H46,G46,F46,E46)</f>
        <v>-1.429553264604811</v>
      </c>
      <c r="I72" s="37">
        <f>(I68+H68+G68+F68)/AVERAGE(I46,H46,G46,F46)</f>
        <v>-1.8206364513018323</v>
      </c>
      <c r="J72" s="37">
        <f>(J68+I68+H68+G68)/AVERAGE(J46,I46,H46,G46)</f>
        <v>-1.4757281553398058</v>
      </c>
      <c r="K72" s="37">
        <f>(J68+I68+H68+G68)/AVERAGE(J46,I46,H46,G46)</f>
        <v>-1.4757281553398058</v>
      </c>
      <c r="L72" s="37">
        <f>(L68+J68+I68+H68)/AVERAGE(L46,J46,I46,H46)</f>
        <v>-1.2131147540983607</v>
      </c>
      <c r="M72" s="37">
        <f>(M68+L68+J68+I68)/AVERAGE(M46,L46,J46,I46)</f>
        <v>-1.1783783783783783</v>
      </c>
      <c r="N72" s="37">
        <f>(N68+M68+L68+J68)/AVERAGE(N46,M46,L46,J46)</f>
        <v>-1.0957575757575757</v>
      </c>
      <c r="O72" s="37">
        <f>(O68+N68+M68+L68)/AVERAGE(O46,N46,M46,L46)</f>
        <v>-0.62288930581613511</v>
      </c>
      <c r="P72" s="37">
        <f t="shared" ref="P72" si="322">(O68+N68+M68+L68)/AVERAGE(O46,N46,M46,L46)</f>
        <v>-0.62288930581613511</v>
      </c>
      <c r="Q72" s="37">
        <f t="shared" ref="Q72" si="323">(Q68+O68+N68+M68)/AVERAGE(Q46,O46,N46,M46)</f>
        <v>-0.7539094650205761</v>
      </c>
      <c r="R72" s="37">
        <f t="shared" ref="R72" si="324">(R68+Q68+O68+N68)/AVERAGE(R46,Q46,O46,N46)</f>
        <v>-0.69930069930069927</v>
      </c>
      <c r="S72" s="37">
        <f t="shared" ref="S72" si="325">(S68+R68+Q68+O68)/AVERAGE(S46,R46,Q46,O46)</f>
        <v>-0.72262190247801761</v>
      </c>
      <c r="T72" s="37">
        <f t="shared" ref="T72" si="326">(T68+S68+R68+Q68)/AVERAGE(T46,S46,R46,Q46)</f>
        <v>-0.72284969591659431</v>
      </c>
      <c r="U72" s="37">
        <f t="shared" ref="U72" si="327">(T68+S68+R68+Q68)/AVERAGE(T46,S46,R46,Q46)</f>
        <v>-0.72284969591659431</v>
      </c>
      <c r="V72" s="37">
        <f t="shared" ref="V72" si="328">(V68+T68+S68+R68)/AVERAGE(V46,T46,S46,R46)</f>
        <v>-0.9083665338645418</v>
      </c>
      <c r="W72" s="37">
        <f t="shared" ref="W72" si="329">(W68+V68+T68+S68)/AVERAGE(W46,V46,T46,S46)</f>
        <v>-0.9671261930010604</v>
      </c>
      <c r="X72" s="37">
        <f t="shared" ref="X72" si="330">(X68+W68+V68+T68)/AVERAGE(X46,W46,V46,T46)</f>
        <v>-1.0102389078498293</v>
      </c>
      <c r="Y72" s="37">
        <f t="shared" ref="Y72" si="331">(Y68+X68+W68+V68)/AVERAGE(Y46,X46,W46,V46)</f>
        <v>-1.8192252510760403</v>
      </c>
      <c r="Z72" s="37">
        <f t="shared" ref="Z72" si="332">(Y68+X68+W68+V68)/AVERAGE(Y46,X46,W46,V46)</f>
        <v>-1.8192252510760403</v>
      </c>
      <c r="AA72" s="37">
        <f t="shared" ref="AA72" si="333">(AA68+Y68+X68+W68)/AVERAGE(AA46,Y46,X46,W46)</f>
        <v>-2.3812949640287768</v>
      </c>
      <c r="AB72" s="37">
        <f t="shared" ref="AB72" si="334">(AB68+AA68+Y68+X68)/AVERAGE(AB46,AA46,Y46,X46)</f>
        <v>-3.5840000000000001</v>
      </c>
      <c r="AC72" s="37">
        <f t="shared" ref="AC72" si="335">(AC68+AB68+AA68+Y68)/AVERAGE(AC46,AB46,AA46,Y46)</f>
        <v>-9.1219512195121943</v>
      </c>
      <c r="AD72" s="37">
        <f t="shared" ref="AD72" si="336">(AD68+AC68+AB68+AA68)/AVERAGE(AD46,AC46,AB46,AA46)</f>
        <v>35.744680851063826</v>
      </c>
      <c r="AE72" s="37">
        <f t="shared" ref="AE72" si="337">(AD68+AC68+AB68+AA68)/AVERAGE(AD46,AC46,AB46,AA46)</f>
        <v>35.744680851063826</v>
      </c>
      <c r="AF72" s="37">
        <f t="shared" ref="AF72" si="338">(AF68+AD68+AC68+AB68)/AVERAGE(AF46,AD46,AC46,AB46)</f>
        <v>5.4602230483271379</v>
      </c>
      <c r="AG72" s="37">
        <f>(AG68+AF68+AD68+AC68)/AVERAGE(AG46,AF46,AD46,AC46)</f>
        <v>2.4548571428571431</v>
      </c>
      <c r="AH72" s="37">
        <f t="shared" ref="AH72" si="339">(AH68+AG68+AF68+AD68)/AVERAGE(AH46,AG46,AF46,AD46)</f>
        <v>1.456043956043956</v>
      </c>
      <c r="AI72" s="37">
        <f t="shared" ref="AI72" si="340">(AI68+AH68+AG68+AF68)/AVERAGE(AI46,AH46,AG46,AF46)</f>
        <v>0.48643841707425506</v>
      </c>
      <c r="AJ72" s="37">
        <f t="shared" ref="AJ72" si="341">(AI68+AH68+AG68+AF68)/AVERAGE(AI46,AH46,AG46,AF46)</f>
        <v>0.48643841707425506</v>
      </c>
      <c r="AK72" s="37">
        <f>(AK68+AI68+AH68+AG68)/AVERAGE(AK46,AI46,AH46,AG46)</f>
        <v>0.40003914277326541</v>
      </c>
      <c r="AL72" s="37">
        <f t="shared" ref="AL72" si="342">(AL68+AK68+AI68+AH68)/AVERAGE(AL46,AK46,AI46,AH46)</f>
        <v>0.20434762794513042</v>
      </c>
      <c r="AM72" s="37">
        <f t="shared" ref="AM72" si="343">(AM68+AL68+AK68+AI68)/AVERAGE(AM46,AL46,AK46,AI46)</f>
        <v>0.24280072769223932</v>
      </c>
      <c r="AN72" s="37">
        <f>(AN68+AM68+AL68+AK68)/AVERAGE(AN46,AM46,AL46,AK46)</f>
        <v>0.37092498721108685</v>
      </c>
      <c r="AO72" s="37">
        <f t="shared" ref="AO72" si="344">(AN68+AM68+AL68+AK68)/AVERAGE(AN46,AM46,AL46,AK46)</f>
        <v>0.37092498721108685</v>
      </c>
      <c r="AP72" s="37">
        <f>(AP68+AN68+AM68+AL68)/AVERAGE(AP46,AN46,AM46,AL46)</f>
        <v>0.4284972478969778</v>
      </c>
      <c r="AQ72" s="37">
        <f>(AQ68+AP68+AN68+AM68)/AVERAGE(AQ46,AP46,AN46,AM46)</f>
        <v>1.4128769356153219</v>
      </c>
      <c r="AR72" s="37">
        <f t="shared" ref="AR72" si="345">(AR68+AQ68+AP68+AN68)/AVERAGE(AR46,AQ46,AP46,AN46)</f>
        <v>1.8444546709618037</v>
      </c>
      <c r="AS72" s="37">
        <f t="shared" ref="AS72" si="346">(AS68+AR68+AQ68+AP68)/AVERAGE(AS46,AR46,AQ46,AP46)</f>
        <v>2.057553956834532</v>
      </c>
      <c r="AT72" s="37">
        <f t="shared" ref="AT72" si="347">(AS68+AR68+AQ68+AP68)/AVERAGE(AS46,AR46,AQ46,AP46)</f>
        <v>2.057553956834532</v>
      </c>
      <c r="AU72" s="37">
        <f>(AU68+AS68+AR68+AQ68)/AVERAGE(AU46,AS46,AR46,AQ46)</f>
        <v>1.8865979381443299</v>
      </c>
      <c r="AV72" s="37">
        <f>(AV68+AU68+AS68+AR68)/AVERAGE(AV46,AU46,AS46,AR46)</f>
        <v>1.3989099403062548</v>
      </c>
      <c r="AW72" s="37">
        <f t="shared" ref="AW72" si="348">(AW68+AV68+AU68+AS68)/AVERAGE(AW46,AV46,AU46,AS46)</f>
        <v>1.1385905697044088</v>
      </c>
      <c r="AX72" s="37">
        <f t="shared" ref="AX72" si="349">(AX68+AW68+AV68+AU68)/AVERAGE(AX46,AW46,AV46,AU46)</f>
        <v>0.75995046877764083</v>
      </c>
      <c r="AY72" s="37">
        <f t="shared" ref="AY72" si="350">(AX68+AW68+AV68+AU68)/AVERAGE(AX46,AW46,AV46,AU46)</f>
        <v>0.75995046877764083</v>
      </c>
      <c r="AZ72" s="37">
        <f>(AZ68+AX68+AW68+AV68)/AVERAGE(AZ46,AX46,AW46,AV46)</f>
        <v>0.29361138695796113</v>
      </c>
      <c r="BA72" s="37">
        <f>(BA68+AZ68+AX68+AW68)/AVERAGE(BA46,AZ46,AX46,AW46)</f>
        <v>0.28442678307241764</v>
      </c>
      <c r="BB72" s="37">
        <f t="shared" ref="BB72" si="351">(BB68+BA68+AZ68+AX68)/AVERAGE(BB46,BA46,AZ46,AX46)</f>
        <v>0.28130307791280534</v>
      </c>
      <c r="BC72" s="37">
        <f t="shared" ref="BC72" si="352">(BC68+BB68+BA68+AZ68)/AVERAGE(BC46,BB46,BA46,AZ46)</f>
        <v>0.3790183261048643</v>
      </c>
      <c r="BD72" s="37">
        <f t="shared" ref="BD72" si="353">(BC68+BB68+BA68+AZ68)/AVERAGE(BC46,BB46,BA46,AZ46)</f>
        <v>0.3790183261048643</v>
      </c>
      <c r="BE72" s="37">
        <f>(BE68+BC68+BB68+BA68)/AVERAGE(BE46,BC46,BB46,BA46)</f>
        <v>0.57947836806921926</v>
      </c>
      <c r="BF72" s="37">
        <f>(BF68+BE68+BC68+BB68)/AVERAGE(BF46,BE46,BC46,BB46)</f>
        <v>0.57260402471220029</v>
      </c>
      <c r="BG72" s="37">
        <f t="shared" ref="BG72" si="354">(BG68+BF68+BE68+BC68)/AVERAGE(BG46,BF46,BE46,BC46)</f>
        <v>0.57847554771692677</v>
      </c>
      <c r="BH72" s="37">
        <f t="shared" ref="BH72" si="355">(BH68+BG68+BF68+BE68)/AVERAGE(BH46,BG46,BF46,BE46)</f>
        <v>0.58211248758642109</v>
      </c>
      <c r="BI72" s="37">
        <f t="shared" ref="BI72" si="356">(BH68+BG68+BF68+BE68)/AVERAGE(BH46,BG46,BF46,BE46)</f>
        <v>0.58211248758642109</v>
      </c>
    </row>
    <row r="73" spans="1:61" x14ac:dyDescent="0.2">
      <c r="A73" s="45" t="s">
        <v>36</v>
      </c>
      <c r="B73" s="37"/>
      <c r="C73" s="37"/>
      <c r="D73" s="37"/>
      <c r="E73" s="37"/>
      <c r="F73" s="37">
        <f t="shared" ref="F73" si="357">(E68+D68+C68+B68)/AVERAGE(E23,D23,C23,B23)</f>
        <v>0</v>
      </c>
      <c r="G73" s="37">
        <f t="shared" ref="G73" si="358">(G68+E68+D68+C68)/AVERAGE(G23,E23,D23,C23)</f>
        <v>3.9344262295081971E-2</v>
      </c>
      <c r="H73" s="37">
        <f t="shared" ref="H73" si="359">(G68+F68+E68+C68)/AVERAGE(G23,F23,E23,D23)</f>
        <v>0.18869644484958981</v>
      </c>
      <c r="I73" s="37">
        <f t="shared" ref="I73" si="360">(I68+H68+G68+E68)/AVERAGE(I23,H23,G23,E23)</f>
        <v>0.10575262388733891</v>
      </c>
      <c r="J73" s="37">
        <f t="shared" ref="J73" si="361">(J68+I68+H68+G68)/AVERAGE(J23,I23,H23,G23)</f>
        <v>0.15964290403045819</v>
      </c>
      <c r="K73" s="37">
        <f t="shared" ref="K73" si="362">(J68+I68+H68+G68)/AVERAGE(J23,I23,H23,G23)</f>
        <v>0.15964290403045819</v>
      </c>
      <c r="L73" s="37">
        <f t="shared" ref="L73" si="363">(L68+J68+I68+H68)/AVERAGE(L23,J23,I23,H23)</f>
        <v>0.11670390327244053</v>
      </c>
      <c r="M73" s="37">
        <f t="shared" ref="M73" si="364">(L68+K68+J68+H68)/AVERAGE(L23,K23,J23,I23)</f>
        <v>0.24681633188919522</v>
      </c>
      <c r="N73" s="37">
        <f t="shared" ref="N73" si="365">(N68+M68+L68+J68)/AVERAGE(N23,M23,L23,J23)</f>
        <v>0.12117962466487936</v>
      </c>
      <c r="O73" s="37">
        <f t="shared" ref="O73" si="366">(O68+N68+M68+L68)/AVERAGE(O23,N23,M23,L23)</f>
        <v>8.9741857007703749E-2</v>
      </c>
      <c r="P73" s="37">
        <f t="shared" ref="P73" si="367">(O68+N68+M68+L68)/AVERAGE(O23,N23,M23,L23)</f>
        <v>8.9741857007703749E-2</v>
      </c>
      <c r="Q73" s="37">
        <f t="shared" ref="Q73" si="368">(Q68+O68+N68+M68)/AVERAGE(Q23,O23,N23,M23)</f>
        <v>0.12371690977849811</v>
      </c>
      <c r="R73" s="37">
        <f t="shared" ref="R73" si="369">(Q68+P68+O68+M68)/AVERAGE(Q23,P23,O23,N23)</f>
        <v>0.17918527540939233</v>
      </c>
      <c r="S73" s="37">
        <f t="shared" ref="S73" si="370">(S68+R68+Q68+O68)/AVERAGE(S23,R23,Q23,O23)</f>
        <v>0.11894736842105263</v>
      </c>
      <c r="T73" s="37">
        <f t="shared" ref="T73" si="371">(T68+S68+R68+Q68)/AVERAGE(T23,S23,R23,Q23)</f>
        <v>0.10653008962868117</v>
      </c>
      <c r="U73" s="37">
        <f t="shared" ref="U73" si="372">(T68+S68+R68+Q68)/AVERAGE(T23,S23,R23,Q23)</f>
        <v>0.10653008962868117</v>
      </c>
      <c r="V73" s="37">
        <f t="shared" ref="V73" si="373">(V68+T68+S68+R68)/AVERAGE(V23,T23,S23,R23)</f>
        <v>0.11021148036253776</v>
      </c>
      <c r="W73" s="37">
        <f t="shared" ref="W73" si="374">(V68+U68+T68+R68)/AVERAGE(V23,U23,T23,S23)</f>
        <v>0.17614243323442136</v>
      </c>
      <c r="X73" s="37">
        <f t="shared" ref="X73" si="375">(X68+W68+V68+T68)/AVERAGE(X23,W23,V23,T23)</f>
        <v>8.6710282199004007E-2</v>
      </c>
      <c r="Y73" s="37">
        <f t="shared" ref="Y73" si="376">(Y68+X68+W68+V68)/AVERAGE(Y23,X23,W23,V23)</f>
        <v>0.1129319558247239</v>
      </c>
      <c r="Z73" s="37">
        <f t="shared" ref="Z73" si="377">(Y68+X68+W68+V68)/AVERAGE(Y23,X23,W23,V23)</f>
        <v>0.1129319558247239</v>
      </c>
      <c r="AA73" s="37">
        <f t="shared" ref="AA73" si="378">(AA68+Y68+X68+W68)/AVERAGE(AA23,Y23,X23,W23)</f>
        <v>0.10953917431951683</v>
      </c>
      <c r="AB73" s="37">
        <f t="shared" ref="AB73" si="379">(AA68+Z68+Y68+W68)/AVERAGE(AA23,Z23,Y23,X23)</f>
        <v>0.19278291465510186</v>
      </c>
      <c r="AC73" s="37">
        <f t="shared" ref="AC73" si="380">(AC68+AB68+AA68+Y68)/AVERAGE(AC23,AB23,AA23,Y23)</f>
        <v>0.12285456187895212</v>
      </c>
      <c r="AD73" s="37">
        <f t="shared" ref="AD73" si="381">(AD68+AC68+AB68+AA68)/AVERAGE(AD23,AC23,AB23,AA23)</f>
        <v>0.13639684988227652</v>
      </c>
      <c r="AE73" s="37">
        <f t="shared" ref="AE73" si="382">(AD68+AC68+AB68+AA68)/AVERAGE(AD23,AC23,AB23,AA23)</f>
        <v>0.13639684988227652</v>
      </c>
      <c r="AF73" s="37">
        <f t="shared" ref="AF73" si="383">(AF68+AD68+AC68+AB68)/AVERAGE(AF23,AD23,AC23,AB23)</f>
        <v>0.11898898250162024</v>
      </c>
      <c r="AG73" s="37">
        <f t="shared" ref="AG73" si="384">(AF68+AE68+AD68+AB68)/AVERAGE(AF23,AE23,AD23,AC23)</f>
        <v>0.21886792452830189</v>
      </c>
      <c r="AH73" s="37">
        <f t="shared" ref="AH73" si="385">(AH68+AG68+AF68+AD68)/AVERAGE(AH23,AG23,AF23,AD23)</f>
        <v>8.1727062451811869E-2</v>
      </c>
      <c r="AI73" s="37">
        <f>(AI68+AH68+AG68+AF68)/AVERAGE(AI23,AH23,AG23,AF23)</f>
        <v>3.3162066718198199E-2</v>
      </c>
      <c r="AJ73" s="37">
        <f t="shared" ref="AJ73" si="386">(AI68+AH68+AG68+AF68)/AVERAGE(AI23,AH23,AG23,AF23)</f>
        <v>3.3162066718198199E-2</v>
      </c>
      <c r="AK73" s="37">
        <f>(AK68+AI68+AH68+AG68)/AVERAGE(AK23,AI23,AH23,AG23)</f>
        <v>3.0137935610389029E-2</v>
      </c>
      <c r="AL73" s="37">
        <f>(AK68+AJ68+AI68+AG68)/AVERAGE(AK23,AJ23,AI23,AH23)</f>
        <v>5.0039685140281454E-2</v>
      </c>
      <c r="AM73" s="37">
        <f>(AM68+AL68+AK68+AI68)/AVERAGE(AM23,AL23,AK23,AI23)</f>
        <v>3.8442624102513652E-2</v>
      </c>
      <c r="AN73" s="37">
        <f>(AN68+AM68+AL68+AK68)/AVERAGE(AN23,AM23,AL23,AK23)</f>
        <v>5.8187972831994644E-2</v>
      </c>
      <c r="AO73" s="37">
        <f>(AN68+AM68+AL68+AK68)/AVERAGE(AN23,AM23,AL23,AK23)</f>
        <v>5.8187972831994644E-2</v>
      </c>
      <c r="AP73" s="37">
        <f>(AP68+AN68+AM68+AL68)/AVERAGE(AP23,AN23,AM23,AL23)</f>
        <v>6.4142525126116387E-2</v>
      </c>
      <c r="AQ73" s="37">
        <f>(AP68+AO68+AN68+AL68)/AVERAGE(AP23,AO23,AN23,AM23)</f>
        <v>0.11894096526240565</v>
      </c>
      <c r="AR73" s="37">
        <f>(AR68+AQ68+AP68+AN68)/AVERAGE(AR23,AQ23,AP23,AN23)</f>
        <v>7.4652163385423437E-2</v>
      </c>
      <c r="AS73" s="37">
        <f>(AS68+AR68+AQ68+AP68)/AVERAGE(AS23,AR23,AQ23,AP23)</f>
        <v>8.3409484183306418E-2</v>
      </c>
      <c r="AT73" s="37">
        <f>(AS68+AR68+AQ68+AP68)/AVERAGE(AS23,AR23,AQ23,AP23)</f>
        <v>8.3409484183306418E-2</v>
      </c>
      <c r="AU73" s="37">
        <f>(AU68+AS68+AR68+AQ68)/AVERAGE(AU23,AS23,AR23,AQ23)</f>
        <v>0.11060587440088486</v>
      </c>
      <c r="AV73" s="37">
        <f>(AU68+AS68+AR68+AQ68)/AVERAGE(AU23,AT23,AS23,AR23)</f>
        <v>0.11434117406933782</v>
      </c>
      <c r="AW73" s="37">
        <f>(AW68+AV68+AU68+AS68)/AVERAGE(AW23,AV23,AU23,AS23)</f>
        <v>0.11356008626159628</v>
      </c>
      <c r="AX73" s="37">
        <f>(AX68+AW68+AV68+AU68)/AVERAGE(AX23,AW23,AV23,AU23)</f>
        <v>8.5625107131040712E-2</v>
      </c>
      <c r="AY73" s="37">
        <f>(AX68+AW68+AV68+AU68)/AVERAGE(AX23,AW23,AV23,AU23)</f>
        <v>8.5625107131040712E-2</v>
      </c>
      <c r="AZ73" s="37">
        <f>(AZ68+AX68+AW68+AV68)/AVERAGE(AZ23,AX23,AW23,AV23)</f>
        <v>3.2002309073033461E-2</v>
      </c>
      <c r="BA73" s="37">
        <f>(AZ68+AX68+AW68+AV68)/AVERAGE(AZ23,AY23,AX23,AW23)</f>
        <v>3.1385731345924199E-2</v>
      </c>
      <c r="BB73" s="37">
        <f>(BB68+BA68+AZ68+AX68)/AVERAGE(BB23,BA23,AZ23,AX23)</f>
        <v>2.8377681434572619E-2</v>
      </c>
      <c r="BC73" s="37">
        <f>(BC68+BB68+BA68+AZ68)/AVERAGE(BC23,BB23,BA23,AZ23)</f>
        <v>3.6539961352177984E-2</v>
      </c>
      <c r="BD73" s="37">
        <f>(BC68+BB68+BA68+AZ68)/AVERAGE(BC23,BB23,BA23,AZ23)</f>
        <v>3.6539961352177984E-2</v>
      </c>
      <c r="BE73" s="37">
        <f>(BE68+BC68+BB68+BA68)/AVERAGE(BE23,BC23,BB23,BA23)</f>
        <v>5.8468379610624281E-2</v>
      </c>
      <c r="BF73" s="37">
        <f>(BE68+BC68+BB68+BA68)/AVERAGE(BE23,BD23,BC23,BB23)</f>
        <v>5.8395860085852541E-2</v>
      </c>
      <c r="BG73" s="37">
        <f>(BG68+BF68+BE68+BC68)/AVERAGE(BG23,BF23,BE23,BC23)</f>
        <v>6.459994949992065E-2</v>
      </c>
      <c r="BH73" s="37">
        <f>(BH68+BG68+BF68+BE68)/AVERAGE(BH23,BG23,BF23,BE23)</f>
        <v>6.8489342674199413E-2</v>
      </c>
      <c r="BI73" s="37">
        <f>(BH68+BG68+BF68+BE68)/AVERAGE(BH23,BG23,BF23,BE23)</f>
        <v>6.8489342674199413E-2</v>
      </c>
    </row>
    <row r="74" spans="1:61" x14ac:dyDescent="0.2">
      <c r="A74" s="45" t="s">
        <v>38</v>
      </c>
      <c r="B74" s="37"/>
      <c r="C74" s="37"/>
      <c r="D74" s="37"/>
      <c r="E74" s="37"/>
      <c r="F74" s="37"/>
      <c r="G74" s="37">
        <f t="shared" ref="G74" si="387">(G68+E68+D68+C68)/AVERAGE(G53,E53,D53,C53)</f>
        <v>0.15859030837004406</v>
      </c>
      <c r="H74" s="37">
        <f t="shared" ref="H74" si="388">(H68+G68+E68+D68)/AVERAGE(H53,G53,E53,D53)</f>
        <v>0.29393627954779034</v>
      </c>
      <c r="I74" s="37">
        <f t="shared" ref="I74" si="389">(I68+H68+G68+E68)/AVERAGE(I53,H53,G53,E53)</f>
        <v>0.39720558882235529</v>
      </c>
      <c r="J74" s="37">
        <f t="shared" ref="J74" si="390">(J68+I68+H68+G68)/AVERAGE(J53,I53,H53,G53)</f>
        <v>0.48446215139442234</v>
      </c>
      <c r="K74" s="37">
        <f t="shared" ref="K74" si="391">(J68+I68+H68+G68)/AVERAGE(J53,I53,H53,G53)</f>
        <v>0.48446215139442234</v>
      </c>
      <c r="L74" s="37">
        <f t="shared" ref="L74" si="392">(L68+J68+I68+H68)/AVERAGE(L53,J53,I53,H53)</f>
        <v>0.29326287978863935</v>
      </c>
      <c r="M74" s="37">
        <f t="shared" ref="M74" si="393">(M68+L68+J68+I68)/AVERAGE(M53,L53,J53,I53)</f>
        <v>0.24992834623101176</v>
      </c>
      <c r="N74" s="37">
        <f t="shared" ref="N74" si="394">(N68+M68+L68+J68)/AVERAGE(N53,M53,L53,J53)</f>
        <v>0.23014256619144602</v>
      </c>
      <c r="O74" s="37">
        <f t="shared" ref="O74" si="395">(O68+N68+M68+L68)/AVERAGE(O53,N53,M53,L53)</f>
        <v>0.17091377091377091</v>
      </c>
      <c r="P74" s="37">
        <f t="shared" ref="P74" si="396">(O68+N68+M68+L68)/AVERAGE(O53,N53,M53,L53)</f>
        <v>0.17091377091377091</v>
      </c>
      <c r="Q74" s="37">
        <f t="shared" ref="Q74" si="397">(Q68+O68+N68+M68)/AVERAGE(Q53,O53,N53,M53)</f>
        <v>0.23541506039578514</v>
      </c>
      <c r="R74" s="37">
        <f t="shared" ref="R74" si="398">(R68+Q68+O68+N68)/AVERAGE(R53,Q53,O53,N53)</f>
        <v>0.22721534965917697</v>
      </c>
      <c r="S74" s="37">
        <f t="shared" ref="S74" si="399">(S68+R68+Q68+O68)/AVERAGE(S53,R53,Q53,O53)</f>
        <v>0.22151433472188189</v>
      </c>
      <c r="T74" s="37">
        <f t="shared" ref="T74" si="400">(T68+S68+R68+Q68)/AVERAGE(T53,S53,R53,Q53)</f>
        <v>0.19804808378957392</v>
      </c>
      <c r="U74" s="37">
        <f t="shared" ref="U74" si="401">(T68+S68+R68+Q68)/AVERAGE(T53,S53,R53,Q53)</f>
        <v>0.19804808378957392</v>
      </c>
      <c r="V74" s="37">
        <f t="shared" ref="V74" si="402">(V68+T68+S68+R68)/AVERAGE(V53,T53,S53,R53)</f>
        <v>0.20826672756337064</v>
      </c>
      <c r="W74" s="37">
        <f t="shared" ref="W74" si="403">(W68+V68+T68+S68)/AVERAGE(W53,V53,T53,S53)</f>
        <v>0.17899901864573112</v>
      </c>
      <c r="X74" s="37">
        <f t="shared" ref="X74" si="404">(X68+W68+V68+T68)/AVERAGE(X53,W53,V53,T53)</f>
        <v>0.15387281233754982</v>
      </c>
      <c r="Y74" s="37">
        <f t="shared" ref="Y74" si="405">(Y68+X68+W68+V68)/AVERAGE(Y53,X53,W53,V53)</f>
        <v>0.19291039099345808</v>
      </c>
      <c r="Z74" s="37">
        <f t="shared" ref="Z74" si="406">(Y68+X68+W68+V68)/AVERAGE(Y53,X53,W53,V53)</f>
        <v>0.19291039099345808</v>
      </c>
      <c r="AA74" s="37">
        <f t="shared" ref="AA74" si="407">(AA68+Y68+X68+W68)/AVERAGE(AA53,Y53,X53,W53)</f>
        <v>0.18045522693198854</v>
      </c>
      <c r="AB74" s="37">
        <f t="shared" ref="AB74" si="408">(AB68+AA68+Y68+X68)/AVERAGE(AB53,AA53,Y53,X53)</f>
        <v>0.18576364892881825</v>
      </c>
      <c r="AC74" s="37">
        <f t="shared" ref="AC74" si="409">(AC68+AB68+AA68+Y68)/AVERAGE(AC53,AB53,AA53,Y53)</f>
        <v>0.20818257723350961</v>
      </c>
      <c r="AD74" s="37">
        <f t="shared" ref="AD74" si="410">(AD68+AC68+AB68+AA68)/AVERAGE(AD53,AC53,AB53,AA53)</f>
        <v>0.23565717491934352</v>
      </c>
      <c r="AE74" s="37">
        <f t="shared" ref="AE74" si="411">(AD68+AC68+AB68+AA68)/AVERAGE(AD53,AC53,AB53,AA53)</f>
        <v>0.23565717491934352</v>
      </c>
      <c r="AF74" s="37">
        <f t="shared" ref="AF74" si="412">(AF68+AD68+AC68+AB68)/AVERAGE(AF53,AD53,AC53,AB53)</f>
        <v>0.20775106082036779</v>
      </c>
      <c r="AG74" s="37">
        <f t="shared" ref="AG74" si="413">(AG68+AF68+AD68+AC68)/AVERAGE(AG53,AF53,AD53,AC53)</f>
        <v>0.17652376386796331</v>
      </c>
      <c r="AH74" s="37">
        <f t="shared" ref="AH74" si="414">(AH68+AG68+AF68+AD68)/AVERAGE(AH53,AG53,AF53,AD53)</f>
        <v>0.14112634802289975</v>
      </c>
      <c r="AI74" s="37">
        <f t="shared" ref="AI74" si="415">(AI68+AH68+AG68+AF68)/AVERAGE(AI53,AH53,AG53,AF53)</f>
        <v>5.70073734399833E-2</v>
      </c>
      <c r="AJ74" s="37">
        <f t="shared" ref="AJ74" si="416">(AI68+AH68+AG68+AF68)/AVERAGE(AI53,AH53,AG53,AF53)</f>
        <v>5.70073734399833E-2</v>
      </c>
      <c r="AK74" s="37">
        <f t="shared" ref="AK74" si="417">(AK68+AI68+AH68+AG68)/AVERAGE(AK53,AI53,AH53,AG53)</f>
        <v>5.1195351341874223E-2</v>
      </c>
      <c r="AL74" s="37">
        <f t="shared" ref="AL74" si="418">(AL68+AK68+AI68+AH68)/AVERAGE(AL53,AK53,AI53,AH53)</f>
        <v>4.9493912601962509E-2</v>
      </c>
      <c r="AM74" s="37">
        <f t="shared" ref="AM74" si="419">(AM68+AL68+AK68+AI68)/AVERAGE(AM53,AL53,AK53,AI53)</f>
        <v>6.0728475351252961E-2</v>
      </c>
      <c r="AN74" s="37">
        <f t="shared" ref="AN74" si="420">(AN68+AM68+AL68+AK68)/AVERAGE(AN53,AM53,AL53,AK53)</f>
        <v>9.0577693993663208E-2</v>
      </c>
      <c r="AO74" s="37">
        <f t="shared" ref="AO74" si="421">(AN68+AM68+AL68+AK68)/AVERAGE(AN53,AM53,AL53,AK53)</f>
        <v>9.0577693993663208E-2</v>
      </c>
      <c r="AP74" s="37">
        <f>(AP68+AN68+AM68+AL68)/AVERAGE(AP53,AN53,AM53,AL53)</f>
        <v>9.9647394097473779E-2</v>
      </c>
      <c r="AQ74" s="37">
        <f>(AQ68+AP68+AN68+AM68)/AVERAGE(AQ53,AP53,AN53,AM53)</f>
        <v>0.12477687568376808</v>
      </c>
      <c r="AR74" s="37">
        <f>(AR68+AQ68+AP68+AN68)/AVERAGE(AR53,AQ53,AP53,AN53)</f>
        <v>0.12671714696722994</v>
      </c>
      <c r="AS74" s="37">
        <f>(AS68+AR68+AQ68+AP68)/AVERAGE(AS53,AR53,AQ53,AP53)</f>
        <v>0.14752407152682254</v>
      </c>
      <c r="AT74" s="37">
        <f>(AS68+AR68+AQ68+AP68)/AVERAGE(AS53,AR53,AQ53,AP53)</f>
        <v>0.14752407152682254</v>
      </c>
      <c r="AU74" s="37">
        <f>(AU68+AS68+AR68+AQ68)/AVERAGE(AU53,AS53,AR53,AQ53)</f>
        <v>0.20207969080703045</v>
      </c>
      <c r="AV74" s="37">
        <f>(AV68+AU68+AS68+AR68)/AVERAGE(AV53,AU53,AS53,AR53)</f>
        <v>0.21043590294180803</v>
      </c>
      <c r="AW74" s="37">
        <f>(AW68+AV68+AU68+AS68)/AVERAGE(AW53,AV53,AU53,AS53)</f>
        <v>0.21163498098859324</v>
      </c>
      <c r="AX74" s="37">
        <f>(AX68+AW68+AV68+AU68)/AVERAGE(AX53,AW53,AV53,AU53)</f>
        <v>0.15931467986872125</v>
      </c>
      <c r="AY74" s="37">
        <f>(AX68+AW68+AV68+AU68)/AVERAGE(AX53,AW53,AV53,AU53)</f>
        <v>0.15931467986872125</v>
      </c>
      <c r="AZ74" s="37">
        <f>(AZ68+AX68+AW68+AV68)/AVERAGE(AZ53,AX53,AW53,AV53)</f>
        <v>5.813915380329697E-2</v>
      </c>
      <c r="BA74" s="37">
        <f>(BA68+AZ68+AX68+AW68)/AVERAGE(BA53,AZ53,AX53,AW53)</f>
        <v>5.3822598307984304E-2</v>
      </c>
      <c r="BB74" s="37">
        <f>(BB68+BA68+AZ68+AX68)/AVERAGE(BB53,BA53,AZ53,AX53)</f>
        <v>4.9848422219490526E-2</v>
      </c>
      <c r="BC74" s="37">
        <f>(BC68+BB68+BA68+AZ68)/AVERAGE(BC53,BB53,BA53,AZ53)</f>
        <v>6.2987166397600061E-2</v>
      </c>
      <c r="BD74" s="37">
        <f>(BC68+BB68+BA68+AZ68)/AVERAGE(BC53,BB53,BA53,AZ53)</f>
        <v>6.2987166397600061E-2</v>
      </c>
      <c r="BE74" s="37">
        <f>(BE68+BC68+BB68+BA68)/AVERAGE(BE53,BC53,BB53,BA53)</f>
        <v>0.10074897971994402</v>
      </c>
      <c r="BF74" s="37">
        <f>(BF68+BE68+BC68+BB68)/AVERAGE(BF53,BE53,BC53,BB53)</f>
        <v>0.10460387182924134</v>
      </c>
      <c r="BG74" s="37">
        <f>(BG68+BF68+BE68+BC68)/AVERAGE(BG53,BF53,BE53,BC53)</f>
        <v>0.11116894765707433</v>
      </c>
      <c r="BH74" s="37">
        <f>(BH68+BG68+BF68+BE68)/AVERAGE(BH53,BG53,BF53,BE53)</f>
        <v>0.11780071777288752</v>
      </c>
      <c r="BI74" s="37">
        <f>(BH68+BG68+BF68+BE68)/AVERAGE(BH53,BG53,BF53,BE53)</f>
        <v>0.11780071777288752</v>
      </c>
    </row>
    <row r="75" spans="1:61" x14ac:dyDescent="0.2">
      <c r="A75" s="45" t="s">
        <v>203</v>
      </c>
      <c r="B75" s="46"/>
      <c r="C75" s="46"/>
      <c r="D75" s="46"/>
      <c r="E75" s="46"/>
      <c r="F75" s="47"/>
      <c r="G75" s="47"/>
      <c r="H75" s="47"/>
      <c r="I75" s="194"/>
      <c r="J75" s="47"/>
      <c r="K75" s="47"/>
      <c r="L75" s="47"/>
      <c r="M75" s="47"/>
      <c r="N75" s="47"/>
      <c r="O75" s="47"/>
      <c r="P75" s="47"/>
      <c r="Q75" s="47"/>
      <c r="R75" s="47"/>
      <c r="S75" s="47"/>
      <c r="T75" s="47"/>
      <c r="U75" s="47"/>
      <c r="V75" s="47">
        <f t="shared" ref="V75" si="422">V52/(V69+T69+S69+R69)</f>
        <v>9.9166666666666661</v>
      </c>
      <c r="W75" s="47">
        <f t="shared" ref="W75" si="423">W52/(W69+V69+T69+S69)</f>
        <v>4.8385826771653546</v>
      </c>
      <c r="X75" s="47">
        <f t="shared" ref="X75" si="424">X52/(X69+W69+V69+T69)</f>
        <v>3.405099150141643</v>
      </c>
      <c r="Y75" s="47">
        <f t="shared" ref="Y75" si="425">Y52/(Y69+X69+W69+V69)</f>
        <v>2.3896620278330021</v>
      </c>
      <c r="Z75" s="47">
        <f t="shared" ref="Z75" si="426">Z52/(Y69+X69+W69+V69)</f>
        <v>2.3896620278330021</v>
      </c>
      <c r="AA75" s="47">
        <f t="shared" ref="AA75" si="427">AA52/(AA69+Y69+X69+W69)</f>
        <v>2.7424242424242422</v>
      </c>
      <c r="AB75" s="47">
        <f t="shared" ref="AB75" si="428">AB52/(AB69+AA69+Y69+X69)</f>
        <v>2.697802197802198</v>
      </c>
      <c r="AC75" s="47">
        <f t="shared" ref="AC75" si="429">AC52/(AC69+AB69+AA69+Y69)</f>
        <v>2.3661290322580646</v>
      </c>
      <c r="AD75" s="47">
        <f t="shared" ref="AD75" si="430">AD52/(AD69+AC69+AB69+AA69)</f>
        <v>2.3424</v>
      </c>
      <c r="AE75" s="47">
        <f t="shared" ref="AE75" si="431">AE52/(AD69+AC69+AB69+AA69)</f>
        <v>2.3424</v>
      </c>
      <c r="AF75" s="47">
        <f t="shared" ref="AF75" si="432">AF52/(AF69+AD69+AC69+AB69)</f>
        <v>2.79145546705286</v>
      </c>
      <c r="AG75" s="47">
        <f t="shared" ref="AG75" si="433">AG52/(AG69+AF69+AD69+AC69)</f>
        <v>3.3567475521498511</v>
      </c>
      <c r="AH75" s="47">
        <f t="shared" ref="AH75" si="434">AH52/(AH69+AG69+AF69+AD69)</f>
        <v>4.1805845511482254</v>
      </c>
      <c r="AI75" s="47">
        <f t="shared" ref="AI75" si="435">AI52/(AI69+AH69+AG69+AF69)</f>
        <v>5.2714602470700029</v>
      </c>
      <c r="AJ75" s="47">
        <f>AJ52/(AI69+AH69+AG69+AF69)</f>
        <v>5.2714602470700029</v>
      </c>
      <c r="AK75" s="47">
        <f t="shared" ref="AK75" si="436">AK52/(AK69+AI69+AH69+AG69)</f>
        <v>5.8736576121288699</v>
      </c>
      <c r="AL75" s="47">
        <f t="shared" ref="AL75" si="437">AL52/(AL69+AK69+AI69+AH69)</f>
        <v>-2.2055040382889621</v>
      </c>
      <c r="AM75" s="47">
        <f t="shared" ref="AM75" si="438">AM52/(AM69+AL69+AK69+AI69)</f>
        <v>2.9718113312866317</v>
      </c>
      <c r="AN75" s="47">
        <f>AN52/(AN69+AM69+AL69+AK69)</f>
        <v>3.0973684210526313</v>
      </c>
      <c r="AO75" s="47">
        <f t="shared" ref="AO75" si="439">AO52/(AN69+AM69+AL69+AK69)</f>
        <v>3.0973684210526313</v>
      </c>
      <c r="AP75" s="47">
        <f>AP52/(AP69+AN69+AM69+AL69)</f>
        <v>2.9223985890652546</v>
      </c>
      <c r="AQ75" s="47">
        <f>AQ52/(AQ69+AP69+AN69+AM69)</f>
        <v>2.6044830079537236</v>
      </c>
      <c r="AR75" s="47">
        <f>AR52/(AR69+AQ69+AP69+AN69)</f>
        <v>2.5340191723170449</v>
      </c>
      <c r="AS75" s="47">
        <f>AS52/(AS69+AR69+AQ69+AP69)</f>
        <v>2.3169905106190698</v>
      </c>
      <c r="AT75" s="47">
        <f>AT52/(AS69+AR69+AQ69+AP69)</f>
        <v>2.3169905106190698</v>
      </c>
      <c r="AU75" s="47">
        <f>AU52/(AU69+AS69+AR69+AQ69)</f>
        <v>2.1377416520210897</v>
      </c>
      <c r="AV75" s="47">
        <f>AV52/(AV69+AU69+AS69+AR69)</f>
        <v>2.2305830583058306</v>
      </c>
      <c r="AW75" s="47">
        <f>AW52/(AW69+AV69+AU69+AS69)</f>
        <v>2.1948784722222219</v>
      </c>
      <c r="AX75" s="47">
        <f>AX52/(AX69+AW69+AV69+AU69)</f>
        <v>2.1902313624678658</v>
      </c>
      <c r="AY75" s="47">
        <f>AY52/(AX69+AW69+AV69+AU69)</f>
        <v>2.1902313624678658</v>
      </c>
      <c r="AZ75" s="47">
        <f>AZ52/(AZ69+AX69+AW69+AV69)</f>
        <v>3.3130452845866216</v>
      </c>
      <c r="BA75" s="47">
        <f>BA52/(BA69+AZ69+AX69+AW69)</f>
        <v>3.1427963564723442</v>
      </c>
      <c r="BB75" s="47">
        <f>BB52/(BB69+BA69+AZ69+AX69)</f>
        <v>2.9886670591173745</v>
      </c>
      <c r="BC75" s="47">
        <f>BC52/(BC69+BB69+BA69+AZ69)</f>
        <v>2.8346519602243849</v>
      </c>
      <c r="BD75" s="47">
        <f>BD52/(BC69+BB69+BA69+AZ69)</f>
        <v>2.8346519602243849</v>
      </c>
      <c r="BE75" s="47">
        <f>BE52/(BE69+BC69+BB69+BA69)</f>
        <v>2.7166026655812594</v>
      </c>
      <c r="BF75" s="47">
        <f>BF52/(BF69+BE69+BC69+BB69)</f>
        <v>2.6079723729255573</v>
      </c>
      <c r="BG75" s="47">
        <f>BG52/(BG69+BF69+BE69+BC69)</f>
        <v>2.4777803950359587</v>
      </c>
      <c r="BH75" s="47">
        <f>BH52/(BH69+BG69+BF69+BE69)</f>
        <v>2.3549668681189884</v>
      </c>
      <c r="BI75" s="47">
        <f>BI52/(BH69+BG69+BF69+BE69)</f>
        <v>2.3549668681189884</v>
      </c>
    </row>
    <row r="76" spans="1:61" x14ac:dyDescent="0.2">
      <c r="A76" s="36"/>
      <c r="B76" s="44"/>
      <c r="C76" s="44"/>
      <c r="D76" s="44"/>
      <c r="E76" s="44"/>
      <c r="F76" s="44"/>
      <c r="G76" s="44"/>
      <c r="H76" s="48"/>
      <c r="I76" s="44"/>
      <c r="J76" s="44"/>
      <c r="K76" s="44"/>
      <c r="L76" s="44"/>
      <c r="M76" s="48"/>
      <c r="N76" s="44"/>
      <c r="O76" s="44"/>
      <c r="P76" s="44"/>
      <c r="Q76" s="44"/>
      <c r="R76" s="44"/>
      <c r="S76" s="44"/>
      <c r="T76" s="44"/>
      <c r="U76" s="44"/>
      <c r="V76" s="44"/>
      <c r="W76" s="49"/>
      <c r="X76" s="44"/>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row>
    <row r="77" spans="1:61" x14ac:dyDescent="0.2">
      <c r="A77" s="39" t="s">
        <v>39</v>
      </c>
      <c r="B77" s="50"/>
      <c r="C77" s="50"/>
      <c r="D77" s="50"/>
      <c r="E77" s="50"/>
      <c r="F77" s="50"/>
      <c r="G77" s="50"/>
      <c r="H77" s="48"/>
      <c r="I77" s="50"/>
      <c r="J77" s="50"/>
      <c r="K77" s="50"/>
      <c r="L77" s="50"/>
      <c r="M77" s="48"/>
      <c r="N77" s="50"/>
      <c r="O77" s="50"/>
      <c r="P77" s="50"/>
      <c r="Q77" s="50"/>
      <c r="R77" s="50"/>
      <c r="S77" s="50"/>
      <c r="T77" s="50"/>
      <c r="U77" s="50"/>
      <c r="V77" s="50"/>
      <c r="W77" s="51"/>
      <c r="X77" s="50"/>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row>
    <row r="78" spans="1:61" ht="13.5" customHeight="1" x14ac:dyDescent="0.2">
      <c r="A78" s="34" t="s">
        <v>40</v>
      </c>
      <c r="B78" s="52"/>
      <c r="C78" s="52"/>
      <c r="D78" s="52"/>
      <c r="E78" s="52">
        <f>E71/AVERAGE(E13,D13)</f>
        <v>0</v>
      </c>
      <c r="F78" s="2"/>
      <c r="G78" s="52">
        <f t="shared" ref="G78:I78" si="440">G71/AVERAGE(G13,F13)</f>
        <v>2.1714285714285713</v>
      </c>
      <c r="H78" s="52">
        <f t="shared" si="440"/>
        <v>2.127946127946128</v>
      </c>
      <c r="I78" s="52">
        <f t="shared" si="440"/>
        <v>2</v>
      </c>
      <c r="J78" s="52">
        <f>J71/AVERAGE(J13,I13)</f>
        <v>1.9606741573033708</v>
      </c>
      <c r="K78" s="2"/>
      <c r="L78" s="52">
        <f t="shared" ref="L78:N78" si="441">L71/AVERAGE(L13,K13)</f>
        <v>2.0289855072463769</v>
      </c>
      <c r="M78" s="52">
        <f t="shared" si="441"/>
        <v>1.9890109890109891</v>
      </c>
      <c r="N78" s="52">
        <f t="shared" si="441"/>
        <v>1.9282051282051282</v>
      </c>
      <c r="O78" s="52">
        <f>O71/AVERAGE(O13,N13)</f>
        <v>2.1021505376344085</v>
      </c>
      <c r="P78" s="2"/>
      <c r="Q78" s="52">
        <f t="shared" ref="Q78:S78" si="442">Q71/AVERAGE(Q13,P13)</f>
        <v>1.9893617021276595</v>
      </c>
      <c r="R78" s="52">
        <f t="shared" si="442"/>
        <v>1.9795918367346939</v>
      </c>
      <c r="S78" s="52">
        <f t="shared" si="442"/>
        <v>2.0714285714285716</v>
      </c>
      <c r="T78" s="52">
        <f>T71/AVERAGE(T13,S13)</f>
        <v>2.0913705583756346</v>
      </c>
      <c r="U78" s="2"/>
      <c r="V78" s="52">
        <f t="shared" ref="V78:X78" si="443">V71/AVERAGE(V13,U13)</f>
        <v>2.0412371134020617</v>
      </c>
      <c r="W78" s="52">
        <f t="shared" si="443"/>
        <v>1.8411910669975187</v>
      </c>
      <c r="X78" s="52">
        <f t="shared" si="443"/>
        <v>1.6532663316582914</v>
      </c>
      <c r="Y78" s="52">
        <f>Y71/AVERAGE(Y13,X13)</f>
        <v>2.0309278350515463</v>
      </c>
      <c r="Z78" s="20"/>
      <c r="AA78" s="52">
        <f t="shared" ref="AA78:AC78" si="444">AA71/AVERAGE(AA13,Z13)</f>
        <v>2.063106796116505</v>
      </c>
      <c r="AB78" s="52">
        <f t="shared" si="444"/>
        <v>2.1067285382830625</v>
      </c>
      <c r="AC78" s="52">
        <f t="shared" si="444"/>
        <v>2.2924731182795699</v>
      </c>
      <c r="AD78" s="52">
        <f>AD71/AVERAGE(AD13,AC13)</f>
        <v>2.3326732673267325</v>
      </c>
      <c r="AE78" s="20"/>
      <c r="AF78" s="52">
        <f t="shared" ref="AF78:AH78" si="445">AF71/AVERAGE(AF13,AE13)</f>
        <v>0.67088122605363987</v>
      </c>
      <c r="AG78" s="52">
        <f t="shared" si="445"/>
        <v>0.69888888888888889</v>
      </c>
      <c r="AH78" s="52">
        <f t="shared" si="445"/>
        <v>0.65154639175257734</v>
      </c>
      <c r="AI78" s="52">
        <f>AI71/AVERAGE(AI13,AH13)</f>
        <v>1.2301729278473466</v>
      </c>
      <c r="AJ78" s="20"/>
      <c r="AK78" s="52">
        <f>AK71/AVERAGE(AK13,AJ13)</f>
        <v>7.0627062706270634</v>
      </c>
      <c r="AL78" s="52">
        <f>AL71/AVERAGE(AL13,AK13)</f>
        <v>6.7326120556414217</v>
      </c>
      <c r="AM78" s="52">
        <f>AM71/AVERAGE(AM13,AL13)</f>
        <v>6.6715976331360949</v>
      </c>
      <c r="AN78" s="52">
        <f>AN71/AVERAGE(AN13,AM13)</f>
        <v>7.1721068249258151</v>
      </c>
      <c r="AO78" s="20"/>
      <c r="AP78" s="52">
        <f>AP71/AVERAGE(AP13,AO13)</f>
        <v>7.3641975308641978</v>
      </c>
      <c r="AQ78" s="52">
        <f>AQ71/AVERAGE(AQ13,AP13)</f>
        <v>7.0289855072463769</v>
      </c>
      <c r="AR78" s="52">
        <f>AR71/AVERAGE(AR13,AQ13)</f>
        <v>6.5353925353925355</v>
      </c>
      <c r="AS78" s="52">
        <f>AS71/AVERAGE(AS13,AR13)</f>
        <v>6.6382978723404245</v>
      </c>
      <c r="AT78" s="20"/>
      <c r="AU78" s="52">
        <f>AU71/AVERAGE(AU13,AT13)</f>
        <v>6.7284427284427277</v>
      </c>
      <c r="AV78" s="52">
        <f>AV71/AVERAGE(AV13,AU13)</f>
        <v>6.3572327044025156</v>
      </c>
      <c r="AW78" s="52">
        <f>AW71/AVERAGE(AW13,AV13)</f>
        <v>6.3140096618357484</v>
      </c>
      <c r="AX78" s="52">
        <f>AX71/AVERAGE(AX13,AW13)</f>
        <v>6.5864123957091776</v>
      </c>
      <c r="AY78" s="20"/>
      <c r="AZ78" s="52">
        <f>AZ71/AVERAGE(AZ13,AY13)</f>
        <v>6.3512623490669604</v>
      </c>
      <c r="BA78" s="195">
        <v>6.48</v>
      </c>
      <c r="BB78" s="195">
        <v>6.58</v>
      </c>
      <c r="BC78" s="195">
        <v>6.65</v>
      </c>
      <c r="BD78" s="20"/>
      <c r="BE78" s="195">
        <v>6.3</v>
      </c>
      <c r="BF78" s="195">
        <v>6.25</v>
      </c>
      <c r="BG78" s="195">
        <v>6.22</v>
      </c>
      <c r="BH78" s="195">
        <v>6.16</v>
      </c>
      <c r="BI78" s="20"/>
    </row>
    <row r="79" spans="1:61" x14ac:dyDescent="0.2">
      <c r="A79" s="34" t="s">
        <v>41</v>
      </c>
      <c r="B79" s="52"/>
      <c r="C79" s="52"/>
      <c r="D79" s="52"/>
      <c r="E79" s="52">
        <f>E70/AVERAGE(E12,D12)</f>
        <v>0</v>
      </c>
      <c r="F79" s="2"/>
      <c r="G79" s="52">
        <f t="shared" ref="G79:I79" si="446">G70/AVERAGE(G12,F12)</f>
        <v>1.3659217877094971</v>
      </c>
      <c r="H79" s="52">
        <f t="shared" si="446"/>
        <v>1.3562005277044855</v>
      </c>
      <c r="I79" s="52">
        <f t="shared" si="446"/>
        <v>1.3217821782178218</v>
      </c>
      <c r="J79" s="52">
        <f>J70/AVERAGE(J12,I12)</f>
        <v>1.3883248730964468</v>
      </c>
      <c r="K79" s="2"/>
      <c r="L79" s="52">
        <f t="shared" ref="L79:N79" si="447">L70/AVERAGE(L12,K12)</f>
        <v>1.3574097135740972</v>
      </c>
      <c r="M79" s="52">
        <f t="shared" si="447"/>
        <v>1.3341148886283705</v>
      </c>
      <c r="N79" s="52">
        <f t="shared" si="447"/>
        <v>1.2879464285714286</v>
      </c>
      <c r="O79" s="52">
        <f>O70/AVERAGE(O12,N12)</f>
        <v>1.3655172413793104</v>
      </c>
      <c r="P79" s="2"/>
      <c r="Q79" s="52">
        <f t="shared" ref="Q79:S79" si="448">Q70/AVERAGE(Q12,P12)</f>
        <v>1.5054054054054054</v>
      </c>
      <c r="R79" s="52">
        <f t="shared" si="448"/>
        <v>1.6909871244635193</v>
      </c>
      <c r="S79" s="52">
        <f t="shared" si="448"/>
        <v>1.5499367888748419</v>
      </c>
      <c r="T79" s="52">
        <f>T70/AVERAGE(T12,S12)</f>
        <v>1.5266990291262137</v>
      </c>
      <c r="U79" s="2"/>
      <c r="V79" s="52">
        <f t="shared" ref="V79:X79" si="449">V70/AVERAGE(V12,U12)</f>
        <v>1.5251256281407035</v>
      </c>
      <c r="W79" s="52">
        <f t="shared" si="449"/>
        <v>1.5475234270414993</v>
      </c>
      <c r="X79" s="52">
        <f t="shared" si="449"/>
        <v>1.3796791443850267</v>
      </c>
      <c r="Y79" s="52">
        <f>Y70/AVERAGE(Y12,X12)</f>
        <v>1.5729794933655006</v>
      </c>
      <c r="Z79" s="20"/>
      <c r="AA79" s="52">
        <f t="shared" ref="AA79:AC79" si="450">AA70/AVERAGE(AA12,Z12)</f>
        <v>1.5133256083429896</v>
      </c>
      <c r="AB79" s="52">
        <f t="shared" si="450"/>
        <v>1.5968109339407746</v>
      </c>
      <c r="AC79" s="52">
        <f t="shared" si="450"/>
        <v>1.6886993603411513</v>
      </c>
      <c r="AD79" s="52">
        <f>AD70/AVERAGE(AD12,AC12)</f>
        <v>1.6937119675456389</v>
      </c>
      <c r="AE79" s="20"/>
      <c r="AF79" s="52">
        <f t="shared" ref="AF79:AH79" si="451">AF70/AVERAGE(AF12,AE12)</f>
        <v>0.56003898635477589</v>
      </c>
      <c r="AG79" s="52">
        <f t="shared" si="451"/>
        <v>0.54162854528819759</v>
      </c>
      <c r="AH79" s="52">
        <f t="shared" si="451"/>
        <v>0.55392670157068058</v>
      </c>
      <c r="AI79" s="52">
        <f>AI70/AVERAGE(AI12,AH12)</f>
        <v>1.0334309043290708</v>
      </c>
      <c r="AJ79" s="20"/>
      <c r="AK79" s="52">
        <f>AK70/AVERAGE(AK12,AJ12)</f>
        <v>5.411382113821138</v>
      </c>
      <c r="AL79" s="52">
        <f>AL70/AVERAGE(AL12,AK12)</f>
        <v>5.8389830508474576</v>
      </c>
      <c r="AM79" s="52">
        <f>AM70/AVERAGE(AM12,AL12)</f>
        <v>5.6571428571428566</v>
      </c>
      <c r="AN79" s="52">
        <f>AN70/AVERAGE(AN12,AM12)</f>
        <v>5.0913838120104442</v>
      </c>
      <c r="AO79" s="20"/>
      <c r="AP79" s="52">
        <f>AP70/AVERAGE(AP12,AO12)</f>
        <v>4.5315533980582519</v>
      </c>
      <c r="AQ79" s="52">
        <f>AQ70/AVERAGE(AQ12,AP12)</f>
        <v>4.0258933195235631</v>
      </c>
      <c r="AR79" s="52">
        <f>AR70/AVERAGE(AR12,AQ12)</f>
        <v>4.0695316272332205</v>
      </c>
      <c r="AS79" s="52">
        <f>AS70/AVERAGE(AS12,AR12)</f>
        <v>4.7362697117998911</v>
      </c>
      <c r="AT79" s="20"/>
      <c r="AU79" s="52">
        <f>AU70/AVERAGE(AU12,AT12)</f>
        <v>4.8427819988310921</v>
      </c>
      <c r="AV79" s="52">
        <f>AV70/AVERAGE(AV12,AU12)</f>
        <v>4.721311475409836</v>
      </c>
      <c r="AW79" s="52">
        <f>AW70/AVERAGE(AW12,AV12)</f>
        <v>4.9914724275156344</v>
      </c>
      <c r="AX79" s="52">
        <f>AX70/AVERAGE(AX12,AW12)</f>
        <v>5.0590858416945377</v>
      </c>
      <c r="AY79" s="20"/>
      <c r="AZ79" s="52">
        <f>AZ70/AVERAGE(AZ12,AY12)</f>
        <v>4.9101541733120682</v>
      </c>
      <c r="BA79" s="195">
        <v>5.0999999999999996</v>
      </c>
      <c r="BB79" s="195">
        <v>5.31</v>
      </c>
      <c r="BC79" s="195">
        <v>5.3</v>
      </c>
      <c r="BD79" s="20"/>
      <c r="BE79" s="195">
        <v>4.9000000000000004</v>
      </c>
      <c r="BF79" s="195">
        <v>4.8499999999999996</v>
      </c>
      <c r="BG79" s="195">
        <v>4.9649999999999999</v>
      </c>
      <c r="BH79" s="195">
        <v>4.87</v>
      </c>
      <c r="BI79" s="20"/>
    </row>
    <row r="80" spans="1:61" x14ac:dyDescent="0.2">
      <c r="A80" s="34" t="s">
        <v>42</v>
      </c>
      <c r="B80" s="52"/>
      <c r="C80" s="52"/>
      <c r="D80" s="52"/>
      <c r="E80" s="52">
        <f>E71/AVERAGE(E28,D28)</f>
        <v>0</v>
      </c>
      <c r="F80" s="40"/>
      <c r="G80" s="52">
        <f t="shared" ref="G80:I80" si="452">G71/AVERAGE(G28,F28)</f>
        <v>1.8823529411764706</v>
      </c>
      <c r="H80" s="52">
        <f t="shared" si="452"/>
        <v>2</v>
      </c>
      <c r="I80" s="52">
        <f t="shared" si="452"/>
        <v>1.8415300546448088</v>
      </c>
      <c r="J80" s="52">
        <f>J71/AVERAGE(J28,I28)</f>
        <v>1.7989690721649485</v>
      </c>
      <c r="K80" s="40"/>
      <c r="L80" s="52">
        <f t="shared" ref="L80:N80" si="453">L71/AVERAGE(L28,K28)</f>
        <v>2.1021021021021022</v>
      </c>
      <c r="M80" s="52">
        <f t="shared" si="453"/>
        <v>2.1611940298507464</v>
      </c>
      <c r="N80" s="52">
        <f t="shared" si="453"/>
        <v>2.0324324324324325</v>
      </c>
      <c r="O80" s="52">
        <f>O71/AVERAGE(O28,N28)</f>
        <v>2.2090395480225991</v>
      </c>
      <c r="P80" s="40"/>
      <c r="Q80" s="52">
        <f t="shared" ref="Q80:S80" si="454">Q71/AVERAGE(Q28,P28)</f>
        <v>2.2666666666666666</v>
      </c>
      <c r="R80" s="52">
        <f t="shared" si="454"/>
        <v>2.5359477124183005</v>
      </c>
      <c r="S80" s="52">
        <f t="shared" si="454"/>
        <v>2.5615141955835963</v>
      </c>
      <c r="T80" s="52">
        <f>T71/AVERAGE(T28,S28)</f>
        <v>2.467065868263473</v>
      </c>
      <c r="U80" s="40"/>
      <c r="V80" s="52">
        <f t="shared" ref="V80:X80" si="455">V71/AVERAGE(V28,U28)</f>
        <v>2.0359897172236505</v>
      </c>
      <c r="W80" s="52">
        <f t="shared" si="455"/>
        <v>1.8366336633663367</v>
      </c>
      <c r="X80" s="52">
        <f t="shared" si="455"/>
        <v>1.8076923076923077</v>
      </c>
      <c r="Y80" s="52">
        <f>Y71/AVERAGE(Y28,X28)</f>
        <v>2.1471389645776568</v>
      </c>
      <c r="Z80" s="41"/>
      <c r="AA80" s="52">
        <f t="shared" ref="AA80:AC80" si="456">AA71/AVERAGE(AA28,Z28)</f>
        <v>2.4495677233429394</v>
      </c>
      <c r="AB80" s="52">
        <f t="shared" si="456"/>
        <v>2.6863905325443787</v>
      </c>
      <c r="AC80" s="52">
        <f t="shared" si="456"/>
        <v>2.691919191919192</v>
      </c>
      <c r="AD80" s="52">
        <f>AD71/AVERAGE(AD28,AC28)</f>
        <v>2.5497835497835499</v>
      </c>
      <c r="AE80" s="41"/>
      <c r="AF80" s="52">
        <f t="shared" ref="AF80:AH80" si="457">AF71/AVERAGE(AF28,AE28)</f>
        <v>0.7547413793103448</v>
      </c>
      <c r="AG80" s="52">
        <f t="shared" si="457"/>
        <v>0.82763157894736838</v>
      </c>
      <c r="AH80" s="52">
        <f t="shared" si="457"/>
        <v>0.75387673956262424</v>
      </c>
      <c r="AI80" s="52">
        <f>AI71/AVERAGE(AI28,AH28)</f>
        <v>1.330967741935484</v>
      </c>
      <c r="AJ80" s="41"/>
      <c r="AK80" s="52">
        <f>AK71/AVERAGE(AK28,AJ28)</f>
        <v>4.6724890829694328</v>
      </c>
      <c r="AL80" s="52">
        <f>AL71/AVERAGE(AL28,AK28)</f>
        <v>3.2900302114803628</v>
      </c>
      <c r="AM80" s="52">
        <f>AM71/AVERAGE(AM28,AL28)</f>
        <v>2.4753018660812294</v>
      </c>
      <c r="AN80" s="52">
        <f>AN71/AVERAGE(AN28,AM28)</f>
        <v>2.2473268247326823</v>
      </c>
      <c r="AO80" s="41"/>
      <c r="AP80" s="52">
        <f>AP71/AVERAGE(AP28,AO28)</f>
        <v>2.4359367023991831</v>
      </c>
      <c r="AQ80" s="52">
        <f>AQ71/AVERAGE(AQ28,AP28)</f>
        <v>2.4744897959183674</v>
      </c>
      <c r="AR80" s="52">
        <f>AR71/AVERAGE(AR28,AQ28)</f>
        <v>2.2419426048565123</v>
      </c>
      <c r="AS80" s="52">
        <f>AS71/AVERAGE(AS28,AR28)</f>
        <v>2.356286095068858</v>
      </c>
      <c r="AT80" s="41"/>
      <c r="AU80" s="52">
        <f>AU71/AVERAGE(AU28,AT28)</f>
        <v>2.5415653864851726</v>
      </c>
      <c r="AV80" s="52">
        <f>AV71/AVERAGE(AV28,AU28)</f>
        <v>2.6488469601677145</v>
      </c>
      <c r="AW80" s="52">
        <f>AW71/AVERAGE(AW28,AV28)</f>
        <v>2.5715691096901128</v>
      </c>
      <c r="AX80" s="52">
        <f>AX71/AVERAGE(AX28,AW28)</f>
        <v>2.5152480655439238</v>
      </c>
      <c r="AY80" s="41"/>
      <c r="AZ80" s="52">
        <f>AZ71/AVERAGE(AZ28,AY28)</f>
        <v>2.4907447266465779</v>
      </c>
      <c r="BA80" s="195">
        <v>2.746</v>
      </c>
      <c r="BB80" s="195">
        <v>2.81</v>
      </c>
      <c r="BC80" s="195">
        <v>2.93</v>
      </c>
      <c r="BD80" s="41"/>
      <c r="BE80" s="195">
        <v>2.81</v>
      </c>
      <c r="BF80" s="195">
        <v>2.78</v>
      </c>
      <c r="BG80" s="195">
        <v>2.81</v>
      </c>
      <c r="BH80" s="195">
        <v>2.85</v>
      </c>
      <c r="BI80" s="41"/>
    </row>
    <row r="81" spans="1:61" x14ac:dyDescent="0.2">
      <c r="A81" s="53" t="s">
        <v>43</v>
      </c>
      <c r="B81" s="55"/>
      <c r="C81" s="55"/>
      <c r="D81" s="55"/>
      <c r="E81" s="55"/>
      <c r="F81" s="40"/>
      <c r="G81" s="55">
        <f t="shared" ref="G81:J81" si="458">90/G78</f>
        <v>41.447368421052637</v>
      </c>
      <c r="H81" s="55">
        <f>90/H78</f>
        <v>42.294303797468352</v>
      </c>
      <c r="I81" s="55">
        <f t="shared" si="458"/>
        <v>45</v>
      </c>
      <c r="J81" s="55">
        <f t="shared" si="458"/>
        <v>45.902578796561606</v>
      </c>
      <c r="K81" s="40"/>
      <c r="L81" s="54">
        <v>12.742990654205606</v>
      </c>
      <c r="M81" s="54">
        <v>13.367768595041323</v>
      </c>
      <c r="N81" s="54">
        <v>13.367768595041323</v>
      </c>
      <c r="O81" s="54">
        <v>13.367768595041323</v>
      </c>
      <c r="P81" s="40"/>
      <c r="Q81" s="55">
        <f t="shared" ref="Q81:T81" si="459">90/Q78</f>
        <v>45.240641711229948</v>
      </c>
      <c r="R81" s="55">
        <f>90/R78</f>
        <v>45.463917525773198</v>
      </c>
      <c r="S81" s="55">
        <f t="shared" si="459"/>
        <v>43.448275862068961</v>
      </c>
      <c r="T81" s="55">
        <f t="shared" si="459"/>
        <v>43.033980582524272</v>
      </c>
      <c r="U81" s="40"/>
      <c r="V81" s="55">
        <f t="shared" ref="V81:Y81" si="460">90/V78</f>
        <v>44.090909090909093</v>
      </c>
      <c r="W81" s="55">
        <f>90/W78</f>
        <v>48.881401617250674</v>
      </c>
      <c r="X81" s="55">
        <f t="shared" si="460"/>
        <v>54.437689969604868</v>
      </c>
      <c r="Y81" s="55">
        <f t="shared" si="460"/>
        <v>44.314720812182742</v>
      </c>
      <c r="Z81" s="41"/>
      <c r="AA81" s="55">
        <f t="shared" ref="AA81:AD81" si="461">90/AA78</f>
        <v>43.6235294117647</v>
      </c>
      <c r="AB81" s="55">
        <f>90/AB78</f>
        <v>42.720264317180622</v>
      </c>
      <c r="AC81" s="55">
        <f t="shared" si="461"/>
        <v>39.25891181988743</v>
      </c>
      <c r="AD81" s="55">
        <f t="shared" si="461"/>
        <v>38.582342954159593</v>
      </c>
      <c r="AE81" s="41"/>
      <c r="AF81" s="55">
        <f t="shared" ref="AF81:AI81" si="462">90/AF78</f>
        <v>134.15191319246145</v>
      </c>
      <c r="AG81" s="55">
        <f>90/AG78</f>
        <v>128.77583465818759</v>
      </c>
      <c r="AH81" s="55">
        <f t="shared" si="462"/>
        <v>138.13291139240505</v>
      </c>
      <c r="AI81" s="55">
        <f t="shared" si="462"/>
        <v>73.16044595249636</v>
      </c>
      <c r="AJ81" s="41"/>
      <c r="AK81" s="55">
        <f t="shared" ref="AK81:AS81" si="463">90/AK78</f>
        <v>12.742990654205606</v>
      </c>
      <c r="AL81" s="55">
        <f>90/AL78</f>
        <v>13.367768595041323</v>
      </c>
      <c r="AM81" s="55">
        <f t="shared" si="463"/>
        <v>13.490022172949002</v>
      </c>
      <c r="AN81" s="55">
        <f t="shared" si="463"/>
        <v>12.548613984278033</v>
      </c>
      <c r="AO81" s="55"/>
      <c r="AP81" s="55">
        <f t="shared" si="463"/>
        <v>12.221290863369656</v>
      </c>
      <c r="AQ81" s="55">
        <f t="shared" si="463"/>
        <v>12.804123711340205</v>
      </c>
      <c r="AR81" s="55">
        <f t="shared" si="463"/>
        <v>13.771169751870815</v>
      </c>
      <c r="AS81" s="55">
        <f t="shared" si="463"/>
        <v>13.55769230769231</v>
      </c>
      <c r="AT81" s="41"/>
      <c r="AU81" s="55">
        <f t="shared" ref="AU81:AX81" si="464">90/AU78</f>
        <v>13.376052027543995</v>
      </c>
      <c r="AV81" s="55">
        <f t="shared" si="464"/>
        <v>14.157103284527107</v>
      </c>
      <c r="AW81" s="55">
        <f t="shared" si="464"/>
        <v>14.254016832440705</v>
      </c>
      <c r="AX81" s="55">
        <f t="shared" si="464"/>
        <v>13.664495114006515</v>
      </c>
      <c r="AY81" s="41"/>
      <c r="AZ81" s="55">
        <f t="shared" ref="AZ81:BC81" si="465">90/AZ78</f>
        <v>14.170411337711716</v>
      </c>
      <c r="BA81" s="55">
        <f t="shared" si="465"/>
        <v>13.888888888888888</v>
      </c>
      <c r="BB81" s="55">
        <f t="shared" si="465"/>
        <v>13.677811550151976</v>
      </c>
      <c r="BC81" s="55">
        <f t="shared" si="465"/>
        <v>13.533834586466165</v>
      </c>
      <c r="BD81" s="41"/>
      <c r="BE81" s="55">
        <f t="shared" ref="BE81:BH81" si="466">90/BE78</f>
        <v>14.285714285714286</v>
      </c>
      <c r="BF81" s="55">
        <f t="shared" si="466"/>
        <v>14.4</v>
      </c>
      <c r="BG81" s="55">
        <f t="shared" si="466"/>
        <v>14.469453376205788</v>
      </c>
      <c r="BH81" s="55">
        <f t="shared" si="466"/>
        <v>14.61038961038961</v>
      </c>
      <c r="BI81" s="41"/>
    </row>
    <row r="82" spans="1:61" x14ac:dyDescent="0.2">
      <c r="A82" s="53" t="s">
        <v>44</v>
      </c>
      <c r="B82" s="54"/>
      <c r="C82" s="54"/>
      <c r="D82" s="54"/>
      <c r="E82" s="54"/>
      <c r="F82" s="2"/>
      <c r="G82" s="55">
        <f t="shared" ref="G82:I82" si="467">90/G79</f>
        <v>65.889570552147248</v>
      </c>
      <c r="H82" s="55">
        <f t="shared" si="467"/>
        <v>66.361867704280158</v>
      </c>
      <c r="I82" s="55">
        <f t="shared" si="467"/>
        <v>68.089887640449433</v>
      </c>
      <c r="J82" s="55">
        <f>90/J79</f>
        <v>64.826325411334551</v>
      </c>
      <c r="K82" s="2"/>
      <c r="L82" s="55">
        <f t="shared" ref="L82:N82" si="468">90/L79</f>
        <v>66.302752293577981</v>
      </c>
      <c r="M82" s="55">
        <f t="shared" si="468"/>
        <v>67.460456942003518</v>
      </c>
      <c r="N82" s="55">
        <f t="shared" si="468"/>
        <v>69.878682842287688</v>
      </c>
      <c r="O82" s="55">
        <f>90/O79</f>
        <v>65.909090909090907</v>
      </c>
      <c r="P82" s="2"/>
      <c r="Q82" s="55">
        <f t="shared" ref="Q82:S82" si="469">90/Q79</f>
        <v>59.784560143626571</v>
      </c>
      <c r="R82" s="55">
        <f t="shared" si="469"/>
        <v>53.223350253807105</v>
      </c>
      <c r="S82" s="55">
        <f t="shared" si="469"/>
        <v>58.066884176182711</v>
      </c>
      <c r="T82" s="55">
        <f>90/T79</f>
        <v>58.950715421303656</v>
      </c>
      <c r="U82" s="2"/>
      <c r="V82" s="55">
        <f t="shared" ref="V82:X82" si="470">90/V79</f>
        <v>59.011532125205932</v>
      </c>
      <c r="W82" s="55">
        <f t="shared" si="470"/>
        <v>58.157439446366787</v>
      </c>
      <c r="X82" s="55">
        <f t="shared" si="470"/>
        <v>65.232558139534888</v>
      </c>
      <c r="Y82" s="55">
        <f>90/Y79</f>
        <v>57.216257668711656</v>
      </c>
      <c r="Z82" s="20"/>
      <c r="AA82" s="55">
        <f t="shared" ref="AA82:AC82" si="471">90/AA79</f>
        <v>59.471669218989277</v>
      </c>
      <c r="AB82" s="55">
        <f t="shared" si="471"/>
        <v>56.362339514978601</v>
      </c>
      <c r="AC82" s="55">
        <f t="shared" si="471"/>
        <v>53.295454545454547</v>
      </c>
      <c r="AD82" s="55">
        <f>90/AD79</f>
        <v>53.137724550898206</v>
      </c>
      <c r="AE82" s="20"/>
      <c r="AF82" s="55">
        <f t="shared" ref="AF82:AH82" si="472">90/AF79</f>
        <v>160.7030978071702</v>
      </c>
      <c r="AG82" s="55">
        <f t="shared" si="472"/>
        <v>166.16554054054055</v>
      </c>
      <c r="AH82" s="55">
        <f t="shared" si="472"/>
        <v>162.47637051039698</v>
      </c>
      <c r="AI82" s="55">
        <f>90/AI79</f>
        <v>87.088550983899836</v>
      </c>
      <c r="AJ82" s="20"/>
      <c r="AK82" s="55">
        <f t="shared" ref="AK82:AM82" si="473">90/AK79</f>
        <v>16.631610576923077</v>
      </c>
      <c r="AL82" s="55">
        <f t="shared" si="473"/>
        <v>15.413642960812773</v>
      </c>
      <c r="AM82" s="55">
        <f t="shared" si="473"/>
        <v>15.90909090909091</v>
      </c>
      <c r="AN82" s="55">
        <f>90/AN79</f>
        <v>17.676923076923075</v>
      </c>
      <c r="AO82" s="20"/>
      <c r="AP82" s="55">
        <f t="shared" ref="AP82:AR83" si="474">90/AP79</f>
        <v>19.860739153722552</v>
      </c>
      <c r="AQ82" s="55">
        <f t="shared" si="474"/>
        <v>22.355286853614611</v>
      </c>
      <c r="AR82" s="55">
        <f t="shared" si="474"/>
        <v>22.115567157095398</v>
      </c>
      <c r="AS82" s="55">
        <f>90/AS79</f>
        <v>19.002296211251437</v>
      </c>
      <c r="AT82" s="20"/>
      <c r="AU82" s="55">
        <f t="shared" ref="AU82:AW82" si="475">90/AU79</f>
        <v>18.584359160028967</v>
      </c>
      <c r="AV82" s="55">
        <f t="shared" si="475"/>
        <v>19.0625</v>
      </c>
      <c r="AW82" s="55">
        <f t="shared" si="475"/>
        <v>18.030751708428244</v>
      </c>
      <c r="AX82" s="55">
        <f>90/AX79</f>
        <v>17.789775231379462</v>
      </c>
      <c r="AY82" s="20"/>
      <c r="AZ82" s="55">
        <f t="shared" ref="AZ82:BB82" si="476">90/AZ79</f>
        <v>18.329363360762233</v>
      </c>
      <c r="BA82" s="55">
        <f t="shared" si="476"/>
        <v>17.647058823529413</v>
      </c>
      <c r="BB82" s="55">
        <f t="shared" si="476"/>
        <v>16.949152542372882</v>
      </c>
      <c r="BC82" s="55">
        <f>90/BC79</f>
        <v>16.981132075471699</v>
      </c>
      <c r="BD82" s="20"/>
      <c r="BE82" s="55">
        <f t="shared" ref="BE82:BG82" si="477">90/BE79</f>
        <v>18.367346938775508</v>
      </c>
      <c r="BF82" s="55">
        <f t="shared" si="477"/>
        <v>18.556701030927837</v>
      </c>
      <c r="BG82" s="55">
        <f t="shared" si="477"/>
        <v>18.126888217522659</v>
      </c>
      <c r="BH82" s="55">
        <f>90/BH79</f>
        <v>18.480492813141684</v>
      </c>
      <c r="BI82" s="20"/>
    </row>
    <row r="83" spans="1:61" x14ac:dyDescent="0.2">
      <c r="A83" s="53" t="s">
        <v>45</v>
      </c>
      <c r="B83" s="54"/>
      <c r="C83" s="54"/>
      <c r="D83" s="54"/>
      <c r="E83" s="54"/>
      <c r="F83" s="2"/>
      <c r="G83" s="55">
        <f t="shared" ref="G83:J83" si="478">90/G80</f>
        <v>47.8125</v>
      </c>
      <c r="H83" s="55">
        <f t="shared" si="478"/>
        <v>45</v>
      </c>
      <c r="I83" s="55">
        <f t="shared" si="478"/>
        <v>48.872403560830861</v>
      </c>
      <c r="J83" s="55">
        <f t="shared" si="478"/>
        <v>50.02865329512894</v>
      </c>
      <c r="K83" s="2"/>
      <c r="L83" s="55">
        <f t="shared" ref="L83:O83" si="479">90/L80</f>
        <v>42.81428571428571</v>
      </c>
      <c r="M83" s="55">
        <f t="shared" si="479"/>
        <v>41.643646408839778</v>
      </c>
      <c r="N83" s="55">
        <f t="shared" si="479"/>
        <v>44.281914893617021</v>
      </c>
      <c r="O83" s="55">
        <f t="shared" si="479"/>
        <v>40.741687979539641</v>
      </c>
      <c r="P83" s="2"/>
      <c r="Q83" s="55">
        <f t="shared" ref="Q83:T83" si="480">90/Q80</f>
        <v>39.705882352941174</v>
      </c>
      <c r="R83" s="55">
        <f t="shared" si="480"/>
        <v>35.489690721649488</v>
      </c>
      <c r="S83" s="55">
        <f t="shared" si="480"/>
        <v>35.135467980295566</v>
      </c>
      <c r="T83" s="55">
        <f t="shared" si="480"/>
        <v>36.480582524271846</v>
      </c>
      <c r="U83" s="2"/>
      <c r="V83" s="55">
        <f t="shared" ref="V83:Y83" si="481">90/V80</f>
        <v>44.204545454545453</v>
      </c>
      <c r="W83" s="55">
        <f t="shared" si="481"/>
        <v>49.002695417789752</v>
      </c>
      <c r="X83" s="55">
        <f t="shared" si="481"/>
        <v>49.787234042553195</v>
      </c>
      <c r="Y83" s="55">
        <f t="shared" si="481"/>
        <v>41.916243654822331</v>
      </c>
      <c r="Z83" s="20"/>
      <c r="AA83" s="55">
        <f t="shared" ref="AA83:AD83" si="482">90/AA80</f>
        <v>36.741176470588236</v>
      </c>
      <c r="AB83" s="55">
        <f t="shared" si="482"/>
        <v>33.502202643171806</v>
      </c>
      <c r="AC83" s="55">
        <f t="shared" si="482"/>
        <v>33.433395872420263</v>
      </c>
      <c r="AD83" s="55">
        <f t="shared" si="482"/>
        <v>35.297113752122236</v>
      </c>
      <c r="AE83" s="20"/>
      <c r="AF83" s="55">
        <f t="shared" ref="AF83:AI83" si="483">90/AF80</f>
        <v>119.24614505996574</v>
      </c>
      <c r="AG83" s="55">
        <f t="shared" si="483"/>
        <v>108.74403815580287</v>
      </c>
      <c r="AH83" s="55">
        <f t="shared" si="483"/>
        <v>119.38291139240506</v>
      </c>
      <c r="AI83" s="55">
        <f t="shared" si="483"/>
        <v>67.61997091614154</v>
      </c>
      <c r="AJ83" s="20"/>
      <c r="AK83" s="55">
        <f t="shared" ref="AK83:AN83" si="484">90/AK80</f>
        <v>19.261682242990652</v>
      </c>
      <c r="AL83" s="55">
        <f t="shared" si="484"/>
        <v>27.355371900826444</v>
      </c>
      <c r="AM83" s="55">
        <f t="shared" si="484"/>
        <v>36.35920177383592</v>
      </c>
      <c r="AN83" s="55">
        <f t="shared" si="484"/>
        <v>40.04757964418701</v>
      </c>
      <c r="AO83" s="20"/>
      <c r="AP83" s="55">
        <f t="shared" si="474"/>
        <v>36.946772841575864</v>
      </c>
      <c r="AQ83" s="55">
        <f t="shared" si="474"/>
        <v>36.371134020618555</v>
      </c>
      <c r="AR83" s="55">
        <f t="shared" si="474"/>
        <v>40.143757384797162</v>
      </c>
      <c r="AS83" s="55">
        <f t="shared" ref="AS83" si="485">90/AS80</f>
        <v>38.195701357466071</v>
      </c>
      <c r="AT83" s="20"/>
      <c r="AU83" s="55">
        <f t="shared" ref="AU83:AX83" si="486">90/AU80</f>
        <v>35.411247130833971</v>
      </c>
      <c r="AV83" s="55">
        <f t="shared" si="486"/>
        <v>33.977047882865065</v>
      </c>
      <c r="AW83" s="55">
        <f t="shared" si="486"/>
        <v>34.998087222647285</v>
      </c>
      <c r="AX83" s="55">
        <f t="shared" si="486"/>
        <v>35.781758957654716</v>
      </c>
      <c r="AY83" s="20"/>
      <c r="AZ83" s="55">
        <f t="shared" ref="AZ83:BC83" si="487">90/AZ80</f>
        <v>36.133771171793981</v>
      </c>
      <c r="BA83" s="55">
        <f t="shared" si="487"/>
        <v>32.774945375091043</v>
      </c>
      <c r="BB83" s="55">
        <f t="shared" si="487"/>
        <v>32.028469750889677</v>
      </c>
      <c r="BC83" s="55">
        <f t="shared" si="487"/>
        <v>30.716723549488052</v>
      </c>
      <c r="BD83" s="20"/>
      <c r="BE83" s="55">
        <f t="shared" ref="BE83:BH83" si="488">90/BE80</f>
        <v>32.028469750889677</v>
      </c>
      <c r="BF83" s="55">
        <f t="shared" si="488"/>
        <v>32.374100719424462</v>
      </c>
      <c r="BG83" s="55">
        <f t="shared" si="488"/>
        <v>32.028469750889677</v>
      </c>
      <c r="BH83" s="55">
        <f t="shared" si="488"/>
        <v>31.578947368421051</v>
      </c>
      <c r="BI83" s="20"/>
    </row>
    <row r="84" spans="1:61" x14ac:dyDescent="0.2">
      <c r="A84" s="53" t="s">
        <v>46</v>
      </c>
      <c r="B84" s="54"/>
      <c r="C84" s="54"/>
      <c r="D84" s="54"/>
      <c r="E84" s="54"/>
      <c r="F84" s="2"/>
      <c r="G84" s="54">
        <f>G81+G82-G83</f>
        <v>59.524438973199892</v>
      </c>
      <c r="H84" s="54">
        <f t="shared" ref="H84:J84" si="489">H81+H82-H83</f>
        <v>63.656171501748503</v>
      </c>
      <c r="I84" s="54">
        <f t="shared" si="489"/>
        <v>64.217484079618572</v>
      </c>
      <c r="J84" s="54">
        <f t="shared" si="489"/>
        <v>60.700250912767224</v>
      </c>
      <c r="K84" s="2"/>
      <c r="L84" s="54">
        <f>L81+L82-L83</f>
        <v>36.231457233497885</v>
      </c>
      <c r="M84" s="54">
        <f t="shared" ref="M84" si="490">M81+M82-M83</f>
        <v>39.184579128205066</v>
      </c>
      <c r="N84" s="54">
        <f t="shared" ref="N84" si="491">N81+N82-N83</f>
        <v>38.964536543711993</v>
      </c>
      <c r="O84" s="54">
        <f t="shared" ref="O84" si="492">O81+O82-O83</f>
        <v>38.535171524592592</v>
      </c>
      <c r="P84" s="2"/>
      <c r="Q84" s="54">
        <f>Q81+Q82-Q83</f>
        <v>65.319319501915345</v>
      </c>
      <c r="R84" s="54">
        <f t="shared" ref="R84" si="493">R81+R82-R83</f>
        <v>63.197577057930822</v>
      </c>
      <c r="S84" s="54">
        <f t="shared" ref="S84" si="494">S81+S82-S83</f>
        <v>66.379692057956106</v>
      </c>
      <c r="T84" s="54">
        <f t="shared" ref="T84" si="495">T81+T82-T83</f>
        <v>65.504113479556082</v>
      </c>
      <c r="U84" s="2"/>
      <c r="V84" s="54">
        <f>V81+V82-V83</f>
        <v>58.897895761569572</v>
      </c>
      <c r="W84" s="54">
        <f t="shared" ref="W84" si="496">W81+W82-W83</f>
        <v>58.036145645827716</v>
      </c>
      <c r="X84" s="54">
        <f t="shared" ref="X84" si="497">X81+X82-X83</f>
        <v>69.883014066586554</v>
      </c>
      <c r="Y84" s="54">
        <f t="shared" ref="Y84" si="498">Y81+Y82-Y83</f>
        <v>59.614734826072059</v>
      </c>
      <c r="Z84" s="20"/>
      <c r="AA84" s="54">
        <f>AA81+AA82-AA83</f>
        <v>66.354022160165727</v>
      </c>
      <c r="AB84" s="54">
        <f t="shared" ref="AB84" si="499">AB81+AB82-AB83</f>
        <v>65.580401188987423</v>
      </c>
      <c r="AC84" s="54">
        <f t="shared" ref="AC84" si="500">AC81+AC82-AC83</f>
        <v>59.120970492921714</v>
      </c>
      <c r="AD84" s="54">
        <f t="shared" ref="AD84" si="501">AD81+AD82-AD83</f>
        <v>56.422953752935562</v>
      </c>
      <c r="AE84" s="20"/>
      <c r="AF84" s="54">
        <f>AF81+AF82-AF83</f>
        <v>175.60886593966592</v>
      </c>
      <c r="AG84" s="54">
        <f t="shared" ref="AG84" si="502">AG81+AG82-AG83</f>
        <v>186.19733704292526</v>
      </c>
      <c r="AH84" s="54">
        <f t="shared" ref="AH84" si="503">AH81+AH82-AH83</f>
        <v>181.22637051039698</v>
      </c>
      <c r="AI84" s="54">
        <f t="shared" ref="AI84" si="504">AI81+AI82-AI83</f>
        <v>92.629026020254656</v>
      </c>
      <c r="AJ84" s="20"/>
      <c r="AK84" s="54">
        <f>AK81+AK82-AK83</f>
        <v>10.112918988138031</v>
      </c>
      <c r="AL84" s="54">
        <f t="shared" ref="AL84" si="505">AL81+AL82-AL83</f>
        <v>1.4260396550276511</v>
      </c>
      <c r="AM84" s="54">
        <f t="shared" ref="AM84" si="506">AM81+AM82-AM83</f>
        <v>-6.9600886917960096</v>
      </c>
      <c r="AN84" s="54">
        <f t="shared" ref="AN84" si="507">AN81+AN82-AN83</f>
        <v>-9.822042582985901</v>
      </c>
      <c r="AO84" s="20"/>
      <c r="AP84" s="54">
        <f>AP81+AP82-AP83</f>
        <v>-4.8647428244836561</v>
      </c>
      <c r="AQ84" s="54">
        <f t="shared" ref="AQ84" si="508">AQ81+AQ82-AQ83</f>
        <v>-1.2117234556637371</v>
      </c>
      <c r="AR84" s="54">
        <f t="shared" ref="AR84" si="509">AR81+AR82-AR83</f>
        <v>-4.2570204758309487</v>
      </c>
      <c r="AS84" s="54">
        <f t="shared" ref="AS84" si="510">AS81+AS82-AS83</f>
        <v>-5.6357128385223234</v>
      </c>
      <c r="AT84" s="20"/>
      <c r="AU84" s="54">
        <f>AU81+AU82-AU83</f>
        <v>-3.4508359432610085</v>
      </c>
      <c r="AV84" s="54">
        <f t="shared" ref="AV84:AX84" si="511">AV81+AV82-AV83</f>
        <v>-0.75744459833795474</v>
      </c>
      <c r="AW84" s="54">
        <f t="shared" si="511"/>
        <v>-2.7133186817783326</v>
      </c>
      <c r="AX84" s="54">
        <f t="shared" si="511"/>
        <v>-4.3274886122687377</v>
      </c>
      <c r="AY84" s="20"/>
      <c r="AZ84" s="54">
        <f>AZ81+AZ82-AZ83</f>
        <v>-3.6339964733200318</v>
      </c>
      <c r="BA84" s="54">
        <f t="shared" ref="BA84:BC84" si="512">BA81+BA82-BA83</f>
        <v>-1.2389976626727446</v>
      </c>
      <c r="BB84" s="54">
        <f t="shared" si="512"/>
        <v>-1.4015056583648189</v>
      </c>
      <c r="BC84" s="54">
        <f t="shared" si="512"/>
        <v>-0.20175688755018939</v>
      </c>
      <c r="BD84" s="20"/>
      <c r="BE84" s="54">
        <f>BE81+BE82-BE83</f>
        <v>0.62459147360011968</v>
      </c>
      <c r="BF84" s="54">
        <f t="shared" ref="BF84:BH84" si="513">BF81+BF82-BF83</f>
        <v>0.5826003115033771</v>
      </c>
      <c r="BG84" s="54">
        <f t="shared" si="513"/>
        <v>0.56787184283876968</v>
      </c>
      <c r="BH84" s="54">
        <f t="shared" si="513"/>
        <v>1.5119350551102464</v>
      </c>
      <c r="BI84" s="20"/>
    </row>
    <row r="85" spans="1:61" x14ac:dyDescent="0.2">
      <c r="A85" s="34"/>
      <c r="B85" s="56"/>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56"/>
      <c r="BC85" s="56"/>
      <c r="BD85" s="56"/>
      <c r="BE85" s="56"/>
      <c r="BF85" s="56"/>
      <c r="BG85" s="56"/>
      <c r="BH85" s="56"/>
      <c r="BI85" s="56"/>
    </row>
    <row r="88" spans="1:61" x14ac:dyDescent="0.2">
      <c r="A88" s="5"/>
      <c r="B88" s="57"/>
      <c r="C88" s="57"/>
      <c r="D88" s="57"/>
      <c r="E88" s="57"/>
      <c r="F88" s="57"/>
      <c r="G88" s="57"/>
      <c r="H88" s="57"/>
      <c r="I88" s="57"/>
      <c r="J88" s="57"/>
      <c r="K88" s="57"/>
      <c r="L88" s="57"/>
      <c r="M88" s="57"/>
      <c r="N88" s="57"/>
      <c r="O88" s="57"/>
      <c r="P88" s="57"/>
      <c r="Q88" s="57"/>
      <c r="R88" s="57"/>
      <c r="S88" s="57"/>
      <c r="T88" s="57"/>
      <c r="U88" s="57"/>
      <c r="V88" s="57"/>
      <c r="W88" s="58"/>
      <c r="X88" s="57"/>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row>
  </sheetData>
  <pageMargins left="0.7" right="0.7" top="0.75" bottom="0.75" header="0.3" footer="0.3"/>
  <pageSetup scale="37"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E4505-9127-4086-B3D6-28416D0A4232}">
  <sheetPr>
    <pageSetUpPr fitToPage="1"/>
  </sheetPr>
  <dimension ref="A1:BI65"/>
  <sheetViews>
    <sheetView zoomScale="70" zoomScaleNormal="70" workbookViewId="0">
      <pane xSplit="1" ySplit="5" topLeftCell="K6" activePane="bottomRight" state="frozen"/>
      <selection pane="topRight" activeCell="B1" sqref="B1"/>
      <selection pane="bottomLeft" activeCell="A6" sqref="A6"/>
      <selection pane="bottomRight" activeCell="BN45" sqref="BN45"/>
    </sheetView>
  </sheetViews>
  <sheetFormatPr defaultColWidth="9.140625" defaultRowHeight="12.75" outlineLevelCol="1" x14ac:dyDescent="0.2"/>
  <cols>
    <col min="1" max="1" width="59.5703125" style="4" customWidth="1"/>
    <col min="2" max="2" width="8.140625" style="3" hidden="1" customWidth="1" outlineLevel="1"/>
    <col min="3" max="3" width="8.85546875" style="3" hidden="1" customWidth="1" outlineLevel="1"/>
    <col min="4" max="4" width="9.140625" style="3" hidden="1" customWidth="1" outlineLevel="1"/>
    <col min="5" max="5" width="8.140625" style="3" hidden="1" customWidth="1" outlineLevel="1"/>
    <col min="6" max="6" width="9.85546875" style="3" hidden="1" customWidth="1" collapsed="1"/>
    <col min="7" max="7" width="8.85546875" style="3" hidden="1" customWidth="1" outlineLevel="1"/>
    <col min="8" max="9" width="9.140625" style="3" hidden="1" customWidth="1" outlineLevel="1"/>
    <col min="10" max="10" width="8.85546875" style="3" hidden="1" customWidth="1" outlineLevel="1"/>
    <col min="11" max="11" width="9.5703125" style="3" hidden="1" customWidth="1" collapsed="1"/>
    <col min="12" max="12" width="10.140625" style="3" hidden="1" customWidth="1" outlineLevel="1"/>
    <col min="13" max="13" width="9.140625" style="3" hidden="1" customWidth="1" outlineLevel="1"/>
    <col min="14" max="14" width="9.42578125" style="3" hidden="1" customWidth="1" outlineLevel="1"/>
    <col min="15" max="15" width="9.5703125" style="3" hidden="1" customWidth="1" outlineLevel="1"/>
    <col min="16" max="16" width="10.140625" style="3" hidden="1" customWidth="1" collapsed="1"/>
    <col min="17" max="17" width="9.140625" style="3" hidden="1" customWidth="1" outlineLevel="1"/>
    <col min="18" max="19" width="10.140625" style="3" hidden="1" customWidth="1" outlineLevel="1"/>
    <col min="20" max="20" width="9.140625" style="3" hidden="1" customWidth="1" outlineLevel="1"/>
    <col min="21" max="21" width="10.42578125" style="3" bestFit="1" customWidth="1" collapsed="1"/>
    <col min="22" max="25" width="9.140625" style="3" hidden="1" customWidth="1" outlineLevel="1"/>
    <col min="26" max="26" width="9.5703125" style="3" bestFit="1" customWidth="1" collapsed="1"/>
    <col min="27" max="30" width="9.140625" style="3" hidden="1" customWidth="1" outlineLevel="1"/>
    <col min="31" max="31" width="9.5703125" style="3" bestFit="1" customWidth="1" collapsed="1"/>
    <col min="32" max="35" width="9.42578125" style="3" hidden="1" customWidth="1" outlineLevel="1"/>
    <col min="36" max="36" width="9.5703125" style="3" bestFit="1" customWidth="1" collapsed="1"/>
    <col min="37" max="37" width="9.140625" style="3" hidden="1" customWidth="1" outlineLevel="1"/>
    <col min="38" max="39" width="8.5703125" style="3" hidden="1" customWidth="1" outlineLevel="1"/>
    <col min="40" max="40" width="10" style="3" hidden="1" customWidth="1" outlineLevel="1"/>
    <col min="41" max="41" width="9.42578125" style="3" bestFit="1" customWidth="1" collapsed="1"/>
    <col min="42" max="42" width="9.5703125" style="3" hidden="1" customWidth="1" outlineLevel="1"/>
    <col min="43" max="43" width="10.140625" style="3" hidden="1" customWidth="1" outlineLevel="1"/>
    <col min="44" max="44" width="9.5703125" style="3" hidden="1" customWidth="1" outlineLevel="1"/>
    <col min="45" max="45" width="10" style="3" hidden="1" customWidth="1" outlineLevel="1"/>
    <col min="46" max="46" width="9.5703125" style="3" bestFit="1" customWidth="1" collapsed="1"/>
    <col min="47" max="47" width="9.5703125" style="3" bestFit="1" customWidth="1" outlineLevel="1"/>
    <col min="48" max="48" width="10.140625" style="3" customWidth="1" outlineLevel="1"/>
    <col min="49" max="49" width="9.5703125" style="3" bestFit="1" customWidth="1" outlineLevel="1"/>
    <col min="50" max="50" width="10" style="3" customWidth="1" outlineLevel="1"/>
    <col min="51" max="51" width="9.5703125" style="3" bestFit="1" customWidth="1"/>
    <col min="52" max="52" width="9.5703125" style="3" bestFit="1" customWidth="1" outlineLevel="1"/>
    <col min="53" max="53" width="10.140625" style="3" customWidth="1" outlineLevel="1"/>
    <col min="54" max="54" width="9.5703125" style="3" bestFit="1" customWidth="1" outlineLevel="1"/>
    <col min="55" max="55" width="10" style="3" customWidth="1" outlineLevel="1"/>
    <col min="56" max="56" width="9.5703125" style="3" bestFit="1" customWidth="1"/>
    <col min="57" max="57" width="9.5703125" style="3" bestFit="1" customWidth="1" outlineLevel="1"/>
    <col min="58" max="58" width="10.140625" style="3" customWidth="1" outlineLevel="1"/>
    <col min="59" max="59" width="9.5703125" style="3" bestFit="1" customWidth="1" outlineLevel="1"/>
    <col min="60" max="60" width="10" style="3" customWidth="1" outlineLevel="1"/>
    <col min="61" max="61" width="9.5703125" style="3" bestFit="1" customWidth="1"/>
    <col min="62" max="16384" width="9.140625" style="3"/>
  </cols>
  <sheetData>
    <row r="1" spans="1:61" x14ac:dyDescent="0.2">
      <c r="A1" s="1"/>
      <c r="AL1" s="59"/>
    </row>
    <row r="2" spans="1:61" x14ac:dyDescent="0.2">
      <c r="A2" s="5"/>
      <c r="U2" s="100"/>
      <c r="V2" s="100"/>
      <c r="W2" s="100"/>
      <c r="X2" s="100"/>
      <c r="Y2" s="100"/>
      <c r="Z2" s="100"/>
      <c r="AA2" s="100"/>
      <c r="AB2" s="100"/>
      <c r="AC2" s="100"/>
      <c r="AD2" s="100"/>
      <c r="AE2" s="100"/>
      <c r="AF2" s="100"/>
      <c r="AG2" s="100"/>
      <c r="AH2" s="100"/>
      <c r="AI2" s="100"/>
      <c r="AJ2" s="100"/>
      <c r="AK2" s="101"/>
      <c r="AL2" s="101"/>
      <c r="AM2" s="101"/>
      <c r="AN2" s="101"/>
      <c r="AO2" s="101"/>
      <c r="AP2" s="9"/>
      <c r="AQ2" s="9"/>
      <c r="AR2" s="9"/>
      <c r="AS2" s="9"/>
      <c r="AT2" s="100"/>
      <c r="AU2" s="9"/>
      <c r="AV2" s="9"/>
      <c r="AW2" s="9"/>
      <c r="AX2" s="9"/>
      <c r="AY2" s="100"/>
      <c r="AZ2" s="9"/>
      <c r="BA2" s="9"/>
      <c r="BB2" s="9"/>
      <c r="BC2" s="9"/>
      <c r="BD2" s="100"/>
      <c r="BE2" s="9"/>
      <c r="BF2" s="9"/>
      <c r="BG2" s="9"/>
      <c r="BH2" s="9"/>
      <c r="BI2" s="100"/>
    </row>
    <row r="3" spans="1:61" x14ac:dyDescent="0.2">
      <c r="A3" s="8" t="s">
        <v>189</v>
      </c>
      <c r="Y3" s="100"/>
      <c r="Z3" s="100"/>
      <c r="AA3" s="100"/>
      <c r="AB3" s="100"/>
      <c r="AC3" s="100"/>
      <c r="AD3" s="100"/>
      <c r="AE3" s="100"/>
      <c r="AF3" s="102"/>
      <c r="AG3" s="100"/>
      <c r="AH3" s="102"/>
      <c r="AI3" s="102"/>
      <c r="AJ3" s="100"/>
      <c r="AK3" s="100"/>
      <c r="AL3" s="101"/>
      <c r="AM3" s="101"/>
      <c r="AN3" s="101"/>
      <c r="AO3" s="101"/>
      <c r="AP3" s="101"/>
      <c r="AQ3" s="101"/>
      <c r="AR3" s="101"/>
      <c r="AS3" s="101"/>
      <c r="AT3" s="101"/>
      <c r="AU3" s="101"/>
      <c r="AV3" s="101"/>
      <c r="AW3" s="101"/>
      <c r="AX3" s="101"/>
      <c r="AY3" s="100"/>
      <c r="AZ3" s="101"/>
      <c r="BA3" s="101"/>
      <c r="BB3" s="101"/>
      <c r="BC3" s="101"/>
      <c r="BD3" s="100"/>
      <c r="BE3" s="101"/>
      <c r="BF3" s="101"/>
      <c r="BG3" s="101"/>
      <c r="BH3" s="101"/>
      <c r="BI3" s="100"/>
    </row>
    <row r="4" spans="1:61" x14ac:dyDescent="0.2">
      <c r="A4" s="10" t="s">
        <v>140</v>
      </c>
      <c r="F4" s="103"/>
      <c r="K4" s="103"/>
      <c r="P4" s="103"/>
      <c r="U4" s="103"/>
      <c r="Z4" s="103"/>
      <c r="AE4" s="103"/>
      <c r="AJ4" s="103"/>
      <c r="AK4" s="104"/>
      <c r="AL4" s="104"/>
      <c r="AM4" s="104"/>
      <c r="AN4" s="104"/>
      <c r="AO4" s="103"/>
      <c r="AP4" s="104"/>
      <c r="AQ4" s="104"/>
      <c r="AR4" s="104"/>
      <c r="AS4" s="104"/>
      <c r="AT4" s="103"/>
      <c r="AU4" s="104"/>
      <c r="AV4" s="104"/>
      <c r="AW4" s="104"/>
      <c r="AX4" s="104"/>
      <c r="AY4" s="103"/>
      <c r="AZ4" s="104"/>
      <c r="BA4" s="104"/>
      <c r="BB4" s="104"/>
      <c r="BC4" s="104"/>
      <c r="BD4" s="103"/>
      <c r="BE4" s="104"/>
      <c r="BF4" s="104"/>
      <c r="BG4" s="104"/>
      <c r="BH4" s="104"/>
      <c r="BI4" s="103"/>
    </row>
    <row r="5" spans="1:61" x14ac:dyDescent="0.2">
      <c r="A5" s="12" t="s">
        <v>53</v>
      </c>
      <c r="B5" s="13" t="str">
        <f>IS!B7</f>
        <v>1Q16</v>
      </c>
      <c r="C5" s="13" t="str">
        <f>IS!C7</f>
        <v>2Q16</v>
      </c>
      <c r="D5" s="13" t="str">
        <f>IS!D7</f>
        <v>3Q16</v>
      </c>
      <c r="E5" s="13" t="str">
        <f>IS!E7</f>
        <v>4Q16</v>
      </c>
      <c r="F5" s="14" t="str">
        <f>IS!F7</f>
        <v>FY16</v>
      </c>
      <c r="G5" s="13" t="str">
        <f>IS!G7</f>
        <v>1Q17</v>
      </c>
      <c r="H5" s="13" t="str">
        <f>IS!H7</f>
        <v>2Q17</v>
      </c>
      <c r="I5" s="13" t="str">
        <f>IS!I7</f>
        <v>3Q17</v>
      </c>
      <c r="J5" s="13" t="str">
        <f>IS!J7</f>
        <v>4Q17</v>
      </c>
      <c r="K5" s="14" t="str">
        <f>IS!K7</f>
        <v>FY17</v>
      </c>
      <c r="L5" s="13" t="str">
        <f>IS!L7</f>
        <v>1Q18</v>
      </c>
      <c r="M5" s="13" t="str">
        <f>IS!M7</f>
        <v>2Q18</v>
      </c>
      <c r="N5" s="13" t="str">
        <f>IS!N7</f>
        <v>3Q18</v>
      </c>
      <c r="O5" s="13" t="str">
        <f>IS!O7</f>
        <v>4Q18</v>
      </c>
      <c r="P5" s="14" t="str">
        <f>IS!P7</f>
        <v>FY18</v>
      </c>
      <c r="Q5" s="13" t="str">
        <f>IS!Q7</f>
        <v>1Q19</v>
      </c>
      <c r="R5" s="13" t="str">
        <f>IS!R7</f>
        <v>2Q19</v>
      </c>
      <c r="S5" s="13" t="str">
        <f>IS!S7</f>
        <v>3Q19</v>
      </c>
      <c r="T5" s="13" t="str">
        <f>IS!T7</f>
        <v>4Q19</v>
      </c>
      <c r="U5" s="14" t="str">
        <f>IS!U7</f>
        <v>FY19</v>
      </c>
      <c r="V5" s="13" t="str">
        <f>IS!V7</f>
        <v>1Q20</v>
      </c>
      <c r="W5" s="13" t="str">
        <f>IS!W7</f>
        <v>2Q20</v>
      </c>
      <c r="X5" s="13" t="str">
        <f>IS!X7</f>
        <v>3Q20</v>
      </c>
      <c r="Y5" s="13" t="str">
        <f>IS!Y7</f>
        <v>4Q20</v>
      </c>
      <c r="Z5" s="14" t="str">
        <f>IS!Z7</f>
        <v>FY20</v>
      </c>
      <c r="AA5" s="13" t="str">
        <f>IS!AA7</f>
        <v>1Q21</v>
      </c>
      <c r="AB5" s="13" t="str">
        <f>IS!AB7</f>
        <v>2Q21</v>
      </c>
      <c r="AC5" s="13" t="str">
        <f>IS!AC7</f>
        <v>3Q21</v>
      </c>
      <c r="AD5" s="13" t="str">
        <f>IS!AD7</f>
        <v>4Q21</v>
      </c>
      <c r="AE5" s="14" t="str">
        <f>IS!AE7</f>
        <v>FY21</v>
      </c>
      <c r="AF5" s="13" t="str">
        <f>IS!AF7</f>
        <v>1Q22</v>
      </c>
      <c r="AG5" s="13" t="str">
        <f>IS!AG7</f>
        <v>2Q22</v>
      </c>
      <c r="AH5" s="13" t="str">
        <f>IS!AH7</f>
        <v>3Q22</v>
      </c>
      <c r="AI5" s="13" t="str">
        <f>IS!AI7</f>
        <v>4Q22</v>
      </c>
      <c r="AJ5" s="14" t="str">
        <f>IS!AJ7</f>
        <v>FY22</v>
      </c>
      <c r="AK5" s="13" t="str">
        <f>IS!AK7</f>
        <v>1Q23</v>
      </c>
      <c r="AL5" s="13" t="str">
        <f>IS!AL7</f>
        <v>2Q23</v>
      </c>
      <c r="AM5" s="13" t="str">
        <f>IS!AM7</f>
        <v>3Q23</v>
      </c>
      <c r="AN5" s="13" t="str">
        <f>IS!AN7</f>
        <v>4Q23</v>
      </c>
      <c r="AO5" s="14" t="str">
        <f>IS!AO7</f>
        <v>FY23</v>
      </c>
      <c r="AP5" s="13" t="str">
        <f>IS!AP7</f>
        <v>1Q24</v>
      </c>
      <c r="AQ5" s="13" t="str">
        <f>IS!AQ7</f>
        <v>2Q24</v>
      </c>
      <c r="AR5" s="13" t="str">
        <f>IS!AR7</f>
        <v>3Q24</v>
      </c>
      <c r="AS5" s="13" t="str">
        <f>IS!AS7</f>
        <v>4Q24</v>
      </c>
      <c r="AT5" s="14" t="str">
        <f>IS!AT7</f>
        <v>FY24</v>
      </c>
      <c r="AU5" s="13" t="str">
        <f>IS!AU7</f>
        <v>1Q25</v>
      </c>
      <c r="AV5" s="13" t="str">
        <f>IS!AV7</f>
        <v>2Q25</v>
      </c>
      <c r="AW5" s="13" t="str">
        <f>IS!AW7</f>
        <v>3Q25</v>
      </c>
      <c r="AX5" s="13" t="str">
        <f>IS!AX7</f>
        <v>4Q25</v>
      </c>
      <c r="AY5" s="14" t="str">
        <f>IS!AY7</f>
        <v>FY25</v>
      </c>
      <c r="AZ5" s="13" t="str">
        <f>IS!AZ7</f>
        <v>1Q26</v>
      </c>
      <c r="BA5" s="13" t="str">
        <f>IS!BA7</f>
        <v>2Q26E</v>
      </c>
      <c r="BB5" s="13" t="str">
        <f>IS!BB7</f>
        <v>3Q26E</v>
      </c>
      <c r="BC5" s="13" t="str">
        <f>IS!BC7</f>
        <v>4Q26E</v>
      </c>
      <c r="BD5" s="14" t="str">
        <f>IS!BD7</f>
        <v>FY26E</v>
      </c>
      <c r="BE5" s="13" t="str">
        <f>IS!BE7</f>
        <v>1Q27E</v>
      </c>
      <c r="BF5" s="13" t="str">
        <f>IS!BF7</f>
        <v>2Q27E</v>
      </c>
      <c r="BG5" s="13" t="str">
        <f>IS!BG7</f>
        <v>3Q27E</v>
      </c>
      <c r="BH5" s="13" t="str">
        <f>IS!BH7</f>
        <v>4Q27E</v>
      </c>
      <c r="BI5" s="14" t="str">
        <f>IS!BI7</f>
        <v>FY27E</v>
      </c>
    </row>
    <row r="6" spans="1:61" x14ac:dyDescent="0.2">
      <c r="F6" s="105"/>
      <c r="K6" s="105"/>
      <c r="P6" s="105"/>
      <c r="U6" s="105"/>
      <c r="Z6" s="105"/>
      <c r="AE6" s="105"/>
      <c r="AJ6" s="105"/>
      <c r="AO6" s="105"/>
      <c r="AT6" s="105"/>
      <c r="AY6" s="105"/>
      <c r="BD6" s="105"/>
      <c r="BI6" s="105"/>
    </row>
    <row r="7" spans="1:61" x14ac:dyDescent="0.2">
      <c r="F7" s="107"/>
      <c r="K7" s="107"/>
      <c r="P7" s="107"/>
      <c r="U7" s="107"/>
      <c r="Z7" s="107"/>
      <c r="AE7" s="107"/>
      <c r="AJ7" s="107"/>
      <c r="AO7" s="107"/>
      <c r="AT7" s="107"/>
      <c r="AY7" s="107"/>
      <c r="BD7" s="107"/>
      <c r="BI7" s="107"/>
    </row>
    <row r="8" spans="1:61" x14ac:dyDescent="0.2">
      <c r="A8" s="108" t="s">
        <v>141</v>
      </c>
      <c r="B8" s="109"/>
      <c r="C8" s="109"/>
      <c r="D8" s="109"/>
      <c r="E8" s="132">
        <v>65</v>
      </c>
      <c r="F8" s="138">
        <v>273</v>
      </c>
      <c r="G8" s="132">
        <v>72</v>
      </c>
      <c r="H8" s="132">
        <f>143-G8</f>
        <v>71</v>
      </c>
      <c r="I8" s="132">
        <f>199-SUM(G8:H8)</f>
        <v>56</v>
      </c>
      <c r="J8" s="132">
        <f>K8-SUM(G8:I8)</f>
        <v>105</v>
      </c>
      <c r="K8" s="138">
        <v>304</v>
      </c>
      <c r="L8" s="132">
        <v>-10</v>
      </c>
      <c r="M8" s="132">
        <v>67</v>
      </c>
      <c r="N8" s="132">
        <f>121-SUM(L8:M8)</f>
        <v>64</v>
      </c>
      <c r="O8" s="132">
        <f>P8-SUM(L8:N8)</f>
        <v>45</v>
      </c>
      <c r="P8" s="138">
        <v>166</v>
      </c>
      <c r="Q8" s="132">
        <v>53</v>
      </c>
      <c r="R8" s="132">
        <v>63</v>
      </c>
      <c r="S8" s="132">
        <v>65</v>
      </c>
      <c r="T8" s="132">
        <f>U8-SUM(Q8:S8)</f>
        <v>27</v>
      </c>
      <c r="U8" s="138">
        <v>208</v>
      </c>
      <c r="V8" s="132">
        <v>73</v>
      </c>
      <c r="W8" s="132">
        <f>136-V8</f>
        <v>63</v>
      </c>
      <c r="X8" s="132">
        <f>195-SUM(V8:W8)</f>
        <v>59</v>
      </c>
      <c r="Y8" s="132">
        <f>Z8-SUM(V8:X8)</f>
        <v>122</v>
      </c>
      <c r="Z8" s="138">
        <v>317</v>
      </c>
      <c r="AA8" s="132">
        <v>87</v>
      </c>
      <c r="AB8" s="132">
        <f>155-AA8</f>
        <v>68</v>
      </c>
      <c r="AC8" s="132">
        <f>252-SUM(AA8:AB8)</f>
        <v>97</v>
      </c>
      <c r="AD8" s="132">
        <f>AE8-SUM(AA8:AC8)</f>
        <v>168</v>
      </c>
      <c r="AE8" s="138">
        <v>420</v>
      </c>
      <c r="AF8" s="132">
        <v>87</v>
      </c>
      <c r="AG8" s="132">
        <f>168.4-AF8</f>
        <v>81.400000000000006</v>
      </c>
      <c r="AH8" s="132">
        <f>267-SUM(AF8:AG8)</f>
        <v>98.6</v>
      </c>
      <c r="AI8" s="132">
        <f>AJ8-SUM(AF8:AH8)</f>
        <v>157.30000000000001</v>
      </c>
      <c r="AJ8" s="138">
        <v>424.3</v>
      </c>
      <c r="AK8" s="132">
        <v>81.900000000000006</v>
      </c>
      <c r="AL8" s="132">
        <f>1309.2-AK8</f>
        <v>1227.3</v>
      </c>
      <c r="AM8" s="132">
        <f>1370.8-SUM(AK8:AL8)</f>
        <v>61.599999999999909</v>
      </c>
      <c r="AN8" s="132">
        <f>AO8-SUM(AK8:AM8)</f>
        <v>48.900000000000091</v>
      </c>
      <c r="AO8" s="138">
        <v>1419.7</v>
      </c>
      <c r="AP8" s="132">
        <v>31.9</v>
      </c>
      <c r="AQ8" s="132">
        <f>73.3-AP8</f>
        <v>41.4</v>
      </c>
      <c r="AR8" s="132">
        <f>119.2-SUM(AP8:AQ8)</f>
        <v>45.900000000000006</v>
      </c>
      <c r="AS8" s="132">
        <f>+AT8-SUM(AP8:AR8)</f>
        <v>92.3</v>
      </c>
      <c r="AT8" s="138">
        <v>211.5</v>
      </c>
      <c r="AU8" s="132">
        <v>91.6</v>
      </c>
      <c r="AV8" s="132">
        <f>129.2-AU8</f>
        <v>37.599999999999994</v>
      </c>
      <c r="AW8" s="132">
        <f>185.7-SUM(AU8:AV8)</f>
        <v>56.5</v>
      </c>
      <c r="AX8" s="132">
        <f>+AY8-SUM(AU8:AW8)</f>
        <v>25</v>
      </c>
      <c r="AY8" s="138">
        <v>210.7</v>
      </c>
      <c r="AZ8" s="132">
        <v>-32.799999999999997</v>
      </c>
      <c r="BA8" s="132">
        <f>IS!BA96</f>
        <v>40.435837916583658</v>
      </c>
      <c r="BB8" s="132">
        <f>IS!BB96</f>
        <v>57.622197247604539</v>
      </c>
      <c r="BC8" s="132">
        <f>IS!BC96</f>
        <v>58.769405040393266</v>
      </c>
      <c r="BD8" s="138">
        <f>SUM(AZ8:BC8)</f>
        <v>124.02744020458147</v>
      </c>
      <c r="BE8" s="132">
        <f>IS!BE96</f>
        <v>42.996489092001205</v>
      </c>
      <c r="BF8" s="132">
        <f>IS!BF96</f>
        <v>48.720522675004517</v>
      </c>
      <c r="BG8" s="132">
        <f>IS!BG96</f>
        <v>71.390662122731257</v>
      </c>
      <c r="BH8" s="132">
        <f>IS!BH96</f>
        <v>72.794341684079129</v>
      </c>
      <c r="BI8" s="138">
        <f>SUM(BE8:BH8)</f>
        <v>235.90201557381613</v>
      </c>
    </row>
    <row r="9" spans="1:61" x14ac:dyDescent="0.2">
      <c r="A9" s="108" t="s">
        <v>142</v>
      </c>
      <c r="B9" s="106"/>
      <c r="C9" s="106"/>
      <c r="D9" s="106"/>
      <c r="E9" s="132">
        <v>10</v>
      </c>
      <c r="F9" s="139">
        <v>38</v>
      </c>
      <c r="G9" s="133">
        <v>9</v>
      </c>
      <c r="H9" s="133">
        <f>18-G9</f>
        <v>9</v>
      </c>
      <c r="I9" s="132">
        <f>30-SUM(G9:H9)</f>
        <v>12</v>
      </c>
      <c r="J9" s="132">
        <f t="shared" ref="J9:J17" si="0">K9-SUM(G9:I9)</f>
        <v>12</v>
      </c>
      <c r="K9" s="139">
        <v>42</v>
      </c>
      <c r="L9" s="133">
        <v>11</v>
      </c>
      <c r="M9" s="133">
        <v>14</v>
      </c>
      <c r="N9" s="132">
        <v>14</v>
      </c>
      <c r="O9" s="132">
        <f t="shared" ref="O9:O17" si="1">P9-SUM(L9:N9)</f>
        <v>15</v>
      </c>
      <c r="P9" s="139">
        <v>54</v>
      </c>
      <c r="Q9" s="133">
        <v>14</v>
      </c>
      <c r="R9" s="133">
        <v>14</v>
      </c>
      <c r="S9" s="132">
        <v>15</v>
      </c>
      <c r="T9" s="132">
        <f t="shared" ref="T9:T17" si="2">U9-SUM(Q9:S9)</f>
        <v>18</v>
      </c>
      <c r="U9" s="139">
        <v>61</v>
      </c>
      <c r="V9" s="133">
        <v>16</v>
      </c>
      <c r="W9" s="133">
        <f>31-V9</f>
        <v>15</v>
      </c>
      <c r="X9" s="132">
        <f>48-SUM(V9:W9)</f>
        <v>17</v>
      </c>
      <c r="Y9" s="132">
        <f t="shared" ref="Y9:Y17" si="3">Z9-SUM(V9:X9)</f>
        <v>18</v>
      </c>
      <c r="Z9" s="139">
        <v>66</v>
      </c>
      <c r="AA9" s="133">
        <v>21</v>
      </c>
      <c r="AB9" s="133">
        <f>44-AA9</f>
        <v>23</v>
      </c>
      <c r="AC9" s="132">
        <f>68-SUM(AA9:AB9)</f>
        <v>24</v>
      </c>
      <c r="AD9" s="132">
        <f t="shared" ref="AD9:AD17" si="4">AE9-SUM(AA9:AC9)</f>
        <v>24</v>
      </c>
      <c r="AE9" s="139">
        <v>92</v>
      </c>
      <c r="AF9" s="133">
        <v>16.899999999999999</v>
      </c>
      <c r="AG9" s="133">
        <f>34.5-AF9</f>
        <v>17.600000000000001</v>
      </c>
      <c r="AH9" s="132">
        <v>17.600000000000001</v>
      </c>
      <c r="AI9" s="132">
        <f t="shared" ref="AI9:AI17" si="5">AJ9-SUM(AF9:AH9)</f>
        <v>19.300000000000004</v>
      </c>
      <c r="AJ9" s="139">
        <v>71.400000000000006</v>
      </c>
      <c r="AK9" s="133">
        <v>18.5</v>
      </c>
      <c r="AL9" s="133">
        <f>39.1-AK9</f>
        <v>20.6</v>
      </c>
      <c r="AM9" s="132">
        <f>60.7-SUM(AK9:AL9)</f>
        <v>21.6</v>
      </c>
      <c r="AN9" s="132">
        <f t="shared" ref="AN9:AN19" si="6">AO9-SUM(AK9:AM9)</f>
        <v>28.099999999999994</v>
      </c>
      <c r="AO9" s="139">
        <v>88.8</v>
      </c>
      <c r="AP9" s="132">
        <v>24.6</v>
      </c>
      <c r="AQ9" s="214">
        <f>50.2-AP9</f>
        <v>25.6</v>
      </c>
      <c r="AR9" s="132">
        <f>77.1-AQ9-AP9</f>
        <v>26.899999999999991</v>
      </c>
      <c r="AS9" s="132">
        <f t="shared" ref="AS9:AS17" si="7">+AT9-SUM(AP9:AR9)</f>
        <v>28.800000000000011</v>
      </c>
      <c r="AT9" s="139">
        <v>105.9</v>
      </c>
      <c r="AU9" s="132">
        <v>28</v>
      </c>
      <c r="AV9" s="132">
        <v>28.4</v>
      </c>
      <c r="AW9" s="132">
        <v>30.2</v>
      </c>
      <c r="AX9" s="132">
        <f t="shared" ref="AX9:AX17" si="8">+AY9-SUM(AU9:AW9)</f>
        <v>32.800000000000011</v>
      </c>
      <c r="AY9" s="139">
        <v>119.4</v>
      </c>
      <c r="AZ9" s="132">
        <v>33.5</v>
      </c>
      <c r="BA9" s="132">
        <f>+BA58*IS!BA86</f>
        <v>36.722451142728382</v>
      </c>
      <c r="BB9" s="132">
        <f>+BB58*IS!BB86</f>
        <v>38.252294163229436</v>
      </c>
      <c r="BC9" s="132">
        <f>+BC58*IS!BC86</f>
        <v>39.872331037233913</v>
      </c>
      <c r="BD9" s="139">
        <f>SUM(AZ9:BC9)</f>
        <v>148.34707634319173</v>
      </c>
      <c r="BE9" s="132">
        <f>+BE58*IS!BE86</f>
        <v>41.400000000000006</v>
      </c>
      <c r="BF9" s="132">
        <f>+BF58*IS!BF86</f>
        <v>42.8</v>
      </c>
      <c r="BG9" s="132">
        <f>+BG58*IS!BG86</f>
        <v>44.499999999999993</v>
      </c>
      <c r="BH9" s="132">
        <f>+BH58*IS!BH86</f>
        <v>46.185133862355165</v>
      </c>
      <c r="BI9" s="139">
        <f>SUM(BE9:BH9)</f>
        <v>174.88513386235516</v>
      </c>
    </row>
    <row r="10" spans="1:61" x14ac:dyDescent="0.2">
      <c r="A10" s="108" t="s">
        <v>143</v>
      </c>
      <c r="B10" s="106"/>
      <c r="C10" s="106"/>
      <c r="D10" s="106"/>
      <c r="E10" s="132">
        <v>0</v>
      </c>
      <c r="F10" s="139"/>
      <c r="G10" s="133">
        <v>1</v>
      </c>
      <c r="H10" s="133">
        <f>3-G10</f>
        <v>2</v>
      </c>
      <c r="I10" s="132">
        <f>6-SUM(G10:H10)</f>
        <v>3</v>
      </c>
      <c r="J10" s="132">
        <f t="shared" si="0"/>
        <v>3</v>
      </c>
      <c r="K10" s="139">
        <v>9</v>
      </c>
      <c r="L10" s="133">
        <v>4</v>
      </c>
      <c r="M10" s="133">
        <v>3</v>
      </c>
      <c r="N10" s="132">
        <v>3</v>
      </c>
      <c r="O10" s="132">
        <f t="shared" si="1"/>
        <v>2</v>
      </c>
      <c r="P10" s="139">
        <v>12</v>
      </c>
      <c r="Q10" s="133">
        <v>3</v>
      </c>
      <c r="R10" s="133">
        <v>2</v>
      </c>
      <c r="S10" s="132">
        <v>-5</v>
      </c>
      <c r="T10" s="132">
        <f t="shared" si="2"/>
        <v>9</v>
      </c>
      <c r="U10" s="139">
        <v>9</v>
      </c>
      <c r="V10" s="133">
        <v>4</v>
      </c>
      <c r="W10" s="133">
        <f>3-V10</f>
        <v>-1</v>
      </c>
      <c r="X10" s="132">
        <f>8-SUM(V10:W10)</f>
        <v>5</v>
      </c>
      <c r="Y10" s="132">
        <f t="shared" si="3"/>
        <v>4</v>
      </c>
      <c r="Z10" s="139">
        <v>12</v>
      </c>
      <c r="AA10" s="133">
        <v>3</v>
      </c>
      <c r="AB10" s="133">
        <f>6-AA10</f>
        <v>3</v>
      </c>
      <c r="AC10" s="132">
        <f>10-SUM(AA10:AB10)</f>
        <v>4</v>
      </c>
      <c r="AD10" s="132">
        <f t="shared" si="4"/>
        <v>4</v>
      </c>
      <c r="AE10" s="139">
        <v>14</v>
      </c>
      <c r="AF10" s="133">
        <v>3.2</v>
      </c>
      <c r="AG10" s="133">
        <f>7.2-AF10</f>
        <v>4</v>
      </c>
      <c r="AH10" s="132">
        <f>11-SUM(AF10:AG10)</f>
        <v>3.8</v>
      </c>
      <c r="AI10" s="132">
        <f t="shared" si="5"/>
        <v>3.4000000000000004</v>
      </c>
      <c r="AJ10" s="139">
        <v>14.4</v>
      </c>
      <c r="AK10" s="133">
        <v>2.9</v>
      </c>
      <c r="AL10" s="133">
        <f>5.4-AK10</f>
        <v>2.5000000000000004</v>
      </c>
      <c r="AM10" s="132">
        <f>8.8-SUM(AK10:AL10)</f>
        <v>3.4000000000000004</v>
      </c>
      <c r="AN10" s="132">
        <f t="shared" si="6"/>
        <v>3.3999999999999986</v>
      </c>
      <c r="AO10" s="139">
        <v>12.2</v>
      </c>
      <c r="AP10" s="132">
        <v>2.4</v>
      </c>
      <c r="AQ10" s="132">
        <f>4.9-AP10</f>
        <v>2.5000000000000004</v>
      </c>
      <c r="AR10" s="132">
        <f>9.4-SUM(AP10:AQ10)</f>
        <v>4.5</v>
      </c>
      <c r="AS10" s="132">
        <f t="shared" si="7"/>
        <v>2.5999999999999996</v>
      </c>
      <c r="AT10" s="139">
        <v>12</v>
      </c>
      <c r="AU10" s="132">
        <v>2</v>
      </c>
      <c r="AV10" s="132">
        <f>4.6-AU10</f>
        <v>2.5999999999999996</v>
      </c>
      <c r="AW10" s="132">
        <f>7.4-SUM(AU10:AV10)</f>
        <v>2.8000000000000007</v>
      </c>
      <c r="AX10" s="132">
        <f t="shared" si="8"/>
        <v>3.0999999999999996</v>
      </c>
      <c r="AY10" s="139">
        <v>10.5</v>
      </c>
      <c r="AZ10" s="132">
        <v>2.4</v>
      </c>
      <c r="BA10" s="192">
        <v>3</v>
      </c>
      <c r="BB10" s="192">
        <v>3</v>
      </c>
      <c r="BC10" s="192">
        <v>3</v>
      </c>
      <c r="BD10" s="139">
        <f>SUM(AZ10:BC10)</f>
        <v>11.4</v>
      </c>
      <c r="BE10" s="192">
        <v>4</v>
      </c>
      <c r="BF10" s="192">
        <v>4</v>
      </c>
      <c r="BG10" s="192">
        <v>4</v>
      </c>
      <c r="BH10" s="192">
        <v>4</v>
      </c>
      <c r="BI10" s="139">
        <f>SUM(BE10:BH10)</f>
        <v>16</v>
      </c>
    </row>
    <row r="11" spans="1:61" x14ac:dyDescent="0.2">
      <c r="A11" s="108" t="s">
        <v>159</v>
      </c>
      <c r="B11" s="109"/>
      <c r="C11" s="109"/>
      <c r="D11" s="109"/>
      <c r="E11" s="132">
        <v>13</v>
      </c>
      <c r="F11" s="139">
        <v>13</v>
      </c>
      <c r="G11" s="132">
        <v>0</v>
      </c>
      <c r="H11" s="133">
        <v>0</v>
      </c>
      <c r="I11" s="132">
        <v>0</v>
      </c>
      <c r="J11" s="132">
        <f t="shared" si="0"/>
        <v>117</v>
      </c>
      <c r="K11" s="139">
        <v>117</v>
      </c>
      <c r="L11" s="132">
        <v>85</v>
      </c>
      <c r="M11" s="133">
        <v>-20</v>
      </c>
      <c r="N11" s="132">
        <v>6</v>
      </c>
      <c r="O11" s="132">
        <f t="shared" si="1"/>
        <v>74</v>
      </c>
      <c r="P11" s="139">
        <v>145</v>
      </c>
      <c r="Q11" s="132">
        <v>0</v>
      </c>
      <c r="R11" s="133">
        <v>0</v>
      </c>
      <c r="S11" s="132">
        <v>0</v>
      </c>
      <c r="T11" s="132">
        <f t="shared" si="2"/>
        <v>0</v>
      </c>
      <c r="U11" s="139"/>
      <c r="V11" s="132">
        <v>0</v>
      </c>
      <c r="W11" s="133">
        <v>0</v>
      </c>
      <c r="X11" s="132">
        <v>0</v>
      </c>
      <c r="Y11" s="132">
        <f t="shared" si="3"/>
        <v>92</v>
      </c>
      <c r="Z11" s="139">
        <v>92</v>
      </c>
      <c r="AA11" s="132">
        <v>0</v>
      </c>
      <c r="AB11" s="133">
        <v>0</v>
      </c>
      <c r="AC11" s="132">
        <f>24-SUM(AA11:AB11)</f>
        <v>24</v>
      </c>
      <c r="AD11" s="132">
        <f t="shared" si="4"/>
        <v>24</v>
      </c>
      <c r="AE11" s="139">
        <v>48</v>
      </c>
      <c r="AF11" s="132">
        <v>7.5</v>
      </c>
      <c r="AG11" s="133">
        <f>13.5-AF11</f>
        <v>6</v>
      </c>
      <c r="AH11" s="132">
        <f>30-SUM(AF11:AG11)</f>
        <v>16.5</v>
      </c>
      <c r="AI11" s="132">
        <f t="shared" si="5"/>
        <v>-12</v>
      </c>
      <c r="AJ11" s="139">
        <v>18</v>
      </c>
      <c r="AK11" s="132">
        <v>-26.5</v>
      </c>
      <c r="AL11" s="133">
        <f>-26.6-AK11</f>
        <v>-0.10000000000000142</v>
      </c>
      <c r="AM11" s="132">
        <f>-26.6-SUM(AK11:AL11)</f>
        <v>0</v>
      </c>
      <c r="AN11" s="132">
        <f t="shared" si="6"/>
        <v>60.2</v>
      </c>
      <c r="AO11" s="139">
        <v>33.6</v>
      </c>
      <c r="AP11" s="132">
        <v>0</v>
      </c>
      <c r="AQ11" s="132">
        <v>0</v>
      </c>
      <c r="AR11" s="132">
        <v>0</v>
      </c>
      <c r="AS11" s="132">
        <f t="shared" si="7"/>
        <v>23.5</v>
      </c>
      <c r="AT11" s="139">
        <v>23.5</v>
      </c>
      <c r="AU11" s="132">
        <v>0</v>
      </c>
      <c r="AV11" s="132">
        <v>0</v>
      </c>
      <c r="AW11" s="132">
        <v>0</v>
      </c>
      <c r="AX11" s="132">
        <f t="shared" si="8"/>
        <v>38.299999999999997</v>
      </c>
      <c r="AY11" s="139">
        <v>38.299999999999997</v>
      </c>
      <c r="AZ11" s="132">
        <v>0</v>
      </c>
      <c r="BA11" s="132">
        <v>0</v>
      </c>
      <c r="BB11" s="132">
        <v>0</v>
      </c>
      <c r="BC11" s="132">
        <v>0</v>
      </c>
      <c r="BD11" s="139">
        <f>SUM(AZ11:BC11)</f>
        <v>0</v>
      </c>
      <c r="BE11" s="132">
        <v>0</v>
      </c>
      <c r="BF11" s="132">
        <v>0</v>
      </c>
      <c r="BG11" s="132">
        <v>0</v>
      </c>
      <c r="BH11" s="132">
        <v>0</v>
      </c>
      <c r="BI11" s="139">
        <f>SUM(BE11:BH11)</f>
        <v>0</v>
      </c>
    </row>
    <row r="12" spans="1:61" x14ac:dyDescent="0.2">
      <c r="A12" s="3" t="s">
        <v>160</v>
      </c>
      <c r="B12" s="109"/>
      <c r="C12" s="109"/>
      <c r="D12" s="109"/>
      <c r="E12" s="132">
        <v>0</v>
      </c>
      <c r="F12" s="139"/>
      <c r="G12" s="132">
        <v>0</v>
      </c>
      <c r="H12" s="133">
        <v>0</v>
      </c>
      <c r="I12" s="132">
        <v>0</v>
      </c>
      <c r="J12" s="132">
        <f t="shared" si="0"/>
        <v>0</v>
      </c>
      <c r="K12" s="139">
        <v>0</v>
      </c>
      <c r="L12" s="132">
        <v>0</v>
      </c>
      <c r="M12" s="133">
        <v>0</v>
      </c>
      <c r="N12" s="132">
        <v>0</v>
      </c>
      <c r="O12" s="132">
        <f t="shared" si="1"/>
        <v>0</v>
      </c>
      <c r="P12" s="139">
        <v>0</v>
      </c>
      <c r="Q12" s="132">
        <v>0</v>
      </c>
      <c r="R12" s="133">
        <v>0</v>
      </c>
      <c r="S12" s="132">
        <v>0</v>
      </c>
      <c r="T12" s="132">
        <f t="shared" si="2"/>
        <v>0</v>
      </c>
      <c r="U12" s="139"/>
      <c r="V12" s="132">
        <v>0</v>
      </c>
      <c r="W12" s="133">
        <f>19-V12</f>
        <v>19</v>
      </c>
      <c r="X12" s="132">
        <f>19-SUM(V12:W12)</f>
        <v>0</v>
      </c>
      <c r="Y12" s="132">
        <f t="shared" si="3"/>
        <v>0</v>
      </c>
      <c r="Z12" s="139">
        <v>19</v>
      </c>
      <c r="AA12" s="132">
        <v>0</v>
      </c>
      <c r="AB12" s="133">
        <f>36-AA12</f>
        <v>36</v>
      </c>
      <c r="AC12" s="132">
        <f>36-SUM(AA12:AB12)</f>
        <v>0</v>
      </c>
      <c r="AD12" s="132">
        <f t="shared" si="4"/>
        <v>0</v>
      </c>
      <c r="AE12" s="139">
        <v>36</v>
      </c>
      <c r="AF12" s="132">
        <v>0</v>
      </c>
      <c r="AG12" s="133">
        <v>0</v>
      </c>
      <c r="AH12" s="132">
        <v>0</v>
      </c>
      <c r="AI12" s="132">
        <f t="shared" si="5"/>
        <v>0</v>
      </c>
      <c r="AJ12" s="139">
        <v>0</v>
      </c>
      <c r="AK12" s="132">
        <v>0</v>
      </c>
      <c r="AL12" s="133">
        <v>0</v>
      </c>
      <c r="AM12" s="132">
        <v>0</v>
      </c>
      <c r="AN12" s="132">
        <f t="shared" si="6"/>
        <v>0</v>
      </c>
      <c r="AO12" s="139">
        <v>0</v>
      </c>
      <c r="AP12" s="132">
        <v>0</v>
      </c>
      <c r="AQ12" s="132">
        <v>0</v>
      </c>
      <c r="AR12" s="132">
        <v>5.0999999999999996</v>
      </c>
      <c r="AS12" s="132">
        <f t="shared" si="7"/>
        <v>0</v>
      </c>
      <c r="AT12" s="139">
        <v>5.0999999999999996</v>
      </c>
      <c r="AU12" s="132">
        <v>0</v>
      </c>
      <c r="AV12" s="132">
        <v>0</v>
      </c>
      <c r="AW12" s="132">
        <v>0</v>
      </c>
      <c r="AX12" s="132">
        <f t="shared" si="8"/>
        <v>0</v>
      </c>
      <c r="AY12" s="139">
        <v>0</v>
      </c>
      <c r="AZ12" s="132">
        <v>0</v>
      </c>
      <c r="BA12" s="132">
        <v>0</v>
      </c>
      <c r="BB12" s="132">
        <v>0</v>
      </c>
      <c r="BC12" s="132">
        <v>0</v>
      </c>
      <c r="BD12" s="139">
        <f t="shared" ref="BD12:BD14" si="9">SUM(AZ12:BC12)</f>
        <v>0</v>
      </c>
      <c r="BE12" s="132">
        <v>0</v>
      </c>
      <c r="BF12" s="132">
        <v>0</v>
      </c>
      <c r="BG12" s="132">
        <v>0</v>
      </c>
      <c r="BH12" s="132">
        <v>0</v>
      </c>
      <c r="BI12" s="139">
        <f t="shared" ref="BI12:BI14" si="10">SUM(BE12:BH12)</f>
        <v>0</v>
      </c>
    </row>
    <row r="13" spans="1:61" x14ac:dyDescent="0.2">
      <c r="A13" s="3" t="s">
        <v>162</v>
      </c>
      <c r="B13" s="109"/>
      <c r="C13" s="109"/>
      <c r="D13" s="109"/>
      <c r="E13" s="132">
        <f>-2-42</f>
        <v>-44</v>
      </c>
      <c r="F13" s="139">
        <v>-44</v>
      </c>
      <c r="G13" s="132">
        <v>-11</v>
      </c>
      <c r="H13" s="133">
        <f>-18-G13</f>
        <v>-7</v>
      </c>
      <c r="I13" s="132">
        <f>-16-8-SUM(G13:H13)</f>
        <v>-6</v>
      </c>
      <c r="J13" s="132">
        <f t="shared" si="0"/>
        <v>-456</v>
      </c>
      <c r="K13" s="139">
        <f>-412-68</f>
        <v>-480</v>
      </c>
      <c r="L13" s="132">
        <v>-3</v>
      </c>
      <c r="M13" s="133">
        <v>-6</v>
      </c>
      <c r="N13" s="132">
        <v>-4</v>
      </c>
      <c r="O13" s="132">
        <f t="shared" si="1"/>
        <v>35</v>
      </c>
      <c r="P13" s="139">
        <f>38-16</f>
        <v>22</v>
      </c>
      <c r="Q13" s="132">
        <v>-2</v>
      </c>
      <c r="R13" s="133">
        <v>0</v>
      </c>
      <c r="S13" s="132">
        <v>-5</v>
      </c>
      <c r="T13" s="132">
        <f t="shared" si="2"/>
        <v>-3</v>
      </c>
      <c r="U13" s="139">
        <v>-10</v>
      </c>
      <c r="V13" s="132">
        <v>-4</v>
      </c>
      <c r="W13" s="133">
        <f>-5-V13</f>
        <v>-1</v>
      </c>
      <c r="X13" s="132">
        <f>-9-SUM(V13:W13)</f>
        <v>-4</v>
      </c>
      <c r="Y13" s="132">
        <f t="shared" si="3"/>
        <v>-24</v>
      </c>
      <c r="Z13" s="139">
        <f>-11-22</f>
        <v>-33</v>
      </c>
      <c r="AA13" s="132">
        <v>-1</v>
      </c>
      <c r="AB13" s="133">
        <f>-4-AA13</f>
        <v>-3</v>
      </c>
      <c r="AC13" s="132">
        <f>-4-SUM(AA13:AB13)</f>
        <v>0</v>
      </c>
      <c r="AD13" s="132">
        <f t="shared" si="4"/>
        <v>-73</v>
      </c>
      <c r="AE13" s="139">
        <f>-5-72</f>
        <v>-77</v>
      </c>
      <c r="AF13" s="132">
        <v>0</v>
      </c>
      <c r="AG13" s="133">
        <v>0</v>
      </c>
      <c r="AH13" s="132">
        <f>0-SUM(AF13:AG13)</f>
        <v>0</v>
      </c>
      <c r="AI13" s="132">
        <f t="shared" si="5"/>
        <v>43.9</v>
      </c>
      <c r="AJ13" s="139">
        <v>43.9</v>
      </c>
      <c r="AK13" s="132">
        <v>0</v>
      </c>
      <c r="AL13" s="133">
        <v>0</v>
      </c>
      <c r="AM13" s="132">
        <v>0</v>
      </c>
      <c r="AN13" s="132">
        <f t="shared" si="6"/>
        <v>-41.6</v>
      </c>
      <c r="AO13" s="139">
        <v>-41.6</v>
      </c>
      <c r="AP13" s="132">
        <v>0</v>
      </c>
      <c r="AQ13" s="132">
        <v>0</v>
      </c>
      <c r="AR13" s="132">
        <v>0</v>
      </c>
      <c r="AS13" s="132">
        <f t="shared" si="7"/>
        <v>-2.4</v>
      </c>
      <c r="AT13" s="139">
        <v>-2.4</v>
      </c>
      <c r="AU13" s="132">
        <v>0</v>
      </c>
      <c r="AV13" s="132">
        <v>0</v>
      </c>
      <c r="AW13" s="132">
        <v>0</v>
      </c>
      <c r="AX13" s="132">
        <f t="shared" si="8"/>
        <v>26.6</v>
      </c>
      <c r="AY13" s="139">
        <v>26.6</v>
      </c>
      <c r="AZ13" s="132">
        <v>0</v>
      </c>
      <c r="BA13" s="132">
        <v>0</v>
      </c>
      <c r="BB13" s="132">
        <v>0</v>
      </c>
      <c r="BC13" s="132">
        <v>0</v>
      </c>
      <c r="BD13" s="139">
        <f t="shared" si="9"/>
        <v>0</v>
      </c>
      <c r="BE13" s="132">
        <v>0</v>
      </c>
      <c r="BF13" s="132">
        <v>0</v>
      </c>
      <c r="BG13" s="132">
        <v>0</v>
      </c>
      <c r="BH13" s="132">
        <v>0</v>
      </c>
      <c r="BI13" s="139">
        <f t="shared" si="10"/>
        <v>0</v>
      </c>
    </row>
    <row r="14" spans="1:61" x14ac:dyDescent="0.2">
      <c r="A14" s="3" t="s">
        <v>163</v>
      </c>
      <c r="B14" s="109"/>
      <c r="C14" s="109"/>
      <c r="D14" s="109"/>
      <c r="E14" s="132">
        <f>-1+5</f>
        <v>4</v>
      </c>
      <c r="F14" s="139">
        <f>-12+16</f>
        <v>4</v>
      </c>
      <c r="G14" s="132">
        <v>-4</v>
      </c>
      <c r="H14" s="133">
        <f>-7-G14</f>
        <v>-3</v>
      </c>
      <c r="I14" s="132">
        <f>-10-SUM(G14:H14)</f>
        <v>-3</v>
      </c>
      <c r="J14" s="132">
        <f t="shared" si="0"/>
        <v>-2</v>
      </c>
      <c r="K14" s="139">
        <v>-12</v>
      </c>
      <c r="L14" s="132">
        <v>-2</v>
      </c>
      <c r="M14" s="133">
        <v>-2</v>
      </c>
      <c r="N14" s="132">
        <v>0</v>
      </c>
      <c r="O14" s="132">
        <f t="shared" si="1"/>
        <v>0</v>
      </c>
      <c r="P14" s="139">
        <v>-4</v>
      </c>
      <c r="Q14" s="132">
        <v>0</v>
      </c>
      <c r="R14" s="133">
        <v>-2</v>
      </c>
      <c r="S14" s="132">
        <v>-2</v>
      </c>
      <c r="T14" s="132">
        <f t="shared" si="2"/>
        <v>1</v>
      </c>
      <c r="U14" s="139">
        <v>-3</v>
      </c>
      <c r="V14" s="132">
        <v>-2</v>
      </c>
      <c r="W14" s="133">
        <f>-1-V14</f>
        <v>1</v>
      </c>
      <c r="X14" s="132">
        <f>-3-SUM(V14:W14)</f>
        <v>-2</v>
      </c>
      <c r="Y14" s="132">
        <f t="shared" si="3"/>
        <v>-4</v>
      </c>
      <c r="Z14" s="139">
        <v>-7</v>
      </c>
      <c r="AA14" s="132">
        <v>0</v>
      </c>
      <c r="AB14" s="133">
        <v>0</v>
      </c>
      <c r="AC14" s="132">
        <v>0</v>
      </c>
      <c r="AD14" s="132">
        <f t="shared" si="4"/>
        <v>0</v>
      </c>
      <c r="AE14" s="139">
        <v>0</v>
      </c>
      <c r="AF14" s="132">
        <v>0</v>
      </c>
      <c r="AG14" s="133">
        <v>0</v>
      </c>
      <c r="AH14" s="132">
        <v>0</v>
      </c>
      <c r="AI14" s="132">
        <f t="shared" si="5"/>
        <v>0</v>
      </c>
      <c r="AJ14" s="139">
        <v>0</v>
      </c>
      <c r="AK14" s="132">
        <v>0</v>
      </c>
      <c r="AL14" s="133">
        <v>0</v>
      </c>
      <c r="AM14" s="132">
        <v>0</v>
      </c>
      <c r="AN14" s="132">
        <f t="shared" si="6"/>
        <v>0</v>
      </c>
      <c r="AO14" s="139">
        <v>0</v>
      </c>
      <c r="AP14" s="132">
        <v>0</v>
      </c>
      <c r="AQ14" s="132">
        <v>0</v>
      </c>
      <c r="AR14" s="132">
        <v>0</v>
      </c>
      <c r="AS14" s="132">
        <f t="shared" si="7"/>
        <v>0</v>
      </c>
      <c r="AT14" s="139">
        <v>0</v>
      </c>
      <c r="AU14" s="132">
        <v>0</v>
      </c>
      <c r="AV14" s="132">
        <v>0</v>
      </c>
      <c r="AW14" s="132">
        <v>0</v>
      </c>
      <c r="AX14" s="132">
        <f t="shared" si="8"/>
        <v>0</v>
      </c>
      <c r="AY14" s="139">
        <v>0</v>
      </c>
      <c r="AZ14" s="132">
        <v>0</v>
      </c>
      <c r="BA14" s="132">
        <v>0</v>
      </c>
      <c r="BB14" s="132">
        <v>0</v>
      </c>
      <c r="BC14" s="132">
        <v>0</v>
      </c>
      <c r="BD14" s="139">
        <f t="shared" si="9"/>
        <v>0</v>
      </c>
      <c r="BE14" s="132">
        <v>0</v>
      </c>
      <c r="BF14" s="132">
        <v>0</v>
      </c>
      <c r="BG14" s="132">
        <v>0</v>
      </c>
      <c r="BH14" s="132">
        <v>0</v>
      </c>
      <c r="BI14" s="139">
        <f t="shared" si="10"/>
        <v>0</v>
      </c>
    </row>
    <row r="15" spans="1:61" x14ac:dyDescent="0.2">
      <c r="A15" s="3" t="s">
        <v>161</v>
      </c>
      <c r="B15" s="109"/>
      <c r="C15" s="109"/>
      <c r="D15" s="109"/>
      <c r="E15" s="132">
        <v>4</v>
      </c>
      <c r="F15" s="139">
        <f>4+1</f>
        <v>5</v>
      </c>
      <c r="G15" s="132">
        <v>1</v>
      </c>
      <c r="H15" s="133">
        <f>2+3-G15</f>
        <v>4</v>
      </c>
      <c r="I15" s="132">
        <f>2+7-SUM(G15:H15)</f>
        <v>4</v>
      </c>
      <c r="J15" s="132">
        <f t="shared" si="0"/>
        <v>2</v>
      </c>
      <c r="K15" s="139">
        <f>8+3</f>
        <v>11</v>
      </c>
      <c r="L15" s="132">
        <v>1</v>
      </c>
      <c r="M15" s="133">
        <v>-3</v>
      </c>
      <c r="N15" s="132">
        <v>3</v>
      </c>
      <c r="O15" s="132">
        <f t="shared" si="1"/>
        <v>3</v>
      </c>
      <c r="P15" s="139">
        <v>4</v>
      </c>
      <c r="Q15" s="132">
        <v>6</v>
      </c>
      <c r="R15" s="133">
        <f>1-8</f>
        <v>-7</v>
      </c>
      <c r="S15" s="132">
        <f>9+18</f>
        <v>27</v>
      </c>
      <c r="T15" s="132">
        <f t="shared" si="2"/>
        <v>64</v>
      </c>
      <c r="U15" s="139">
        <v>90</v>
      </c>
      <c r="V15" s="132">
        <v>2</v>
      </c>
      <c r="W15" s="133">
        <f>3-V15</f>
        <v>1</v>
      </c>
      <c r="X15" s="132">
        <f>4-SUM(V15:W15)</f>
        <v>1</v>
      </c>
      <c r="Y15" s="132">
        <f t="shared" si="3"/>
        <v>-2</v>
      </c>
      <c r="Z15" s="139">
        <v>2</v>
      </c>
      <c r="AA15" s="132">
        <v>0</v>
      </c>
      <c r="AB15" s="133">
        <f>2-AA15</f>
        <v>2</v>
      </c>
      <c r="AC15" s="132">
        <f>1-SUM(AA15:AB15)</f>
        <v>-1</v>
      </c>
      <c r="AD15" s="132">
        <f t="shared" si="4"/>
        <v>3</v>
      </c>
      <c r="AE15" s="139">
        <v>4</v>
      </c>
      <c r="AF15" s="132">
        <v>0.6</v>
      </c>
      <c r="AG15" s="133">
        <f>1.7-AF15</f>
        <v>1.1000000000000001</v>
      </c>
      <c r="AH15" s="132">
        <f>-2-SUM(AF15:AG15)</f>
        <v>-3.7</v>
      </c>
      <c r="AI15" s="132">
        <f t="shared" si="5"/>
        <v>6.2</v>
      </c>
      <c r="AJ15" s="139">
        <v>4.2</v>
      </c>
      <c r="AK15" s="132">
        <v>0.6</v>
      </c>
      <c r="AL15" s="133">
        <f>2.3-AK15</f>
        <v>1.6999999999999997</v>
      </c>
      <c r="AM15" s="132">
        <f>2.1-SUM(AK15:AL15)</f>
        <v>-0.19999999999999973</v>
      </c>
      <c r="AN15" s="132">
        <f t="shared" si="6"/>
        <v>9.8000000000000007</v>
      </c>
      <c r="AO15" s="139">
        <v>11.9</v>
      </c>
      <c r="AP15" s="132">
        <v>1</v>
      </c>
      <c r="AQ15" s="132">
        <f>1.4-AP15</f>
        <v>0.39999999999999991</v>
      </c>
      <c r="AR15" s="132">
        <f>1.6-AQ15-AP15</f>
        <v>0.20000000000000018</v>
      </c>
      <c r="AS15" s="132">
        <f t="shared" si="7"/>
        <v>-43.5</v>
      </c>
      <c r="AT15" s="139">
        <f>-41.8-0.1</f>
        <v>-41.9</v>
      </c>
      <c r="AU15" s="132">
        <f>-71.2+0.2</f>
        <v>-71</v>
      </c>
      <c r="AV15" s="132">
        <f>-71.7+1-AU15</f>
        <v>0.29999999999999716</v>
      </c>
      <c r="AW15" s="132">
        <f>-71.6+1.5-SUM(AU15:AV15)</f>
        <v>0.60000000000000853</v>
      </c>
      <c r="AX15" s="132">
        <f t="shared" si="8"/>
        <v>2.5999999999999943</v>
      </c>
      <c r="AY15" s="139">
        <f>-71.1+3.6</f>
        <v>-67.5</v>
      </c>
      <c r="AZ15" s="132">
        <f>43.1+1.2</f>
        <v>44.300000000000004</v>
      </c>
      <c r="BA15" s="132">
        <v>0</v>
      </c>
      <c r="BB15" s="132">
        <v>0</v>
      </c>
      <c r="BC15" s="132">
        <v>0</v>
      </c>
      <c r="BD15" s="139">
        <f>SUM(AZ15:BC15)</f>
        <v>44.300000000000004</v>
      </c>
      <c r="BE15" s="132">
        <v>0</v>
      </c>
      <c r="BF15" s="132">
        <v>0</v>
      </c>
      <c r="BG15" s="132">
        <v>0</v>
      </c>
      <c r="BH15" s="132">
        <v>0</v>
      </c>
      <c r="BI15" s="139">
        <f>SUM(BE15:BH15)</f>
        <v>0</v>
      </c>
    </row>
    <row r="16" spans="1:61" x14ac:dyDescent="0.2">
      <c r="A16" s="108" t="s">
        <v>164</v>
      </c>
      <c r="B16" s="113"/>
      <c r="C16" s="113"/>
      <c r="D16" s="113"/>
      <c r="E16" s="132">
        <v>73</v>
      </c>
      <c r="F16" s="139">
        <v>22</v>
      </c>
      <c r="G16" s="134">
        <v>20</v>
      </c>
      <c r="H16" s="134">
        <f>-74-G16</f>
        <v>-94</v>
      </c>
      <c r="I16" s="134">
        <f>-53-SUM(G16:H16)</f>
        <v>21</v>
      </c>
      <c r="J16" s="132">
        <f t="shared" si="0"/>
        <v>-68</v>
      </c>
      <c r="K16" s="139">
        <v>-121</v>
      </c>
      <c r="L16" s="134">
        <v>-66</v>
      </c>
      <c r="M16" s="134">
        <v>35</v>
      </c>
      <c r="N16" s="134">
        <v>-13</v>
      </c>
      <c r="O16" s="132">
        <f>-79-SUM(L16:N16)</f>
        <v>-35</v>
      </c>
      <c r="P16" s="139">
        <f>SUM(L16:O16)</f>
        <v>-79</v>
      </c>
      <c r="Q16" s="134">
        <v>11</v>
      </c>
      <c r="R16" s="134">
        <v>-21</v>
      </c>
      <c r="S16" s="134">
        <v>-15</v>
      </c>
      <c r="T16" s="132">
        <f t="shared" si="2"/>
        <v>-5</v>
      </c>
      <c r="U16" s="139">
        <v>-30</v>
      </c>
      <c r="V16" s="134">
        <f>7+4-47+6</f>
        <v>-30</v>
      </c>
      <c r="W16" s="134">
        <f>44-20-40-16-V16</f>
        <v>-2</v>
      </c>
      <c r="X16" s="134">
        <f>13+3-10+3-SUM(V16:W16)</f>
        <v>41</v>
      </c>
      <c r="Y16" s="132">
        <f t="shared" si="3"/>
        <v>-105</v>
      </c>
      <c r="Z16" s="139">
        <f>-11-1-3-81</f>
        <v>-96</v>
      </c>
      <c r="AA16" s="134">
        <f>7+6-40-4</f>
        <v>-31</v>
      </c>
      <c r="AB16" s="134">
        <f>-14-13-26+4-AA16</f>
        <v>-18</v>
      </c>
      <c r="AC16" s="134">
        <f>-55-39+59-56-SUM(AA16:AB16)</f>
        <v>-42</v>
      </c>
      <c r="AD16" s="132">
        <f t="shared" si="4"/>
        <v>-42</v>
      </c>
      <c r="AE16" s="139">
        <f>-65-53+95-110</f>
        <v>-133</v>
      </c>
      <c r="AF16" s="134">
        <f>-4.7+3.1-22.3-0.8</f>
        <v>-24.700000000000003</v>
      </c>
      <c r="AG16" s="134">
        <f>-7.4-21.4-38.5-AF16</f>
        <v>-42.599999999999994</v>
      </c>
      <c r="AH16" s="134">
        <f>-104-59+56-83-SUM(AF16:AG16)</f>
        <v>-122.7</v>
      </c>
      <c r="AI16" s="132">
        <f t="shared" si="5"/>
        <v>63.099999999999994</v>
      </c>
      <c r="AJ16" s="139">
        <f>-17.5-5.4+24.5-128.5</f>
        <v>-126.9</v>
      </c>
      <c r="AK16" s="134">
        <v>26</v>
      </c>
      <c r="AL16" s="134">
        <f>4.8-3.7+68.5+23.8-AK16</f>
        <v>67.399999999999991</v>
      </c>
      <c r="AM16" s="134">
        <f>80.5-SUM(AK16:AL16)</f>
        <v>-12.899999999999991</v>
      </c>
      <c r="AN16" s="132">
        <f t="shared" si="6"/>
        <v>-31.799999999999997</v>
      </c>
      <c r="AO16" s="139">
        <f>26.4-3.3+111.3-85.7</f>
        <v>48.7</v>
      </c>
      <c r="AP16" s="134">
        <v>-40</v>
      </c>
      <c r="AQ16" s="215">
        <f>-41.6-AP16</f>
        <v>-1.6000000000000014</v>
      </c>
      <c r="AR16" s="134">
        <f>-48.6-AQ16-AP16</f>
        <v>-7</v>
      </c>
      <c r="AS16" s="132">
        <f t="shared" si="7"/>
        <v>14.800000000000004</v>
      </c>
      <c r="AT16" s="139">
        <v>-33.799999999999997</v>
      </c>
      <c r="AU16" s="134">
        <v>-11.5</v>
      </c>
      <c r="AV16" s="134">
        <f>-2.5-4-22.6-0.2-AU16</f>
        <v>-17.8</v>
      </c>
      <c r="AW16" s="134">
        <f>-0.7-3.8-28.4-0.2-SUM(AU16:AV16)</f>
        <v>-3.8000000000000007</v>
      </c>
      <c r="AX16" s="134">
        <f t="shared" si="8"/>
        <v>-1.8999999999999986</v>
      </c>
      <c r="AY16" s="139">
        <v>-35</v>
      </c>
      <c r="AZ16" s="134">
        <v>16.8</v>
      </c>
      <c r="BA16" s="134">
        <f>-(BS!BA12-BS!AZ12)-(BS!BA13-BS!AZ13)+(BS!BA28-BS!AZ28)</f>
        <v>1.0001967680558579</v>
      </c>
      <c r="BB16" s="134">
        <f>-(BS!BB12-BS!BA12)-(BS!BB13-BS!BA13)+(BS!BB28-BS!BA28)</f>
        <v>-5.6729614336777416</v>
      </c>
      <c r="BC16" s="134">
        <f>-(BS!BC12-BS!BB12)-(BS!BC13-BS!BB13)+(BS!BC28-BS!BB28)</f>
        <v>-4.0235533545237558</v>
      </c>
      <c r="BD16" s="139">
        <f t="shared" ref="BD16:BD17" si="11">SUM(AZ16:BC16)</f>
        <v>8.1036819798543611</v>
      </c>
      <c r="BE16" s="134">
        <f>-(BS!BE12-BS!BD12)-(BS!BE13-BS!BD13)+(BS!BE28-BS!BD28)</f>
        <v>-1.2591838062403156</v>
      </c>
      <c r="BF16" s="134">
        <f>-(BS!BF12-BS!BE12)-(BS!BF13-BS!BE13)+(BS!BF28-BS!BE28)</f>
        <v>-3.1876493645174264</v>
      </c>
      <c r="BG16" s="134">
        <f>-(BS!BG12-BS!BF12)-(BS!BG13-BS!BF13)+(BS!BG28-BS!BF28)</f>
        <v>-6.7299167813612826</v>
      </c>
      <c r="BH16" s="134">
        <f>-(BS!BH12-BS!BG12)-(BS!BH13-BS!BG13)+(BS!BH28-BS!BG28)</f>
        <v>-4.3380235700141867</v>
      </c>
      <c r="BI16" s="139">
        <f t="shared" ref="BI16:BI17" si="12">SUM(BE16:BH16)</f>
        <v>-15.514773522133211</v>
      </c>
    </row>
    <row r="17" spans="1:61" x14ac:dyDescent="0.2">
      <c r="A17" s="108" t="s">
        <v>158</v>
      </c>
      <c r="B17" s="106"/>
      <c r="C17" s="106"/>
      <c r="D17" s="106"/>
      <c r="E17" s="132">
        <v>0</v>
      </c>
      <c r="F17" s="139">
        <v>0</v>
      </c>
      <c r="G17" s="133">
        <v>0</v>
      </c>
      <c r="H17" s="133">
        <v>0</v>
      </c>
      <c r="I17" s="133">
        <v>0</v>
      </c>
      <c r="J17" s="132">
        <f t="shared" si="0"/>
        <v>0</v>
      </c>
      <c r="K17" s="139">
        <v>0</v>
      </c>
      <c r="L17" s="133">
        <v>0</v>
      </c>
      <c r="M17" s="133">
        <v>0</v>
      </c>
      <c r="N17" s="133">
        <v>0</v>
      </c>
      <c r="O17" s="132">
        <f t="shared" si="1"/>
        <v>0</v>
      </c>
      <c r="P17" s="139">
        <v>0</v>
      </c>
      <c r="Q17" s="133">
        <v>0</v>
      </c>
      <c r="R17" s="133">
        <v>0</v>
      </c>
      <c r="S17" s="133">
        <v>0</v>
      </c>
      <c r="T17" s="132">
        <f t="shared" si="2"/>
        <v>0</v>
      </c>
      <c r="U17" s="139">
        <v>0</v>
      </c>
      <c r="V17" s="133">
        <v>0</v>
      </c>
      <c r="W17" s="133">
        <v>0</v>
      </c>
      <c r="X17" s="133">
        <v>0</v>
      </c>
      <c r="Y17" s="132">
        <f t="shared" si="3"/>
        <v>0</v>
      </c>
      <c r="Z17" s="139">
        <v>0</v>
      </c>
      <c r="AA17" s="133">
        <v>0</v>
      </c>
      <c r="AB17" s="133">
        <v>0</v>
      </c>
      <c r="AC17" s="133">
        <v>0</v>
      </c>
      <c r="AD17" s="132">
        <f t="shared" si="4"/>
        <v>0</v>
      </c>
      <c r="AE17" s="139">
        <v>0</v>
      </c>
      <c r="AF17" s="133">
        <v>-52.8</v>
      </c>
      <c r="AG17" s="133">
        <f>-111.2-AF17</f>
        <v>-58.400000000000006</v>
      </c>
      <c r="AH17" s="133">
        <v>0</v>
      </c>
      <c r="AI17" s="132">
        <f t="shared" si="5"/>
        <v>-203.7</v>
      </c>
      <c r="AJ17" s="139">
        <v>-314.89999999999998</v>
      </c>
      <c r="AK17" s="133">
        <v>-54.9</v>
      </c>
      <c r="AL17" s="133">
        <f>-1249.3-AK17</f>
        <v>-1194.3999999999999</v>
      </c>
      <c r="AM17" s="134">
        <f>-1246.4-SUM(AK17:AL17)</f>
        <v>2.8999999999998636</v>
      </c>
      <c r="AN17" s="132">
        <f t="shared" si="6"/>
        <v>26.100000000000136</v>
      </c>
      <c r="AO17" s="139">
        <v>-1220.3</v>
      </c>
      <c r="AP17" s="134">
        <f>-IS!AP97</f>
        <v>2</v>
      </c>
      <c r="AQ17" s="134">
        <f>3.9-AP17</f>
        <v>1.9</v>
      </c>
      <c r="AR17" s="134">
        <f>6.2-SUM(AP17:AQ17)</f>
        <v>2.3000000000000003</v>
      </c>
      <c r="AS17" s="132">
        <f t="shared" si="7"/>
        <v>-3.2</v>
      </c>
      <c r="AT17" s="139">
        <v>3</v>
      </c>
      <c r="AU17" s="134">
        <f>-IS!AU97</f>
        <v>2.2999999999999998</v>
      </c>
      <c r="AV17" s="134">
        <f>3-AU17</f>
        <v>0.70000000000000018</v>
      </c>
      <c r="AW17" s="134">
        <f>3.5-SUM(AU17:AV17)</f>
        <v>0.5</v>
      </c>
      <c r="AX17" s="134">
        <f t="shared" si="8"/>
        <v>0.59999999999999964</v>
      </c>
      <c r="AY17" s="139">
        <v>4.0999999999999996</v>
      </c>
      <c r="AZ17" s="134">
        <f>-IS!AZ97</f>
        <v>0.6</v>
      </c>
      <c r="BA17" s="134">
        <f>-IS!BA97</f>
        <v>0</v>
      </c>
      <c r="BB17" s="134">
        <f>-IS!BB97</f>
        <v>0</v>
      </c>
      <c r="BC17" s="134">
        <f>-IS!BC97</f>
        <v>0</v>
      </c>
      <c r="BD17" s="139">
        <f t="shared" si="11"/>
        <v>0.6</v>
      </c>
      <c r="BE17" s="134">
        <f>-IS!BE97</f>
        <v>0</v>
      </c>
      <c r="BF17" s="134">
        <f>-IS!BF97</f>
        <v>0</v>
      </c>
      <c r="BG17" s="134">
        <f>-IS!BG97</f>
        <v>0</v>
      </c>
      <c r="BH17" s="134">
        <f>-IS!BH97</f>
        <v>0</v>
      </c>
      <c r="BI17" s="139">
        <f t="shared" si="12"/>
        <v>0</v>
      </c>
    </row>
    <row r="18" spans="1:61" s="117" customFormat="1" x14ac:dyDescent="0.2">
      <c r="A18" s="115" t="s">
        <v>168</v>
      </c>
      <c r="B18" s="116"/>
      <c r="C18" s="116"/>
      <c r="D18" s="116"/>
      <c r="E18" s="135">
        <f>SUM(E8:E17)</f>
        <v>125</v>
      </c>
      <c r="F18" s="140">
        <f>SUM(F8:F17)</f>
        <v>311</v>
      </c>
      <c r="G18" s="135">
        <f>SUM(G8:G16)</f>
        <v>88</v>
      </c>
      <c r="H18" s="135">
        <f>SUM(H8:H16)</f>
        <v>-18</v>
      </c>
      <c r="I18" s="135">
        <f>SUM(I8:I16)</f>
        <v>87</v>
      </c>
      <c r="J18" s="135">
        <f>SUM(J8:J16)</f>
        <v>-287</v>
      </c>
      <c r="K18" s="140">
        <f>SUM(K8:K17)</f>
        <v>-130</v>
      </c>
      <c r="L18" s="135">
        <f>SUM(L8:L16)</f>
        <v>20</v>
      </c>
      <c r="M18" s="135">
        <f>SUM(M8:M16)</f>
        <v>88</v>
      </c>
      <c r="N18" s="135">
        <f>SUM(N8:N16)</f>
        <v>73</v>
      </c>
      <c r="O18" s="135">
        <f>SUM(O8:O16)</f>
        <v>139</v>
      </c>
      <c r="P18" s="140">
        <f>SUM(P8:P17)</f>
        <v>320</v>
      </c>
      <c r="Q18" s="135">
        <f>SUM(Q8:Q16)</f>
        <v>85</v>
      </c>
      <c r="R18" s="135">
        <f>SUM(R8:R16)</f>
        <v>49</v>
      </c>
      <c r="S18" s="135">
        <f>SUM(S8:S16)</f>
        <v>80</v>
      </c>
      <c r="T18" s="135">
        <f>SUM(T8:T16)</f>
        <v>111</v>
      </c>
      <c r="U18" s="140">
        <f>SUM(U8:U17)</f>
        <v>325</v>
      </c>
      <c r="V18" s="135">
        <f>SUM(V8:V16)</f>
        <v>59</v>
      </c>
      <c r="W18" s="135">
        <f>SUM(W8:W16)</f>
        <v>95</v>
      </c>
      <c r="X18" s="135">
        <f>SUM(X8:X16)</f>
        <v>117</v>
      </c>
      <c r="Y18" s="135">
        <f>SUM(Y8:Y16)</f>
        <v>101</v>
      </c>
      <c r="Z18" s="140">
        <f>SUM(Z8:Z17)</f>
        <v>372</v>
      </c>
      <c r="AA18" s="135">
        <f>SUM(AA8:AA16)</f>
        <v>79</v>
      </c>
      <c r="AB18" s="135">
        <f>SUM(AB8:AB16)</f>
        <v>111</v>
      </c>
      <c r="AC18" s="135">
        <f>SUM(AC8:AC16)</f>
        <v>106</v>
      </c>
      <c r="AD18" s="135">
        <f>SUM(AD8:AD16)</f>
        <v>108</v>
      </c>
      <c r="AE18" s="140">
        <f>SUM(AE8:AE17)</f>
        <v>404</v>
      </c>
      <c r="AF18" s="135">
        <f t="shared" ref="AF18:AH18" si="13">SUM(AF8:AF17)</f>
        <v>37.700000000000003</v>
      </c>
      <c r="AG18" s="135">
        <f>SUM(AG8:AG17)</f>
        <v>9.0999999999999943</v>
      </c>
      <c r="AH18" s="135">
        <f t="shared" si="13"/>
        <v>10.100000000000009</v>
      </c>
      <c r="AI18" s="135">
        <f>SUM(AI8:AI17)</f>
        <v>77.500000000000057</v>
      </c>
      <c r="AJ18" s="140">
        <f>SUM(AJ8:AJ17)</f>
        <v>134.40000000000009</v>
      </c>
      <c r="AK18" s="135">
        <f>SUM(AK8:AK17)</f>
        <v>48.500000000000007</v>
      </c>
      <c r="AL18" s="135">
        <f>SUM(AL8:AL17)</f>
        <v>125.00000000000023</v>
      </c>
      <c r="AM18" s="135">
        <f t="shared" ref="AM18:AN18" si="14">SUM(AM8:AM17)</f>
        <v>76.399999999999778</v>
      </c>
      <c r="AN18" s="135">
        <f t="shared" si="14"/>
        <v>103.10000000000022</v>
      </c>
      <c r="AO18" s="140">
        <f>SUM(AO8:AO17)</f>
        <v>353.00000000000023</v>
      </c>
      <c r="AP18" s="135">
        <f>SUM(AP8:AP17)</f>
        <v>21.9</v>
      </c>
      <c r="AQ18" s="135">
        <f>SUM(AQ8:AQ17)</f>
        <v>70.200000000000017</v>
      </c>
      <c r="AR18" s="135">
        <f t="shared" ref="AR18" si="15">SUM(AR8:AR17)</f>
        <v>77.899999999999991</v>
      </c>
      <c r="AS18" s="135">
        <f t="shared" ref="AS18" si="16">SUM(AS8:AS17)</f>
        <v>112.89999999999999</v>
      </c>
      <c r="AT18" s="140">
        <f>SUM(AT8:AT17)</f>
        <v>282.90000000000003</v>
      </c>
      <c r="AU18" s="135">
        <f>SUM(AU8:AU17)</f>
        <v>41.399999999999991</v>
      </c>
      <c r="AV18" s="135">
        <f>SUM(AV8:AV17)</f>
        <v>51.8</v>
      </c>
      <c r="AW18" s="135">
        <f t="shared" ref="AW18:AX18" si="17">SUM(AW8:AW17)</f>
        <v>86.800000000000011</v>
      </c>
      <c r="AX18" s="135">
        <f t="shared" si="17"/>
        <v>127.1</v>
      </c>
      <c r="AY18" s="140">
        <f>SUM(AY8:AY17)</f>
        <v>307.10000000000008</v>
      </c>
      <c r="AZ18" s="135">
        <f>SUM(AZ8:AZ17)</f>
        <v>64.8</v>
      </c>
      <c r="BA18" s="135">
        <f>SUM(BA8:BA17)</f>
        <v>81.158485827367898</v>
      </c>
      <c r="BB18" s="135">
        <f t="shared" ref="BB18:BC18" si="18">SUM(BB8:BB17)</f>
        <v>93.201529977156227</v>
      </c>
      <c r="BC18" s="135">
        <f t="shared" si="18"/>
        <v>97.618182723103416</v>
      </c>
      <c r="BD18" s="140">
        <f>SUM(BD8:BD17)</f>
        <v>336.77819852762752</v>
      </c>
      <c r="BE18" s="135">
        <f>SUM(BE8:BE17)</f>
        <v>87.137305285760903</v>
      </c>
      <c r="BF18" s="135">
        <f>SUM(BF8:BF17)</f>
        <v>92.332873310487088</v>
      </c>
      <c r="BG18" s="135">
        <f t="shared" ref="BG18:BH18" si="19">SUM(BG8:BG17)</f>
        <v>113.16074534136996</v>
      </c>
      <c r="BH18" s="135">
        <f t="shared" si="19"/>
        <v>118.6414519764201</v>
      </c>
      <c r="BI18" s="140">
        <f>SUM(BI8:BI17)</f>
        <v>411.27237591403804</v>
      </c>
    </row>
    <row r="19" spans="1:61" x14ac:dyDescent="0.2">
      <c r="A19" s="108" t="s">
        <v>169</v>
      </c>
      <c r="B19" s="109"/>
      <c r="C19" s="109"/>
      <c r="D19" s="109"/>
      <c r="E19" s="109"/>
      <c r="F19" s="110"/>
      <c r="G19" s="132"/>
      <c r="H19" s="132"/>
      <c r="I19" s="132"/>
      <c r="J19" s="132"/>
      <c r="K19" s="138"/>
      <c r="L19" s="132">
        <v>0</v>
      </c>
      <c r="M19" s="132">
        <v>0</v>
      </c>
      <c r="N19" s="132">
        <v>0</v>
      </c>
      <c r="O19" s="132">
        <v>0</v>
      </c>
      <c r="P19" s="138">
        <f>SUM(L19:O19)</f>
        <v>0</v>
      </c>
      <c r="Q19" s="132">
        <v>0</v>
      </c>
      <c r="R19" s="132">
        <v>0</v>
      </c>
      <c r="S19" s="132">
        <v>0</v>
      </c>
      <c r="T19" s="132">
        <v>0</v>
      </c>
      <c r="U19" s="138">
        <f>SUM(Q19:T19)</f>
        <v>0</v>
      </c>
      <c r="V19" s="109">
        <v>0</v>
      </c>
      <c r="W19" s="109">
        <v>0</v>
      </c>
      <c r="X19" s="109">
        <v>0</v>
      </c>
      <c r="Y19" s="109">
        <v>0</v>
      </c>
      <c r="Z19" s="110">
        <v>0</v>
      </c>
      <c r="AA19" s="109">
        <v>0</v>
      </c>
      <c r="AB19" s="109">
        <v>0</v>
      </c>
      <c r="AC19" s="109">
        <v>0</v>
      </c>
      <c r="AD19" s="109">
        <v>0</v>
      </c>
      <c r="AE19" s="110">
        <v>0</v>
      </c>
      <c r="AF19" s="132">
        <v>-5.9</v>
      </c>
      <c r="AG19" s="132">
        <f>49-AF19</f>
        <v>54.9</v>
      </c>
      <c r="AH19" s="132">
        <v>0</v>
      </c>
      <c r="AI19" s="132">
        <f>AJ19-SUM(AF19:AH19)</f>
        <v>100.80000000000001</v>
      </c>
      <c r="AJ19" s="138">
        <v>149.80000000000001</v>
      </c>
      <c r="AK19" s="132">
        <v>-57.2</v>
      </c>
      <c r="AL19" s="132">
        <f>-63.4-AK19</f>
        <v>-6.1999999999999957</v>
      </c>
      <c r="AM19" s="132">
        <f>-298.3-SUM(AK19:AL19)</f>
        <v>-234.9</v>
      </c>
      <c r="AN19" s="132">
        <f t="shared" si="6"/>
        <v>-95.5</v>
      </c>
      <c r="AO19" s="138">
        <v>-393.8</v>
      </c>
      <c r="AP19" s="132">
        <v>-2</v>
      </c>
      <c r="AQ19" s="109">
        <f>-3.9-AP19</f>
        <v>-1.9</v>
      </c>
      <c r="AR19" s="109">
        <f>-6.2-AQ19-AP19</f>
        <v>-2.3000000000000007</v>
      </c>
      <c r="AS19" s="109">
        <f>+AT19-SUM(AP19:AR19)</f>
        <v>-11.6</v>
      </c>
      <c r="AT19" s="138">
        <v>-17.8</v>
      </c>
      <c r="AU19" s="109">
        <v>-0.2</v>
      </c>
      <c r="AV19" s="109">
        <f>-4.8-AU19</f>
        <v>-4.5999999999999996</v>
      </c>
      <c r="AW19" s="109">
        <f>-4.7-SUM(AU19:AV19)</f>
        <v>9.9999999999999645E-2</v>
      </c>
      <c r="AX19" s="132">
        <f>+AY19-SUM(AU19:AW19)</f>
        <v>-5.2</v>
      </c>
      <c r="AY19" s="138">
        <v>-9.9</v>
      </c>
      <c r="AZ19" s="109">
        <v>0</v>
      </c>
      <c r="BA19" s="109">
        <v>0</v>
      </c>
      <c r="BB19" s="109">
        <v>0</v>
      </c>
      <c r="BC19" s="109">
        <v>0</v>
      </c>
      <c r="BD19" s="138">
        <f>SUM(AZ19:BC19)</f>
        <v>0</v>
      </c>
      <c r="BE19" s="109">
        <v>0</v>
      </c>
      <c r="BF19" s="109">
        <v>0</v>
      </c>
      <c r="BG19" s="109">
        <v>0</v>
      </c>
      <c r="BH19" s="109">
        <v>0</v>
      </c>
      <c r="BI19" s="138">
        <f>SUM(BE19:BH19)</f>
        <v>0</v>
      </c>
    </row>
    <row r="20" spans="1:61" x14ac:dyDescent="0.2">
      <c r="B20" s="4"/>
      <c r="C20" s="4"/>
      <c r="D20" s="4"/>
      <c r="F20" s="118"/>
      <c r="G20" s="133"/>
      <c r="H20" s="136"/>
      <c r="I20" s="136"/>
      <c r="J20" s="136"/>
      <c r="K20" s="139"/>
      <c r="L20" s="133"/>
      <c r="M20" s="136"/>
      <c r="N20" s="136"/>
      <c r="O20" s="136"/>
      <c r="P20" s="139"/>
      <c r="Q20" s="133"/>
      <c r="R20" s="136"/>
      <c r="S20" s="136"/>
      <c r="T20" s="136"/>
      <c r="U20" s="139"/>
      <c r="X20" s="109"/>
      <c r="Y20" s="119"/>
      <c r="Z20" s="118"/>
      <c r="AC20" s="109"/>
      <c r="AD20" s="119"/>
      <c r="AE20" s="118"/>
      <c r="AH20" s="109"/>
      <c r="AI20" s="119"/>
      <c r="AJ20" s="118"/>
      <c r="AM20" s="109"/>
      <c r="AN20" s="119"/>
      <c r="AO20" s="118"/>
      <c r="AR20" s="109"/>
      <c r="AS20" s="109"/>
      <c r="AT20" s="118"/>
      <c r="AW20" s="109"/>
      <c r="AX20" s="109"/>
      <c r="AY20" s="118"/>
      <c r="BB20" s="109"/>
      <c r="BC20" s="119"/>
      <c r="BD20" s="118"/>
      <c r="BG20" s="109"/>
      <c r="BH20" s="119"/>
      <c r="BI20" s="118"/>
    </row>
    <row r="21" spans="1:61" x14ac:dyDescent="0.2">
      <c r="A21" s="120" t="s">
        <v>165</v>
      </c>
      <c r="B21" s="109"/>
      <c r="C21" s="109"/>
      <c r="D21" s="109"/>
      <c r="E21" s="109">
        <v>-34</v>
      </c>
      <c r="F21" s="110">
        <v>-66</v>
      </c>
      <c r="G21" s="132">
        <v>-9</v>
      </c>
      <c r="H21" s="132">
        <f>-27-G21</f>
        <v>-18</v>
      </c>
      <c r="I21" s="132">
        <f>-43-SUM(G21:H21)</f>
        <v>-16</v>
      </c>
      <c r="J21" s="132">
        <f>K21-SUM(G21:I21)</f>
        <v>-25</v>
      </c>
      <c r="K21" s="138">
        <f>-68</f>
        <v>-68</v>
      </c>
      <c r="L21" s="132">
        <v>-14</v>
      </c>
      <c r="M21" s="132">
        <v>-16</v>
      </c>
      <c r="N21" s="132">
        <v>-21</v>
      </c>
      <c r="O21" s="132">
        <f>P21-SUM(L21:N21)</f>
        <v>-42</v>
      </c>
      <c r="P21" s="138">
        <v>-93</v>
      </c>
      <c r="Q21" s="132">
        <v>-27</v>
      </c>
      <c r="R21" s="132">
        <v>-21</v>
      </c>
      <c r="S21" s="132">
        <v>-25</v>
      </c>
      <c r="T21" s="132">
        <f>U21-SUM(Q21:S21)</f>
        <v>-35</v>
      </c>
      <c r="U21" s="138">
        <v>-108</v>
      </c>
      <c r="V21" s="132">
        <v>-28</v>
      </c>
      <c r="W21" s="132">
        <f>-57-V21</f>
        <v>-29</v>
      </c>
      <c r="X21" s="132">
        <f>-94-SUM(V21:W21)</f>
        <v>-37</v>
      </c>
      <c r="Y21" s="132">
        <f>Z21-SUM(V21:X21)</f>
        <v>-57</v>
      </c>
      <c r="Z21" s="138">
        <v>-151</v>
      </c>
      <c r="AA21" s="132">
        <v>-35</v>
      </c>
      <c r="AB21" s="132">
        <f>-74-AA21</f>
        <v>-39</v>
      </c>
      <c r="AC21" s="132">
        <f>-106-SUM(AA21:AB21)</f>
        <v>-32</v>
      </c>
      <c r="AD21" s="132">
        <f>AE21-SUM(AA21:AC21)</f>
        <v>-38</v>
      </c>
      <c r="AE21" s="138">
        <f>-144</f>
        <v>-144</v>
      </c>
      <c r="AF21" s="132">
        <v>-32</v>
      </c>
      <c r="AG21" s="132">
        <f>-57.7-AF21</f>
        <v>-25.700000000000003</v>
      </c>
      <c r="AH21" s="132">
        <f>-102-SUM(AF21:AG21)</f>
        <v>-44.3</v>
      </c>
      <c r="AI21" s="132">
        <f>AJ21-SUM(AF21:AH21)</f>
        <v>-30</v>
      </c>
      <c r="AJ21" s="138">
        <v>-132</v>
      </c>
      <c r="AK21" s="132">
        <v>-39.9</v>
      </c>
      <c r="AL21" s="132">
        <f>-79.4-AK21</f>
        <v>-39.500000000000007</v>
      </c>
      <c r="AM21" s="132">
        <f>-125.9-SUM(AK21:AL21)</f>
        <v>-46.5</v>
      </c>
      <c r="AN21" s="132">
        <f>AO21-SUM(AK21:AM21)</f>
        <v>-54.599999999999994</v>
      </c>
      <c r="AO21" s="138">
        <v>-180.5</v>
      </c>
      <c r="AP21" s="132">
        <v>-42.3</v>
      </c>
      <c r="AQ21" s="132">
        <f>-87.2-AP21</f>
        <v>-44.900000000000006</v>
      </c>
      <c r="AR21" s="132">
        <f>-153-AQ21-AP21</f>
        <v>-65.8</v>
      </c>
      <c r="AS21" s="132">
        <f t="shared" ref="AS21:AS25" si="20">+AT21-SUM(AP21:AR21)</f>
        <v>-71.400000000000006</v>
      </c>
      <c r="AT21" s="138">
        <v>-224.4</v>
      </c>
      <c r="AU21" s="132">
        <v>-53.6</v>
      </c>
      <c r="AV21" s="132">
        <f>-105.4-AU21</f>
        <v>-51.800000000000004</v>
      </c>
      <c r="AW21" s="132">
        <f>-160.3-SUM(AU21:AV21)</f>
        <v>-54.900000000000006</v>
      </c>
      <c r="AX21" s="132">
        <f t="shared" ref="AX21:AX25" si="21">+AY21-SUM(AU21:AW21)</f>
        <v>-98.899999999999977</v>
      </c>
      <c r="AY21" s="138">
        <v>-259.2</v>
      </c>
      <c r="AZ21" s="132">
        <v>-57.4</v>
      </c>
      <c r="BA21" s="192">
        <v>-60</v>
      </c>
      <c r="BB21" s="192">
        <v>-70</v>
      </c>
      <c r="BC21" s="192">
        <v>-75</v>
      </c>
      <c r="BD21" s="138">
        <f>SUM(AZ21:BC21)</f>
        <v>-262.39999999999998</v>
      </c>
      <c r="BE21" s="192">
        <v>-60</v>
      </c>
      <c r="BF21" s="192">
        <v>-65</v>
      </c>
      <c r="BG21" s="192">
        <v>-85</v>
      </c>
      <c r="BH21" s="192">
        <v>-90</v>
      </c>
      <c r="BI21" s="138">
        <f>SUM(BE21:BH21)</f>
        <v>-300</v>
      </c>
    </row>
    <row r="22" spans="1:61" x14ac:dyDescent="0.2">
      <c r="A22" s="120" t="s">
        <v>166</v>
      </c>
      <c r="B22" s="109"/>
      <c r="C22" s="109"/>
      <c r="D22" s="109"/>
      <c r="E22" s="109">
        <v>0</v>
      </c>
      <c r="F22" s="110">
        <v>0</v>
      </c>
      <c r="G22" s="132">
        <v>0</v>
      </c>
      <c r="H22" s="132">
        <v>0</v>
      </c>
      <c r="I22" s="132">
        <v>0</v>
      </c>
      <c r="J22" s="132">
        <f t="shared" ref="J22:J25" si="22">K22-SUM(G22:I22)</f>
        <v>0</v>
      </c>
      <c r="K22" s="138">
        <v>0</v>
      </c>
      <c r="L22" s="132">
        <v>0</v>
      </c>
      <c r="M22" s="132">
        <v>0</v>
      </c>
      <c r="N22" s="132">
        <v>0</v>
      </c>
      <c r="O22" s="132">
        <f t="shared" ref="O22:O25" si="23">P22-SUM(L22:N22)</f>
        <v>0</v>
      </c>
      <c r="P22" s="138">
        <v>0</v>
      </c>
      <c r="Q22" s="132">
        <v>0</v>
      </c>
      <c r="R22" s="132">
        <v>0</v>
      </c>
      <c r="S22" s="132">
        <v>0</v>
      </c>
      <c r="T22" s="132">
        <f>U22-SUM(Q22:S22)</f>
        <v>0</v>
      </c>
      <c r="U22" s="138">
        <v>0</v>
      </c>
      <c r="V22" s="132">
        <v>0</v>
      </c>
      <c r="W22" s="132">
        <v>0</v>
      </c>
      <c r="X22" s="132">
        <f>-31-SUM(V22:W22)</f>
        <v>-31</v>
      </c>
      <c r="Y22" s="132">
        <f t="shared" ref="Y22:Y25" si="24">Z22-SUM(V22:X22)</f>
        <v>0</v>
      </c>
      <c r="Z22" s="138">
        <v>-31</v>
      </c>
      <c r="AA22" s="132">
        <v>9</v>
      </c>
      <c r="AB22" s="132">
        <f>12-AA22</f>
        <v>3</v>
      </c>
      <c r="AC22" s="132">
        <f>14-SUM(AA22:AB22)</f>
        <v>2</v>
      </c>
      <c r="AD22" s="132">
        <f t="shared" ref="AD22:AD25" si="25">AE22-SUM(AA22:AC22)</f>
        <v>3</v>
      </c>
      <c r="AE22" s="138">
        <v>17</v>
      </c>
      <c r="AF22" s="132">
        <v>3</v>
      </c>
      <c r="AG22" s="132">
        <f>0-AF22</f>
        <v>-3</v>
      </c>
      <c r="AH22" s="132">
        <f>9-SUM(AF22:AG22)</f>
        <v>9</v>
      </c>
      <c r="AI22" s="132">
        <f t="shared" ref="AI22:AI25" si="26">AJ22-SUM(AF22:AH22)</f>
        <v>2.1999999999999993</v>
      </c>
      <c r="AJ22" s="138">
        <v>11.2</v>
      </c>
      <c r="AK22" s="132">
        <v>-0.5</v>
      </c>
      <c r="AL22" s="132">
        <f>0-AK22</f>
        <v>0.5</v>
      </c>
      <c r="AM22" s="132">
        <f>0-SUM(AK22:AL22)</f>
        <v>0</v>
      </c>
      <c r="AN22" s="132">
        <f t="shared" ref="AN22:AN27" si="27">AO22-SUM(AK22:AM22)</f>
        <v>0</v>
      </c>
      <c r="AO22" s="138">
        <v>0</v>
      </c>
      <c r="AP22" s="132">
        <v>0</v>
      </c>
      <c r="AQ22" s="132">
        <v>0</v>
      </c>
      <c r="AR22" s="132">
        <v>0</v>
      </c>
      <c r="AS22" s="132">
        <f t="shared" si="20"/>
        <v>0</v>
      </c>
      <c r="AT22" s="138">
        <v>0</v>
      </c>
      <c r="AU22" s="132">
        <v>0</v>
      </c>
      <c r="AV22" s="132">
        <v>0</v>
      </c>
      <c r="AW22" s="132">
        <v>0</v>
      </c>
      <c r="AX22" s="132">
        <f t="shared" si="21"/>
        <v>0</v>
      </c>
      <c r="AY22" s="138">
        <v>0</v>
      </c>
      <c r="AZ22" s="132">
        <v>0</v>
      </c>
      <c r="BA22" s="132">
        <v>0</v>
      </c>
      <c r="BB22" s="132">
        <v>0</v>
      </c>
      <c r="BC22" s="132">
        <v>0</v>
      </c>
      <c r="BD22" s="138">
        <f>SUM(AZ22:BC22)</f>
        <v>0</v>
      </c>
      <c r="BE22" s="132">
        <v>0</v>
      </c>
      <c r="BF22" s="132">
        <v>0</v>
      </c>
      <c r="BG22" s="132">
        <v>0</v>
      </c>
      <c r="BH22" s="132">
        <v>0</v>
      </c>
      <c r="BI22" s="138">
        <f>SUM(BE22:BH22)</f>
        <v>0</v>
      </c>
    </row>
    <row r="23" spans="1:61" x14ac:dyDescent="0.2">
      <c r="A23" s="120" t="s">
        <v>145</v>
      </c>
      <c r="B23" s="109"/>
      <c r="C23" s="109"/>
      <c r="D23" s="109"/>
      <c r="E23" s="109">
        <v>-13</v>
      </c>
      <c r="F23" s="110">
        <v>-83</v>
      </c>
      <c r="G23" s="132">
        <v>0</v>
      </c>
      <c r="H23" s="132">
        <f>-48-G23</f>
        <v>-48</v>
      </c>
      <c r="I23" s="132">
        <f>-66-SUM(G23:H23)</f>
        <v>-18</v>
      </c>
      <c r="J23" s="132">
        <f t="shared" si="22"/>
        <v>-2</v>
      </c>
      <c r="K23" s="138">
        <v>-68</v>
      </c>
      <c r="L23" s="132">
        <v>-60</v>
      </c>
      <c r="M23" s="132">
        <v>-7</v>
      </c>
      <c r="N23" s="132">
        <v>-4</v>
      </c>
      <c r="O23" s="132">
        <f t="shared" si="23"/>
        <v>-54</v>
      </c>
      <c r="P23" s="138">
        <v>-125</v>
      </c>
      <c r="Q23" s="132">
        <v>-30</v>
      </c>
      <c r="R23" s="132">
        <v>-5</v>
      </c>
      <c r="S23" s="132">
        <v>-15</v>
      </c>
      <c r="T23" s="132">
        <f>U23-SUM(Q23:S23)</f>
        <v>-28</v>
      </c>
      <c r="U23" s="138">
        <v>-78</v>
      </c>
      <c r="V23" s="132">
        <v>-6</v>
      </c>
      <c r="W23" s="132">
        <f>-11-V23</f>
        <v>-5</v>
      </c>
      <c r="X23" s="132">
        <f>-18-SUM(V23:W23)</f>
        <v>-7</v>
      </c>
      <c r="Y23" s="132">
        <f t="shared" si="24"/>
        <v>-22</v>
      </c>
      <c r="Z23" s="138">
        <v>-40</v>
      </c>
      <c r="AA23" s="132">
        <v>-218</v>
      </c>
      <c r="AB23" s="132">
        <f>-223-AA23</f>
        <v>-5</v>
      </c>
      <c r="AC23" s="132">
        <f>-267-SUM(AA23:AB23)</f>
        <v>-44</v>
      </c>
      <c r="AD23" s="132">
        <f t="shared" si="25"/>
        <v>-15</v>
      </c>
      <c r="AE23" s="138">
        <v>-282</v>
      </c>
      <c r="AF23" s="132">
        <v>-13.6</v>
      </c>
      <c r="AG23" s="132">
        <f>-23.4-AF23</f>
        <v>-9.7999999999999989</v>
      </c>
      <c r="AH23" s="132">
        <f>-50-SUM(AF23:AG23)</f>
        <v>-26.6</v>
      </c>
      <c r="AI23" s="132">
        <f t="shared" si="26"/>
        <v>-0.70000000000000284</v>
      </c>
      <c r="AJ23" s="138">
        <v>-50.7</v>
      </c>
      <c r="AK23" s="132">
        <v>-9.6</v>
      </c>
      <c r="AL23" s="132">
        <f>-18.9-AK23</f>
        <v>-9.2999999999999989</v>
      </c>
      <c r="AM23" s="132">
        <f>-27.8-SUM(AK23:AL23)</f>
        <v>-8.9000000000000021</v>
      </c>
      <c r="AN23" s="132">
        <f t="shared" si="27"/>
        <v>-8.4999999999999964</v>
      </c>
      <c r="AO23" s="138">
        <v>-36.299999999999997</v>
      </c>
      <c r="AP23" s="132">
        <v>-8.3000000000000007</v>
      </c>
      <c r="AQ23" s="132">
        <f>-21.3-AP23</f>
        <v>-13</v>
      </c>
      <c r="AR23" s="132">
        <f>-27.9-AQ23-AP23</f>
        <v>-6.5999999999999979</v>
      </c>
      <c r="AS23" s="132">
        <f t="shared" si="20"/>
        <v>-24.800000000000004</v>
      </c>
      <c r="AT23" s="138">
        <v>-52.7</v>
      </c>
      <c r="AU23" s="132">
        <v>-4.4000000000000004</v>
      </c>
      <c r="AV23" s="132">
        <f>-9.6-AU23</f>
        <v>-5.1999999999999993</v>
      </c>
      <c r="AW23" s="132">
        <f>-32.1-SUM(AU23:AV23)</f>
        <v>-22.5</v>
      </c>
      <c r="AX23" s="132">
        <f t="shared" si="21"/>
        <v>-32.9</v>
      </c>
      <c r="AY23" s="138">
        <v>-65</v>
      </c>
      <c r="AZ23" s="132">
        <v>-635.6</v>
      </c>
      <c r="BA23" s="192">
        <v>-10</v>
      </c>
      <c r="BB23" s="192">
        <v>-10</v>
      </c>
      <c r="BC23" s="192">
        <v>-10</v>
      </c>
      <c r="BD23" s="138">
        <f t="shared" ref="BD23:BD25" si="28">SUM(AZ23:BC23)</f>
        <v>-665.6</v>
      </c>
      <c r="BE23" s="192">
        <v>-10</v>
      </c>
      <c r="BF23" s="192">
        <v>-10</v>
      </c>
      <c r="BG23" s="192">
        <v>-10</v>
      </c>
      <c r="BH23" s="192">
        <v>-10</v>
      </c>
      <c r="BI23" s="138">
        <f t="shared" ref="BI23:BI25" si="29">SUM(BE23:BH23)</f>
        <v>-40</v>
      </c>
    </row>
    <row r="24" spans="1:61" x14ac:dyDescent="0.2">
      <c r="A24" s="120" t="s">
        <v>167</v>
      </c>
      <c r="B24" s="109"/>
      <c r="C24" s="109"/>
      <c r="D24" s="109"/>
      <c r="E24" s="109">
        <v>0</v>
      </c>
      <c r="F24" s="110">
        <v>1</v>
      </c>
      <c r="G24" s="132">
        <v>0</v>
      </c>
      <c r="H24" s="133">
        <v>0</v>
      </c>
      <c r="I24" s="133">
        <f>1-SUM(G24:H24)</f>
        <v>1</v>
      </c>
      <c r="J24" s="132">
        <f t="shared" si="22"/>
        <v>0</v>
      </c>
      <c r="K24" s="138">
        <v>1</v>
      </c>
      <c r="L24" s="132">
        <v>0</v>
      </c>
      <c r="M24" s="133">
        <v>5</v>
      </c>
      <c r="N24" s="133">
        <v>0</v>
      </c>
      <c r="O24" s="132">
        <f t="shared" si="23"/>
        <v>-5</v>
      </c>
      <c r="P24" s="138">
        <v>0</v>
      </c>
      <c r="Q24" s="132">
        <v>0</v>
      </c>
      <c r="R24" s="133">
        <v>0</v>
      </c>
      <c r="S24" s="133">
        <v>0</v>
      </c>
      <c r="T24" s="132">
        <f>U24-SUM(Q24:S24)</f>
        <v>0</v>
      </c>
      <c r="U24" s="138">
        <v>0</v>
      </c>
      <c r="V24" s="132">
        <v>0</v>
      </c>
      <c r="W24" s="133">
        <v>0</v>
      </c>
      <c r="X24" s="133">
        <v>0</v>
      </c>
      <c r="Y24" s="132">
        <f t="shared" si="24"/>
        <v>0</v>
      </c>
      <c r="Z24" s="138">
        <v>0</v>
      </c>
      <c r="AA24" s="132">
        <v>0</v>
      </c>
      <c r="AB24" s="133">
        <v>0</v>
      </c>
      <c r="AC24" s="133">
        <v>0</v>
      </c>
      <c r="AD24" s="132">
        <f t="shared" si="25"/>
        <v>0</v>
      </c>
      <c r="AE24" s="138">
        <v>0</v>
      </c>
      <c r="AF24" s="132">
        <v>0</v>
      </c>
      <c r="AG24" s="133">
        <v>0</v>
      </c>
      <c r="AH24" s="133">
        <v>0</v>
      </c>
      <c r="AI24" s="132">
        <f t="shared" si="26"/>
        <v>0</v>
      </c>
      <c r="AJ24" s="138">
        <v>0</v>
      </c>
      <c r="AK24" s="132">
        <v>0</v>
      </c>
      <c r="AL24" s="133">
        <v>0</v>
      </c>
      <c r="AM24" s="133">
        <v>0</v>
      </c>
      <c r="AN24" s="132">
        <f t="shared" si="27"/>
        <v>0</v>
      </c>
      <c r="AO24" s="138">
        <v>0</v>
      </c>
      <c r="AP24" s="132">
        <v>0</v>
      </c>
      <c r="AQ24" s="132">
        <v>0</v>
      </c>
      <c r="AR24" s="132">
        <v>0</v>
      </c>
      <c r="AS24" s="132">
        <f t="shared" si="20"/>
        <v>71.5</v>
      </c>
      <c r="AT24" s="138">
        <v>71.5</v>
      </c>
      <c r="AU24" s="132">
        <v>121</v>
      </c>
      <c r="AV24" s="132">
        <f>121-AU24</f>
        <v>0</v>
      </c>
      <c r="AW24" s="132">
        <f>121-SUM(AU24:AV24)</f>
        <v>0</v>
      </c>
      <c r="AX24" s="132">
        <f t="shared" si="21"/>
        <v>0</v>
      </c>
      <c r="AY24" s="138">
        <v>121</v>
      </c>
      <c r="AZ24" s="132">
        <v>63.6</v>
      </c>
      <c r="BA24" s="132">
        <v>0</v>
      </c>
      <c r="BB24" s="132">
        <v>0</v>
      </c>
      <c r="BC24" s="132">
        <v>0</v>
      </c>
      <c r="BD24" s="138">
        <f t="shared" si="28"/>
        <v>63.6</v>
      </c>
      <c r="BE24" s="132">
        <v>0</v>
      </c>
      <c r="BF24" s="132">
        <v>0</v>
      </c>
      <c r="BG24" s="132">
        <v>0</v>
      </c>
      <c r="BH24" s="132">
        <v>0</v>
      </c>
      <c r="BI24" s="138">
        <f t="shared" si="29"/>
        <v>0</v>
      </c>
    </row>
    <row r="25" spans="1:61" x14ac:dyDescent="0.2">
      <c r="A25" s="120" t="s">
        <v>144</v>
      </c>
      <c r="B25" s="113"/>
      <c r="C25" s="113"/>
      <c r="D25" s="113"/>
      <c r="E25" s="112">
        <v>0</v>
      </c>
      <c r="F25" s="114">
        <v>0</v>
      </c>
      <c r="G25" s="133">
        <v>-1</v>
      </c>
      <c r="H25" s="133">
        <f>-1-G25</f>
        <v>0</v>
      </c>
      <c r="I25" s="133">
        <f>-1-SUM(G25:H25)</f>
        <v>0</v>
      </c>
      <c r="J25" s="132">
        <f t="shared" si="22"/>
        <v>1</v>
      </c>
      <c r="K25" s="141">
        <v>0</v>
      </c>
      <c r="L25" s="133">
        <v>0</v>
      </c>
      <c r="M25" s="133">
        <v>1</v>
      </c>
      <c r="N25" s="133">
        <v>-1</v>
      </c>
      <c r="O25" s="132">
        <f t="shared" si="23"/>
        <v>5</v>
      </c>
      <c r="P25" s="141">
        <v>5</v>
      </c>
      <c r="Q25" s="133">
        <v>1</v>
      </c>
      <c r="R25" s="133">
        <v>-3</v>
      </c>
      <c r="S25" s="133">
        <v>1</v>
      </c>
      <c r="T25" s="132">
        <f>U25-SUM(Q25:S25)</f>
        <v>-1</v>
      </c>
      <c r="U25" s="141">
        <v>-2</v>
      </c>
      <c r="V25" s="133">
        <v>-1</v>
      </c>
      <c r="W25" s="133">
        <f>-3-V25</f>
        <v>-2</v>
      </c>
      <c r="X25" s="133">
        <f>0-SUM(V25:W25)</f>
        <v>3</v>
      </c>
      <c r="Y25" s="132">
        <f t="shared" si="24"/>
        <v>0</v>
      </c>
      <c r="Z25" s="141">
        <v>0</v>
      </c>
      <c r="AA25" s="133">
        <v>-1</v>
      </c>
      <c r="AB25" s="133">
        <f>9-AA25</f>
        <v>10</v>
      </c>
      <c r="AC25" s="133">
        <f>8-SUM(AA25:AB25)</f>
        <v>-1</v>
      </c>
      <c r="AD25" s="132">
        <f t="shared" si="25"/>
        <v>1</v>
      </c>
      <c r="AE25" s="141">
        <v>9</v>
      </c>
      <c r="AF25" s="133">
        <v>-0.1</v>
      </c>
      <c r="AG25" s="133">
        <f>6.1-AF25</f>
        <v>6.1999999999999993</v>
      </c>
      <c r="AH25" s="133">
        <f>0-SUM(AF25:AG25)</f>
        <v>-6.1</v>
      </c>
      <c r="AI25" s="132">
        <f t="shared" si="26"/>
        <v>0.6</v>
      </c>
      <c r="AJ25" s="141">
        <v>0.6</v>
      </c>
      <c r="AK25" s="133">
        <v>1.6</v>
      </c>
      <c r="AL25" s="133">
        <f>2-AK25</f>
        <v>0.39999999999999991</v>
      </c>
      <c r="AM25" s="133">
        <f>-440.4-0.8-SUM(AK25:AL25)</f>
        <v>-443.2</v>
      </c>
      <c r="AN25" s="132">
        <f t="shared" si="27"/>
        <v>80.800000000000011</v>
      </c>
      <c r="AO25" s="138">
        <f>-440.4+80</f>
        <v>-360.4</v>
      </c>
      <c r="AP25" s="133">
        <f>230-7.1</f>
        <v>222.9</v>
      </c>
      <c r="AQ25" s="133">
        <f>350-10.9-AP25</f>
        <v>116.20000000000002</v>
      </c>
      <c r="AR25" s="133">
        <f>348-5.7-AQ25-AP25</f>
        <v>3.1999999999999886</v>
      </c>
      <c r="AS25" s="133">
        <f t="shared" si="20"/>
        <v>9.9999999999965894E-2</v>
      </c>
      <c r="AT25" s="138">
        <f>-3.5+350-4.1</f>
        <v>342.4</v>
      </c>
      <c r="AU25" s="133">
        <v>1</v>
      </c>
      <c r="AV25" s="133">
        <f>6-1.7-AU25</f>
        <v>3.3</v>
      </c>
      <c r="AW25" s="133">
        <f>-5.6+6-0.9-SUM(AU25:AV25)</f>
        <v>-4.8</v>
      </c>
      <c r="AX25" s="132">
        <f t="shared" si="21"/>
        <v>2.6</v>
      </c>
      <c r="AY25" s="138">
        <f>-24.2+21.2-4.5+6+3.6</f>
        <v>2.1</v>
      </c>
      <c r="AZ25" s="133">
        <v>-2</v>
      </c>
      <c r="BA25" s="133">
        <v>0</v>
      </c>
      <c r="BB25" s="133">
        <v>0</v>
      </c>
      <c r="BC25" s="133">
        <v>0</v>
      </c>
      <c r="BD25" s="138">
        <f t="shared" si="28"/>
        <v>-2</v>
      </c>
      <c r="BE25" s="133">
        <v>0</v>
      </c>
      <c r="BF25" s="133">
        <v>0</v>
      </c>
      <c r="BG25" s="133">
        <v>0</v>
      </c>
      <c r="BH25" s="133">
        <v>0</v>
      </c>
      <c r="BI25" s="138">
        <f t="shared" si="29"/>
        <v>0</v>
      </c>
    </row>
    <row r="26" spans="1:61" s="117" customFormat="1" x14ac:dyDescent="0.2">
      <c r="A26" s="121" t="s">
        <v>170</v>
      </c>
      <c r="B26" s="116"/>
      <c r="C26" s="116"/>
      <c r="D26" s="116"/>
      <c r="E26" s="135">
        <f t="shared" ref="E26:U26" si="30">SUM(E21:E25)</f>
        <v>-47</v>
      </c>
      <c r="F26" s="140">
        <f t="shared" si="30"/>
        <v>-148</v>
      </c>
      <c r="G26" s="135">
        <f t="shared" si="30"/>
        <v>-10</v>
      </c>
      <c r="H26" s="135">
        <f t="shared" si="30"/>
        <v>-66</v>
      </c>
      <c r="I26" s="135">
        <f t="shared" si="30"/>
        <v>-33</v>
      </c>
      <c r="J26" s="135">
        <f t="shared" si="30"/>
        <v>-26</v>
      </c>
      <c r="K26" s="140">
        <f t="shared" si="30"/>
        <v>-135</v>
      </c>
      <c r="L26" s="135">
        <f t="shared" si="30"/>
        <v>-74</v>
      </c>
      <c r="M26" s="135">
        <f t="shared" si="30"/>
        <v>-17</v>
      </c>
      <c r="N26" s="135">
        <f t="shared" si="30"/>
        <v>-26</v>
      </c>
      <c r="O26" s="135">
        <f t="shared" si="30"/>
        <v>-96</v>
      </c>
      <c r="P26" s="140">
        <f t="shared" si="30"/>
        <v>-213</v>
      </c>
      <c r="Q26" s="135">
        <f t="shared" si="30"/>
        <v>-56</v>
      </c>
      <c r="R26" s="135">
        <f t="shared" si="30"/>
        <v>-29</v>
      </c>
      <c r="S26" s="135">
        <f t="shared" si="30"/>
        <v>-39</v>
      </c>
      <c r="T26" s="135">
        <f t="shared" si="30"/>
        <v>-64</v>
      </c>
      <c r="U26" s="140">
        <f t="shared" si="30"/>
        <v>-188</v>
      </c>
      <c r="V26" s="135">
        <f t="shared" ref="V26" si="31">SUM(V21:V25)</f>
        <v>-35</v>
      </c>
      <c r="W26" s="135">
        <f t="shared" ref="W26" si="32">SUM(W21:W25)</f>
        <v>-36</v>
      </c>
      <c r="X26" s="135">
        <f t="shared" ref="X26" si="33">SUM(X21:X25)</f>
        <v>-72</v>
      </c>
      <c r="Y26" s="135">
        <f t="shared" ref="Y26" si="34">SUM(Y21:Y25)</f>
        <v>-79</v>
      </c>
      <c r="Z26" s="140">
        <f t="shared" ref="Z26:AD26" si="35">SUM(Z21:Z25)</f>
        <v>-222</v>
      </c>
      <c r="AA26" s="135">
        <f t="shared" si="35"/>
        <v>-245</v>
      </c>
      <c r="AB26" s="135">
        <f t="shared" si="35"/>
        <v>-31</v>
      </c>
      <c r="AC26" s="135">
        <f t="shared" si="35"/>
        <v>-75</v>
      </c>
      <c r="AD26" s="135">
        <f t="shared" si="35"/>
        <v>-49</v>
      </c>
      <c r="AE26" s="140">
        <f t="shared" ref="AE26:AH26" si="36">SUM(AE21:AE25)</f>
        <v>-400</v>
      </c>
      <c r="AF26" s="135">
        <f t="shared" si="36"/>
        <v>-42.7</v>
      </c>
      <c r="AG26" s="135">
        <f t="shared" si="36"/>
        <v>-32.299999999999997</v>
      </c>
      <c r="AH26" s="135">
        <f t="shared" si="36"/>
        <v>-68</v>
      </c>
      <c r="AI26" s="135">
        <f>SUM(AI21:AI25)</f>
        <v>-27.900000000000002</v>
      </c>
      <c r="AJ26" s="140">
        <f>SUM(AJ21:AJ25)</f>
        <v>-170.9</v>
      </c>
      <c r="AK26" s="135">
        <f>SUM(AK21:AK25)</f>
        <v>-48.4</v>
      </c>
      <c r="AL26" s="135">
        <f>SUM(AL21:AL25)</f>
        <v>-47.900000000000006</v>
      </c>
      <c r="AM26" s="135">
        <f t="shared" ref="AM26:AP26" si="37">SUM(AM21:AM25)</f>
        <v>-498.6</v>
      </c>
      <c r="AN26" s="135">
        <f t="shared" si="37"/>
        <v>17.700000000000017</v>
      </c>
      <c r="AO26" s="140">
        <f>SUM(AO21:AO25)</f>
        <v>-577.20000000000005</v>
      </c>
      <c r="AP26" s="135">
        <f t="shared" si="37"/>
        <v>172.3</v>
      </c>
      <c r="AQ26" s="135">
        <f t="shared" ref="AQ26" si="38">SUM(AQ21:AQ25)</f>
        <v>58.300000000000011</v>
      </c>
      <c r="AR26" s="135">
        <f t="shared" ref="AR26" si="39">SUM(AR21:AR25)</f>
        <v>-69.2</v>
      </c>
      <c r="AS26" s="135">
        <f t="shared" ref="AS26" si="40">SUM(AS21:AS25)</f>
        <v>-24.600000000000051</v>
      </c>
      <c r="AT26" s="140">
        <f>SUM(AT21:AT25)</f>
        <v>136.79999999999995</v>
      </c>
      <c r="AU26" s="135">
        <f t="shared" ref="AU26:AX26" si="41">SUM(AU21:AU25)</f>
        <v>64</v>
      </c>
      <c r="AV26" s="135">
        <f t="shared" si="41"/>
        <v>-53.7</v>
      </c>
      <c r="AW26" s="135">
        <f t="shared" si="41"/>
        <v>-82.2</v>
      </c>
      <c r="AX26" s="135">
        <f t="shared" si="41"/>
        <v>-129.19999999999999</v>
      </c>
      <c r="AY26" s="140">
        <f>SUM(AY21:AY25)</f>
        <v>-201.1</v>
      </c>
      <c r="AZ26" s="135">
        <f t="shared" ref="AZ26:BC26" si="42">SUM(AZ21:AZ25)</f>
        <v>-631.4</v>
      </c>
      <c r="BA26" s="135">
        <f t="shared" si="42"/>
        <v>-70</v>
      </c>
      <c r="BB26" s="135">
        <f t="shared" si="42"/>
        <v>-80</v>
      </c>
      <c r="BC26" s="135">
        <f t="shared" si="42"/>
        <v>-85</v>
      </c>
      <c r="BD26" s="140">
        <f>SUM(BD21:BD25)</f>
        <v>-866.4</v>
      </c>
      <c r="BE26" s="135">
        <f t="shared" ref="BE26:BH26" si="43">SUM(BE21:BE25)</f>
        <v>-70</v>
      </c>
      <c r="BF26" s="135">
        <f t="shared" si="43"/>
        <v>-75</v>
      </c>
      <c r="BG26" s="135">
        <f t="shared" si="43"/>
        <v>-95</v>
      </c>
      <c r="BH26" s="135">
        <f t="shared" si="43"/>
        <v>-100</v>
      </c>
      <c r="BI26" s="140">
        <f>SUM(BI21:BI25)</f>
        <v>-340</v>
      </c>
    </row>
    <row r="27" spans="1:61" x14ac:dyDescent="0.2">
      <c r="A27" s="108" t="s">
        <v>171</v>
      </c>
      <c r="B27" s="109"/>
      <c r="C27" s="109"/>
      <c r="D27" s="109"/>
      <c r="E27" s="109"/>
      <c r="F27" s="110"/>
      <c r="G27" s="132"/>
      <c r="H27" s="132"/>
      <c r="I27" s="132"/>
      <c r="J27" s="132"/>
      <c r="K27" s="138"/>
      <c r="L27" s="132">
        <v>0</v>
      </c>
      <c r="M27" s="132">
        <v>0</v>
      </c>
      <c r="N27" s="132"/>
      <c r="O27" s="132"/>
      <c r="P27" s="138"/>
      <c r="Q27" s="132">
        <v>0</v>
      </c>
      <c r="R27" s="132">
        <v>0</v>
      </c>
      <c r="S27" s="132">
        <v>0</v>
      </c>
      <c r="T27" s="132">
        <v>0</v>
      </c>
      <c r="U27" s="138">
        <f>SUM(Q27:T27)</f>
        <v>0</v>
      </c>
      <c r="V27" s="109">
        <v>0</v>
      </c>
      <c r="W27" s="109">
        <v>0</v>
      </c>
      <c r="X27" s="109">
        <v>0</v>
      </c>
      <c r="Y27" s="109">
        <v>0</v>
      </c>
      <c r="Z27" s="110">
        <v>0</v>
      </c>
      <c r="AA27" s="109">
        <v>0</v>
      </c>
      <c r="AB27" s="109">
        <v>0</v>
      </c>
      <c r="AC27" s="109">
        <v>0</v>
      </c>
      <c r="AD27" s="109">
        <v>0</v>
      </c>
      <c r="AE27" s="110">
        <v>0</v>
      </c>
      <c r="AF27" s="132">
        <v>-3.1</v>
      </c>
      <c r="AG27" s="132">
        <f>-9.2-AF27</f>
        <v>-6.1</v>
      </c>
      <c r="AH27" s="132">
        <v>0</v>
      </c>
      <c r="AI27" s="132">
        <f>AJ27-SUM(AF27:AH27)</f>
        <v>-27.500000000000004</v>
      </c>
      <c r="AJ27" s="138">
        <v>-36.700000000000003</v>
      </c>
      <c r="AK27" s="132">
        <v>-8.4</v>
      </c>
      <c r="AL27" s="132">
        <f>2623.2-AK27</f>
        <v>2631.6</v>
      </c>
      <c r="AM27" s="132">
        <f>2621-SUM(AK27:AL27)</f>
        <v>-2.1999999999998181</v>
      </c>
      <c r="AN27" s="132">
        <f t="shared" si="27"/>
        <v>-9.9999999999909051E-2</v>
      </c>
      <c r="AO27" s="138">
        <v>2620.9</v>
      </c>
      <c r="AP27" s="109">
        <v>0</v>
      </c>
      <c r="AQ27" s="216">
        <f>0-AP27</f>
        <v>0</v>
      </c>
      <c r="AR27" s="109">
        <v>0</v>
      </c>
      <c r="AS27" s="109">
        <v>0</v>
      </c>
      <c r="AT27" s="138">
        <f>SUM(AP27:AS27)</f>
        <v>0</v>
      </c>
      <c r="AU27" s="109">
        <v>0</v>
      </c>
      <c r="AV27" s="109">
        <v>0</v>
      </c>
      <c r="AW27" s="109">
        <v>0</v>
      </c>
      <c r="AX27" s="109">
        <v>0</v>
      </c>
      <c r="AY27" s="138">
        <f>SUM(AU27:AX27)</f>
        <v>0</v>
      </c>
      <c r="AZ27" s="109">
        <v>0</v>
      </c>
      <c r="BA27" s="109">
        <v>0</v>
      </c>
      <c r="BB27" s="109">
        <v>0</v>
      </c>
      <c r="BC27" s="109">
        <v>0</v>
      </c>
      <c r="BD27" s="138">
        <f>SUM(AZ27:BC27)</f>
        <v>0</v>
      </c>
      <c r="BE27" s="109">
        <v>0</v>
      </c>
      <c r="BF27" s="109">
        <v>0</v>
      </c>
      <c r="BG27" s="109">
        <v>0</v>
      </c>
      <c r="BH27" s="109">
        <v>0</v>
      </c>
      <c r="BI27" s="138">
        <f>SUM(BE27:BH27)</f>
        <v>0</v>
      </c>
    </row>
    <row r="28" spans="1:61" x14ac:dyDescent="0.2">
      <c r="B28" s="4"/>
      <c r="C28" s="4"/>
      <c r="D28" s="4"/>
      <c r="E28" s="4"/>
      <c r="F28" s="118"/>
      <c r="G28" s="136"/>
      <c r="H28" s="136"/>
      <c r="I28" s="136"/>
      <c r="J28" s="136"/>
      <c r="K28" s="139"/>
      <c r="L28" s="136"/>
      <c r="M28" s="136"/>
      <c r="N28" s="136"/>
      <c r="O28" s="136"/>
      <c r="P28" s="139"/>
      <c r="Q28" s="136"/>
      <c r="R28" s="136"/>
      <c r="S28" s="136"/>
      <c r="T28" s="136"/>
      <c r="U28" s="139"/>
      <c r="Z28" s="118"/>
      <c r="AE28" s="118"/>
      <c r="AJ28" s="118"/>
      <c r="AO28" s="118"/>
      <c r="AT28" s="118"/>
      <c r="AY28" s="118"/>
      <c r="BD28" s="118"/>
      <c r="BI28" s="118"/>
    </row>
    <row r="29" spans="1:61" x14ac:dyDescent="0.2">
      <c r="A29" s="120" t="s">
        <v>172</v>
      </c>
      <c r="B29" s="109"/>
      <c r="C29" s="109"/>
      <c r="D29" s="109"/>
      <c r="E29" s="109">
        <v>1372</v>
      </c>
      <c r="F29" s="110">
        <v>1372</v>
      </c>
      <c r="G29" s="132">
        <v>75</v>
      </c>
      <c r="H29" s="142">
        <f>75-G29</f>
        <v>0</v>
      </c>
      <c r="I29" s="142">
        <f>75-SUM(G29:H29)</f>
        <v>0</v>
      </c>
      <c r="J29" s="132">
        <f>K29-SUM(G29:I29)</f>
        <v>395</v>
      </c>
      <c r="K29" s="138">
        <v>470</v>
      </c>
      <c r="L29" s="132">
        <v>44</v>
      </c>
      <c r="M29" s="142">
        <f>95-L29</f>
        <v>51</v>
      </c>
      <c r="N29" s="142">
        <f>170-SUM(L29:M29)</f>
        <v>75</v>
      </c>
      <c r="O29" s="132">
        <f>P29-SUM(L29:N29)</f>
        <v>134</v>
      </c>
      <c r="P29" s="138">
        <v>304</v>
      </c>
      <c r="Q29" s="132">
        <v>100</v>
      </c>
      <c r="R29" s="142">
        <f>162-Q29</f>
        <v>62</v>
      </c>
      <c r="S29" s="142">
        <f>743-SUM(Q29:R29)</f>
        <v>581</v>
      </c>
      <c r="T29" s="132">
        <f>U29-SUM(Q29:S29)</f>
        <v>7</v>
      </c>
      <c r="U29" s="138">
        <v>750</v>
      </c>
      <c r="V29" s="132">
        <v>0</v>
      </c>
      <c r="W29" s="142">
        <f>1132-V29</f>
        <v>1132</v>
      </c>
      <c r="X29" s="142">
        <f>1547-SUM(V29:W29)</f>
        <v>415</v>
      </c>
      <c r="Y29" s="132">
        <f>Z29-SUM(V29:X29)</f>
        <v>11</v>
      </c>
      <c r="Z29" s="138">
        <v>1558</v>
      </c>
      <c r="AA29" s="132">
        <v>11</v>
      </c>
      <c r="AB29" s="142">
        <f>546-AA29</f>
        <v>535</v>
      </c>
      <c r="AC29" s="142">
        <f>555-SUM(AA29:AB29)</f>
        <v>9</v>
      </c>
      <c r="AD29" s="132">
        <f>AE29-SUM(AA29:AC29)</f>
        <v>0</v>
      </c>
      <c r="AE29" s="138">
        <v>555</v>
      </c>
      <c r="AF29" s="132">
        <v>0</v>
      </c>
      <c r="AG29" s="142">
        <v>0</v>
      </c>
      <c r="AH29" s="142">
        <f>414-SUM(AF29:AG29)</f>
        <v>414</v>
      </c>
      <c r="AI29" s="132">
        <f>AJ29-SUM(AF29:AH29)</f>
        <v>-391</v>
      </c>
      <c r="AJ29" s="138">
        <v>23</v>
      </c>
      <c r="AK29" s="132">
        <v>250</v>
      </c>
      <c r="AL29" s="142">
        <f>920.9-AK29</f>
        <v>670.9</v>
      </c>
      <c r="AM29" s="142">
        <f>920.9-SUM(AK29:AL29)</f>
        <v>0</v>
      </c>
      <c r="AN29" s="132">
        <f>AO29-SUM(AK29:AM29)</f>
        <v>0.10000000000002274</v>
      </c>
      <c r="AO29" s="138">
        <v>921</v>
      </c>
      <c r="AP29" s="132">
        <v>0</v>
      </c>
      <c r="AQ29" s="132">
        <f>0-AP29</f>
        <v>0</v>
      </c>
      <c r="AR29" s="132">
        <f>200-AQ29-AP29</f>
        <v>200</v>
      </c>
      <c r="AS29" s="132">
        <f t="shared" ref="AS29:AS33" si="44">+AT29-SUM(AP29:AR29)</f>
        <v>0</v>
      </c>
      <c r="AT29" s="138">
        <v>200</v>
      </c>
      <c r="AU29" s="132">
        <v>25</v>
      </c>
      <c r="AV29" s="132">
        <f>75-AU29</f>
        <v>50</v>
      </c>
      <c r="AW29" s="132">
        <f>85-SUM(AU29:AV29)</f>
        <v>10</v>
      </c>
      <c r="AX29" s="132">
        <f t="shared" ref="AX29:AX33" si="45">+AY29-SUM(AU29:AW29)</f>
        <v>0</v>
      </c>
      <c r="AY29" s="138">
        <v>85</v>
      </c>
      <c r="AZ29" s="132">
        <f>740-13.7</f>
        <v>726.3</v>
      </c>
      <c r="BA29" s="132">
        <v>0</v>
      </c>
      <c r="BB29" s="132">
        <v>0</v>
      </c>
      <c r="BC29" s="132">
        <v>0</v>
      </c>
      <c r="BD29" s="138">
        <f>SUM(AZ29:BC29)</f>
        <v>726.3</v>
      </c>
      <c r="BE29" s="132">
        <v>0</v>
      </c>
      <c r="BF29" s="132">
        <v>0</v>
      </c>
      <c r="BG29" s="132">
        <v>0</v>
      </c>
      <c r="BH29" s="132">
        <v>0</v>
      </c>
      <c r="BI29" s="138">
        <f>SUM(BE29:BH29)</f>
        <v>0</v>
      </c>
    </row>
    <row r="30" spans="1:61" x14ac:dyDescent="0.2">
      <c r="A30" s="120" t="s">
        <v>173</v>
      </c>
      <c r="B30" s="109"/>
      <c r="C30" s="109"/>
      <c r="D30" s="109"/>
      <c r="E30" s="109">
        <v>-637</v>
      </c>
      <c r="F30" s="110">
        <v>-637</v>
      </c>
      <c r="G30" s="132">
        <v>-79</v>
      </c>
      <c r="H30" s="132">
        <f>-83-G30</f>
        <v>-4</v>
      </c>
      <c r="I30" s="132">
        <f>-87-SUM(G30:H30)</f>
        <v>-4</v>
      </c>
      <c r="J30" s="132">
        <f t="shared" ref="J30:J33" si="46">K30-SUM(G30:I30)</f>
        <v>-3</v>
      </c>
      <c r="K30" s="138">
        <v>-90</v>
      </c>
      <c r="L30" s="132">
        <v>-4</v>
      </c>
      <c r="M30" s="132">
        <f>-15-L30</f>
        <v>-11</v>
      </c>
      <c r="N30" s="132">
        <f>-39-SUM(L30:M30)</f>
        <v>-24</v>
      </c>
      <c r="O30" s="132">
        <f t="shared" ref="O30:O33" si="47">P30-SUM(L30:N30)</f>
        <v>-69</v>
      </c>
      <c r="P30" s="138">
        <v>-108</v>
      </c>
      <c r="Q30" s="132">
        <v>-101</v>
      </c>
      <c r="R30" s="132">
        <f>-137-Q30</f>
        <v>-36</v>
      </c>
      <c r="S30" s="132">
        <f>-727-SUM(Q30:R30)</f>
        <v>-590</v>
      </c>
      <c r="T30" s="132">
        <f t="shared" ref="T30:T33" si="48">U30-SUM(Q30:S30)</f>
        <v>-7</v>
      </c>
      <c r="U30" s="138">
        <v>-734</v>
      </c>
      <c r="V30" s="132">
        <v>0</v>
      </c>
      <c r="W30" s="132">
        <f>-475-15-V30</f>
        <v>-490</v>
      </c>
      <c r="X30" s="132">
        <f>-16-925-15-SUM(V30:W30)</f>
        <v>-466</v>
      </c>
      <c r="Y30" s="132">
        <f t="shared" ref="Y30:Y33" si="49">Z30-SUM(V30:X30)</f>
        <v>-4</v>
      </c>
      <c r="Z30" s="138">
        <f>-16-929-15</f>
        <v>-960</v>
      </c>
      <c r="AA30" s="132">
        <v>0</v>
      </c>
      <c r="AB30" s="132">
        <f>-800-26-AA30</f>
        <v>-826</v>
      </c>
      <c r="AC30" s="132">
        <f>-7-829-26-SUM(AA30:AB30)</f>
        <v>-36</v>
      </c>
      <c r="AD30" s="132">
        <f t="shared" ref="AD30:AD33" si="50">AE30-SUM(AA30:AC30)</f>
        <v>0</v>
      </c>
      <c r="AE30" s="138">
        <f>-7-829-26</f>
        <v>-862</v>
      </c>
      <c r="AF30" s="132">
        <v>0</v>
      </c>
      <c r="AG30" s="132">
        <v>0</v>
      </c>
      <c r="AH30" s="132">
        <f>-407-SUM(AF30:AG30)</f>
        <v>-407</v>
      </c>
      <c r="AI30" s="132">
        <f t="shared" ref="AI30:AI33" si="51">AJ30-SUM(AF30:AH30)</f>
        <v>368.9</v>
      </c>
      <c r="AJ30" s="138">
        <v>-38.1</v>
      </c>
      <c r="AK30" s="132">
        <v>-119.4</v>
      </c>
      <c r="AL30" s="132">
        <f>-909-AK30</f>
        <v>-789.6</v>
      </c>
      <c r="AM30" s="132">
        <f>-915-SUM(AK30:AL30)</f>
        <v>-6</v>
      </c>
      <c r="AN30" s="132">
        <f t="shared" ref="AN30:AN35" si="52">AO30-SUM(AK30:AM30)</f>
        <v>-5.8999999999999773</v>
      </c>
      <c r="AO30" s="138">
        <v>-920.9</v>
      </c>
      <c r="AP30" s="132">
        <v>-5.9</v>
      </c>
      <c r="AQ30" s="214">
        <f>-11.8-AP30</f>
        <v>-5.9</v>
      </c>
      <c r="AR30" s="132">
        <f>-642.8-AQ30-AP30</f>
        <v>-631</v>
      </c>
      <c r="AS30" s="132">
        <f t="shared" si="44"/>
        <v>-56</v>
      </c>
      <c r="AT30" s="138">
        <v>-698.8</v>
      </c>
      <c r="AU30" s="132">
        <v>-85.9</v>
      </c>
      <c r="AV30" s="132">
        <f>-91.9-AU30</f>
        <v>-6</v>
      </c>
      <c r="AW30" s="132">
        <f>-97.8-SUM(AU30:AV30)</f>
        <v>-5.8999999999999915</v>
      </c>
      <c r="AX30" s="132">
        <f t="shared" si="45"/>
        <v>-6</v>
      </c>
      <c r="AY30" s="138">
        <v>-103.8</v>
      </c>
      <c r="AZ30" s="132">
        <v>-135.9</v>
      </c>
      <c r="BA30" s="192">
        <v>-10</v>
      </c>
      <c r="BB30" s="192">
        <v>-10</v>
      </c>
      <c r="BC30" s="192">
        <v>-10</v>
      </c>
      <c r="BD30" s="138">
        <f>SUM(AZ30:BC30)</f>
        <v>-165.9</v>
      </c>
      <c r="BE30" s="192">
        <v>-15</v>
      </c>
      <c r="BF30" s="192">
        <v>-15</v>
      </c>
      <c r="BG30" s="192">
        <v>-15</v>
      </c>
      <c r="BH30" s="192">
        <v>-15</v>
      </c>
      <c r="BI30" s="138">
        <f>SUM(BE30:BH30)</f>
        <v>-60</v>
      </c>
    </row>
    <row r="31" spans="1:61" x14ac:dyDescent="0.2">
      <c r="A31" s="120" t="s">
        <v>174</v>
      </c>
      <c r="B31" s="109"/>
      <c r="C31" s="109"/>
      <c r="D31" s="109"/>
      <c r="E31" s="109">
        <v>0</v>
      </c>
      <c r="F31" s="110">
        <v>0</v>
      </c>
      <c r="G31" s="132">
        <v>0</v>
      </c>
      <c r="H31" s="133">
        <v>0</v>
      </c>
      <c r="I31" s="133">
        <f>-50-SUM(G31:H31)</f>
        <v>-50</v>
      </c>
      <c r="J31" s="132">
        <f t="shared" si="46"/>
        <v>0</v>
      </c>
      <c r="K31" s="138">
        <v>-50</v>
      </c>
      <c r="L31" s="132">
        <f>-37</f>
        <v>-37</v>
      </c>
      <c r="M31" s="133">
        <f>-123-L31</f>
        <v>-86</v>
      </c>
      <c r="N31" s="133">
        <f>-220-SUM(L31:M31)</f>
        <v>-97</v>
      </c>
      <c r="O31" s="132">
        <f t="shared" si="47"/>
        <v>-105</v>
      </c>
      <c r="P31" s="138">
        <v>-325</v>
      </c>
      <c r="Q31" s="132">
        <v>-1</v>
      </c>
      <c r="R31" s="133">
        <v>1</v>
      </c>
      <c r="S31" s="133">
        <v>0</v>
      </c>
      <c r="T31" s="132">
        <f t="shared" si="48"/>
        <v>0</v>
      </c>
      <c r="U31" s="138">
        <v>0</v>
      </c>
      <c r="V31" s="132">
        <v>0</v>
      </c>
      <c r="W31" s="133">
        <f>-60-V31</f>
        <v>-60</v>
      </c>
      <c r="X31" s="133">
        <f>-60-SUM(V31:W31)</f>
        <v>0</v>
      </c>
      <c r="Y31" s="132">
        <f t="shared" si="49"/>
        <v>0</v>
      </c>
      <c r="Z31" s="138">
        <v>-60</v>
      </c>
      <c r="AA31" s="132">
        <v>-58</v>
      </c>
      <c r="AB31" s="133">
        <f>-100-AA31</f>
        <v>-42</v>
      </c>
      <c r="AC31" s="133">
        <f>-100-SUM(AA31:AB31)</f>
        <v>0</v>
      </c>
      <c r="AD31" s="132">
        <f t="shared" si="50"/>
        <v>-27</v>
      </c>
      <c r="AE31" s="138">
        <v>-127</v>
      </c>
      <c r="AF31" s="132">
        <v>-31.5</v>
      </c>
      <c r="AG31" s="133">
        <f>-66.3-AF31</f>
        <v>-34.799999999999997</v>
      </c>
      <c r="AH31" s="133">
        <f>-104-SUM(AF31:AG31)</f>
        <v>-37.700000000000003</v>
      </c>
      <c r="AI31" s="132">
        <f t="shared" si="51"/>
        <v>-38.599999999999994</v>
      </c>
      <c r="AJ31" s="138">
        <v>-142.6</v>
      </c>
      <c r="AK31" s="132">
        <v>-87.4</v>
      </c>
      <c r="AL31" s="133">
        <f>-257.4-AK31</f>
        <v>-169.99999999999997</v>
      </c>
      <c r="AM31" s="133">
        <f>-1395.5-SUM(AK31:AL31)</f>
        <v>-1138.0999999999999</v>
      </c>
      <c r="AN31" s="132">
        <f t="shared" si="52"/>
        <v>-129.29999999999995</v>
      </c>
      <c r="AO31" s="138">
        <v>-1524.8</v>
      </c>
      <c r="AP31" s="132">
        <v>-171.7</v>
      </c>
      <c r="AQ31" s="132">
        <f>-212.2-AP31</f>
        <v>-40.5</v>
      </c>
      <c r="AR31" s="132">
        <f>-212.2-AQ31-AP31</f>
        <v>0</v>
      </c>
      <c r="AS31" s="132">
        <f t="shared" si="44"/>
        <v>-14.600000000000023</v>
      </c>
      <c r="AT31" s="138">
        <v>-226.8</v>
      </c>
      <c r="AU31" s="132">
        <v>-45.7</v>
      </c>
      <c r="AV31" s="132">
        <f>-76.8-AU31</f>
        <v>-31.099999999999994</v>
      </c>
      <c r="AW31" s="132">
        <f>-76.8-SUM(AU31:AV31)</f>
        <v>0</v>
      </c>
      <c r="AX31" s="132">
        <f t="shared" si="45"/>
        <v>0</v>
      </c>
      <c r="AY31" s="138">
        <v>-76.8</v>
      </c>
      <c r="AZ31" s="132"/>
      <c r="BA31" s="192"/>
      <c r="BB31" s="192"/>
      <c r="BC31" s="192"/>
      <c r="BD31" s="138">
        <f>SUM(AZ31:BC31)</f>
        <v>0</v>
      </c>
      <c r="BE31" s="192"/>
      <c r="BF31" s="192"/>
      <c r="BG31" s="192"/>
      <c r="BH31" s="192"/>
      <c r="BI31" s="138">
        <f>SUM(BE31:BH31)</f>
        <v>0</v>
      </c>
    </row>
    <row r="32" spans="1:61" x14ac:dyDescent="0.2">
      <c r="A32" s="120" t="s">
        <v>175</v>
      </c>
      <c r="B32" s="109"/>
      <c r="C32" s="109"/>
      <c r="D32" s="109"/>
      <c r="E32" s="109">
        <v>0</v>
      </c>
      <c r="F32" s="110">
        <v>0</v>
      </c>
      <c r="G32" s="132">
        <v>-10</v>
      </c>
      <c r="H32" s="133">
        <f>-20-G32</f>
        <v>-10</v>
      </c>
      <c r="I32" s="133">
        <f>-30-SUM(G32:H32)</f>
        <v>-10</v>
      </c>
      <c r="J32" s="132">
        <f t="shared" si="46"/>
        <v>-10</v>
      </c>
      <c r="K32" s="138">
        <v>-40</v>
      </c>
      <c r="L32" s="132">
        <v>-15</v>
      </c>
      <c r="M32" s="133">
        <v>-15</v>
      </c>
      <c r="N32" s="133">
        <v>-15</v>
      </c>
      <c r="O32" s="132">
        <f t="shared" si="47"/>
        <v>-13</v>
      </c>
      <c r="P32" s="138">
        <v>-58</v>
      </c>
      <c r="Q32" s="132">
        <v>-20</v>
      </c>
      <c r="R32" s="132">
        <v>-20</v>
      </c>
      <c r="S32" s="132">
        <v>-20</v>
      </c>
      <c r="T32" s="132">
        <f t="shared" si="48"/>
        <v>-20</v>
      </c>
      <c r="U32" s="138">
        <v>-80</v>
      </c>
      <c r="V32" s="132">
        <v>-21</v>
      </c>
      <c r="W32" s="132">
        <f>-42-V32</f>
        <v>-21</v>
      </c>
      <c r="X32" s="132">
        <f>-63-SUM(V32:W32)</f>
        <v>-21</v>
      </c>
      <c r="Y32" s="132">
        <f t="shared" si="49"/>
        <v>-21</v>
      </c>
      <c r="Z32" s="138">
        <v>-84</v>
      </c>
      <c r="AA32" s="132">
        <v>-23</v>
      </c>
      <c r="AB32" s="132">
        <f>-46-AA32</f>
        <v>-23</v>
      </c>
      <c r="AC32" s="132">
        <f>-69-SUM(AA32:AB32)</f>
        <v>-23</v>
      </c>
      <c r="AD32" s="132">
        <f t="shared" si="50"/>
        <v>-22</v>
      </c>
      <c r="AE32" s="138">
        <v>-91</v>
      </c>
      <c r="AF32" s="132">
        <v>-22.5</v>
      </c>
      <c r="AG32" s="132">
        <f>-45-AF32</f>
        <v>-22.5</v>
      </c>
      <c r="AH32" s="132">
        <f>-67-SUM(AF32:AG32)</f>
        <v>-22</v>
      </c>
      <c r="AI32" s="132">
        <f t="shared" si="51"/>
        <v>-22.200000000000003</v>
      </c>
      <c r="AJ32" s="138">
        <v>-89.2</v>
      </c>
      <c r="AK32" s="132">
        <v>-21.8</v>
      </c>
      <c r="AL32" s="132">
        <f>-21.8-AK32</f>
        <v>0</v>
      </c>
      <c r="AM32" s="132">
        <f>-21.8-SUM(AK32:AL32)</f>
        <v>0</v>
      </c>
      <c r="AN32" s="132">
        <f t="shared" si="52"/>
        <v>0</v>
      </c>
      <c r="AO32" s="138">
        <v>-21.8</v>
      </c>
      <c r="AP32" s="132">
        <v>0</v>
      </c>
      <c r="AQ32" s="132">
        <v>0</v>
      </c>
      <c r="AR32" s="132">
        <v>0</v>
      </c>
      <c r="AS32" s="132">
        <f t="shared" si="44"/>
        <v>0</v>
      </c>
      <c r="AT32" s="138">
        <v>0</v>
      </c>
      <c r="AU32" s="132">
        <v>0</v>
      </c>
      <c r="AV32" s="132">
        <v>0</v>
      </c>
      <c r="AW32" s="132">
        <v>0</v>
      </c>
      <c r="AX32" s="132">
        <f t="shared" si="45"/>
        <v>0</v>
      </c>
      <c r="AY32" s="138">
        <v>0</v>
      </c>
      <c r="AZ32" s="132">
        <v>0</v>
      </c>
      <c r="BA32" s="192">
        <v>0</v>
      </c>
      <c r="BB32" s="192">
        <v>0</v>
      </c>
      <c r="BC32" s="192">
        <v>0</v>
      </c>
      <c r="BD32" s="138">
        <f>SUM(AZ32:BC32)</f>
        <v>0</v>
      </c>
      <c r="BE32" s="192">
        <v>0</v>
      </c>
      <c r="BF32" s="192">
        <v>0</v>
      </c>
      <c r="BG32" s="192">
        <v>0</v>
      </c>
      <c r="BH32" s="192">
        <v>0</v>
      </c>
      <c r="BI32" s="138">
        <f>SUM(BE32:BH32)</f>
        <v>0</v>
      </c>
    </row>
    <row r="33" spans="1:61" x14ac:dyDescent="0.2">
      <c r="A33" s="120" t="s">
        <v>144</v>
      </c>
      <c r="B33" s="109"/>
      <c r="C33" s="109"/>
      <c r="D33" s="109"/>
      <c r="E33" s="109">
        <f>60+719-1419</f>
        <v>-640</v>
      </c>
      <c r="F33" s="110">
        <f>60+719-1504</f>
        <v>-725</v>
      </c>
      <c r="G33" s="132">
        <v>-2</v>
      </c>
      <c r="H33" s="132">
        <f>-2-G33</f>
        <v>0</v>
      </c>
      <c r="I33" s="132">
        <f>5-SUM(G33:H33)</f>
        <v>7</v>
      </c>
      <c r="J33" s="132">
        <f t="shared" si="46"/>
        <v>0</v>
      </c>
      <c r="K33" s="138">
        <v>5</v>
      </c>
      <c r="L33" s="132">
        <f>-19</f>
        <v>-19</v>
      </c>
      <c r="M33" s="132">
        <f>-1</f>
        <v>-1</v>
      </c>
      <c r="N33" s="132">
        <v>-1</v>
      </c>
      <c r="O33" s="132">
        <f t="shared" si="47"/>
        <v>-1</v>
      </c>
      <c r="P33" s="138">
        <f>-15-7</f>
        <v>-22</v>
      </c>
      <c r="Q33" s="132">
        <v>-3</v>
      </c>
      <c r="R33" s="132">
        <v>-2</v>
      </c>
      <c r="S33" s="132">
        <v>0</v>
      </c>
      <c r="T33" s="132">
        <f t="shared" si="48"/>
        <v>-2</v>
      </c>
      <c r="U33" s="138">
        <v>-7</v>
      </c>
      <c r="V33" s="132">
        <v>-2</v>
      </c>
      <c r="W33" s="132">
        <f>-3-V33</f>
        <v>-1</v>
      </c>
      <c r="X33" s="132">
        <f>-3-SUM(V33:W33)</f>
        <v>0</v>
      </c>
      <c r="Y33" s="132">
        <f t="shared" si="49"/>
        <v>-1</v>
      </c>
      <c r="Z33" s="138">
        <v>-4</v>
      </c>
      <c r="AA33" s="132">
        <v>-3</v>
      </c>
      <c r="AB33" s="132">
        <f>-5-AA33</f>
        <v>-2</v>
      </c>
      <c r="AC33" s="132">
        <f>-7-SUM(AA33:AB33)</f>
        <v>-2</v>
      </c>
      <c r="AD33" s="132">
        <f t="shared" si="50"/>
        <v>-4</v>
      </c>
      <c r="AE33" s="138">
        <v>-11</v>
      </c>
      <c r="AF33" s="132">
        <v>-8.9</v>
      </c>
      <c r="AG33" s="132">
        <f>-11.2-AF33</f>
        <v>-2.2999999999999989</v>
      </c>
      <c r="AH33" s="132">
        <f>-14-SUM(AF33:AG33)</f>
        <v>-2.8000000000000007</v>
      </c>
      <c r="AI33" s="132">
        <f t="shared" si="51"/>
        <v>-2</v>
      </c>
      <c r="AJ33" s="138">
        <v>-16</v>
      </c>
      <c r="AK33" s="132">
        <v>-8.9</v>
      </c>
      <c r="AL33" s="132">
        <f>-12.1-AK33</f>
        <v>-3.1999999999999993</v>
      </c>
      <c r="AM33" s="132">
        <f>-16-SUM(AK33:AL33)</f>
        <v>-3.9000000000000004</v>
      </c>
      <c r="AN33" s="132">
        <f t="shared" si="52"/>
        <v>-3</v>
      </c>
      <c r="AO33" s="138">
        <v>-19</v>
      </c>
      <c r="AP33" s="132">
        <v>-7.1</v>
      </c>
      <c r="AQ33" s="132">
        <f>-13.6-AP33</f>
        <v>-6.5</v>
      </c>
      <c r="AR33" s="132">
        <f>-17.4-AQ33-AP33</f>
        <v>-3.7999999999999989</v>
      </c>
      <c r="AS33" s="132">
        <f t="shared" si="44"/>
        <v>-3.3000000000000007</v>
      </c>
      <c r="AT33" s="138">
        <v>-20.7</v>
      </c>
      <c r="AU33" s="132">
        <v>-6.1</v>
      </c>
      <c r="AV33" s="132">
        <f>-10.7-AU33</f>
        <v>-4.5999999999999996</v>
      </c>
      <c r="AW33" s="132">
        <f>-14-SUM(AU33:AV33)</f>
        <v>-3.3000000000000007</v>
      </c>
      <c r="AX33" s="132">
        <f t="shared" si="45"/>
        <v>-3.2999999999999972</v>
      </c>
      <c r="AY33" s="138">
        <f>-12.2-5.1</f>
        <v>-17.299999999999997</v>
      </c>
      <c r="AZ33" s="132">
        <v>-5.7</v>
      </c>
      <c r="BA33" s="132">
        <v>0</v>
      </c>
      <c r="BB33" s="132">
        <v>0</v>
      </c>
      <c r="BC33" s="132">
        <v>0</v>
      </c>
      <c r="BD33" s="138">
        <f>SUM(AZ33:BC33)</f>
        <v>-5.7</v>
      </c>
      <c r="BE33" s="132">
        <v>0</v>
      </c>
      <c r="BF33" s="132">
        <v>0</v>
      </c>
      <c r="BG33" s="132">
        <v>0</v>
      </c>
      <c r="BH33" s="132">
        <v>0</v>
      </c>
      <c r="BI33" s="138">
        <f>SUM(BE33:BH33)</f>
        <v>0</v>
      </c>
    </row>
    <row r="34" spans="1:61" s="117" customFormat="1" x14ac:dyDescent="0.2">
      <c r="A34" s="121" t="s">
        <v>176</v>
      </c>
      <c r="B34" s="122"/>
      <c r="C34" s="122"/>
      <c r="D34" s="122"/>
      <c r="E34" s="137">
        <f t="shared" ref="E34:U34" si="53">SUM(E29:E33)</f>
        <v>95</v>
      </c>
      <c r="F34" s="140">
        <f t="shared" si="53"/>
        <v>10</v>
      </c>
      <c r="G34" s="137">
        <f t="shared" si="53"/>
        <v>-16</v>
      </c>
      <c r="H34" s="137">
        <f t="shared" si="53"/>
        <v>-14</v>
      </c>
      <c r="I34" s="137">
        <f t="shared" si="53"/>
        <v>-57</v>
      </c>
      <c r="J34" s="137">
        <f t="shared" si="53"/>
        <v>382</v>
      </c>
      <c r="K34" s="140">
        <f t="shared" si="53"/>
        <v>295</v>
      </c>
      <c r="L34" s="137">
        <f t="shared" si="53"/>
        <v>-31</v>
      </c>
      <c r="M34" s="137">
        <f t="shared" si="53"/>
        <v>-62</v>
      </c>
      <c r="N34" s="137">
        <f t="shared" si="53"/>
        <v>-62</v>
      </c>
      <c r="O34" s="137">
        <f t="shared" si="53"/>
        <v>-54</v>
      </c>
      <c r="P34" s="140">
        <f t="shared" si="53"/>
        <v>-209</v>
      </c>
      <c r="Q34" s="137">
        <f t="shared" si="53"/>
        <v>-25</v>
      </c>
      <c r="R34" s="137">
        <f t="shared" si="53"/>
        <v>5</v>
      </c>
      <c r="S34" s="137">
        <f t="shared" si="53"/>
        <v>-29</v>
      </c>
      <c r="T34" s="137">
        <f t="shared" si="53"/>
        <v>-22</v>
      </c>
      <c r="U34" s="140">
        <f t="shared" si="53"/>
        <v>-71</v>
      </c>
      <c r="V34" s="137">
        <f t="shared" ref="V34" si="54">SUM(V29:V33)</f>
        <v>-23</v>
      </c>
      <c r="W34" s="137">
        <f t="shared" ref="W34" si="55">SUM(W29:W33)</f>
        <v>560</v>
      </c>
      <c r="X34" s="137">
        <f t="shared" ref="X34" si="56">SUM(X29:X33)</f>
        <v>-72</v>
      </c>
      <c r="Y34" s="137">
        <f t="shared" ref="Y34" si="57">SUM(Y29:Y33)</f>
        <v>-15</v>
      </c>
      <c r="Z34" s="140">
        <f t="shared" ref="Z34:AD34" si="58">SUM(Z29:Z33)</f>
        <v>450</v>
      </c>
      <c r="AA34" s="137">
        <f t="shared" si="58"/>
        <v>-73</v>
      </c>
      <c r="AB34" s="137">
        <f t="shared" si="58"/>
        <v>-358</v>
      </c>
      <c r="AC34" s="137">
        <f t="shared" si="58"/>
        <v>-52</v>
      </c>
      <c r="AD34" s="137">
        <f t="shared" si="58"/>
        <v>-53</v>
      </c>
      <c r="AE34" s="140">
        <f t="shared" ref="AE34:AI34" si="59">SUM(AE29:AE33)</f>
        <v>-536</v>
      </c>
      <c r="AF34" s="137">
        <f t="shared" si="59"/>
        <v>-62.9</v>
      </c>
      <c r="AG34" s="137">
        <f t="shared" si="59"/>
        <v>-59.599999999999994</v>
      </c>
      <c r="AH34" s="137">
        <f t="shared" si="59"/>
        <v>-55.5</v>
      </c>
      <c r="AI34" s="137">
        <f t="shared" si="59"/>
        <v>-84.90000000000002</v>
      </c>
      <c r="AJ34" s="140">
        <f t="shared" ref="AJ34" si="60">SUM(AJ29:AJ33)</f>
        <v>-262.89999999999998</v>
      </c>
      <c r="AK34" s="137">
        <f>SUM(AK29:AK33)</f>
        <v>12.499999999999988</v>
      </c>
      <c r="AL34" s="137">
        <f>SUM(AL29:AL33)</f>
        <v>-291.90000000000003</v>
      </c>
      <c r="AM34" s="137">
        <f t="shared" ref="AM34:AP34" si="61">SUM(AM29:AM33)</f>
        <v>-1148</v>
      </c>
      <c r="AN34" s="137">
        <f t="shared" si="61"/>
        <v>-138.09999999999991</v>
      </c>
      <c r="AO34" s="140">
        <f t="shared" si="61"/>
        <v>-1565.4999999999998</v>
      </c>
      <c r="AP34" s="137">
        <f t="shared" si="61"/>
        <v>-184.7</v>
      </c>
      <c r="AQ34" s="137">
        <f t="shared" ref="AQ34" si="62">SUM(AQ29:AQ33)</f>
        <v>-52.9</v>
      </c>
      <c r="AR34" s="137">
        <f t="shared" ref="AR34" si="63">SUM(AR29:AR33)</f>
        <v>-434.8</v>
      </c>
      <c r="AS34" s="137">
        <f t="shared" ref="AS34:AW34" si="64">SUM(AS29:AS33)</f>
        <v>-73.90000000000002</v>
      </c>
      <c r="AT34" s="140">
        <f t="shared" si="64"/>
        <v>-746.3</v>
      </c>
      <c r="AU34" s="137">
        <f t="shared" si="64"/>
        <v>-112.7</v>
      </c>
      <c r="AV34" s="137">
        <f t="shared" si="64"/>
        <v>8.300000000000006</v>
      </c>
      <c r="AW34" s="137">
        <f t="shared" si="64"/>
        <v>0.80000000000000782</v>
      </c>
      <c r="AX34" s="137">
        <f t="shared" ref="AX34:BB34" si="65">SUM(AX29:AX33)</f>
        <v>-9.2999999999999972</v>
      </c>
      <c r="AY34" s="140">
        <f t="shared" si="65"/>
        <v>-112.89999999999999</v>
      </c>
      <c r="AZ34" s="137">
        <f t="shared" si="65"/>
        <v>584.69999999999993</v>
      </c>
      <c r="BA34" s="137">
        <f t="shared" si="65"/>
        <v>-10</v>
      </c>
      <c r="BB34" s="137">
        <f t="shared" si="65"/>
        <v>-10</v>
      </c>
      <c r="BC34" s="137">
        <f t="shared" ref="BC34:BG34" si="66">SUM(BC29:BC33)</f>
        <v>-10</v>
      </c>
      <c r="BD34" s="140">
        <f t="shared" si="66"/>
        <v>554.69999999999993</v>
      </c>
      <c r="BE34" s="137">
        <f t="shared" si="66"/>
        <v>-15</v>
      </c>
      <c r="BF34" s="137">
        <f t="shared" si="66"/>
        <v>-15</v>
      </c>
      <c r="BG34" s="137">
        <f t="shared" si="66"/>
        <v>-15</v>
      </c>
      <c r="BH34" s="137">
        <f t="shared" ref="BH34:BI34" si="67">SUM(BH29:BH33)</f>
        <v>-15</v>
      </c>
      <c r="BI34" s="140">
        <f t="shared" si="67"/>
        <v>-60</v>
      </c>
    </row>
    <row r="35" spans="1:61" x14ac:dyDescent="0.2">
      <c r="A35" s="4" t="s">
        <v>177</v>
      </c>
      <c r="B35" s="4"/>
      <c r="C35" s="4"/>
      <c r="D35" s="4"/>
      <c r="E35" s="112"/>
      <c r="F35" s="114"/>
      <c r="G35" s="136"/>
      <c r="H35" s="136"/>
      <c r="I35" s="136"/>
      <c r="J35" s="136"/>
      <c r="K35" s="141"/>
      <c r="L35" s="136"/>
      <c r="M35" s="136"/>
      <c r="N35" s="136"/>
      <c r="O35" s="136"/>
      <c r="P35" s="141"/>
      <c r="Q35" s="132">
        <v>0</v>
      </c>
      <c r="R35" s="132">
        <v>0</v>
      </c>
      <c r="S35" s="132">
        <v>0</v>
      </c>
      <c r="T35" s="132">
        <v>0</v>
      </c>
      <c r="U35" s="138">
        <f>SUM(Q35:T35)</f>
        <v>0</v>
      </c>
      <c r="V35" s="132">
        <v>0</v>
      </c>
      <c r="W35" s="132">
        <v>0</v>
      </c>
      <c r="X35" s="132">
        <v>0</v>
      </c>
      <c r="Y35" s="132">
        <v>0</v>
      </c>
      <c r="Z35" s="138">
        <v>0</v>
      </c>
      <c r="AA35" s="132">
        <v>0</v>
      </c>
      <c r="AB35" s="132">
        <v>0</v>
      </c>
      <c r="AC35" s="132">
        <v>0</v>
      </c>
      <c r="AD35" s="132">
        <v>0</v>
      </c>
      <c r="AE35" s="138">
        <v>0</v>
      </c>
      <c r="AF35" s="132">
        <v>-0.9</v>
      </c>
      <c r="AG35" s="132">
        <f>-1-AF35</f>
        <v>-9.9999999999999978E-2</v>
      </c>
      <c r="AH35" s="132">
        <v>0</v>
      </c>
      <c r="AI35" s="132">
        <f>AJ35-SUM(AF35:AH35)</f>
        <v>45</v>
      </c>
      <c r="AJ35" s="138">
        <v>44</v>
      </c>
      <c r="AK35" s="132">
        <v>60</v>
      </c>
      <c r="AL35" s="132">
        <f>-108.1-AK35</f>
        <v>-168.1</v>
      </c>
      <c r="AM35" s="132">
        <f>-108.1-SUM(AK35:AL35)</f>
        <v>0</v>
      </c>
      <c r="AN35" s="132">
        <f t="shared" si="52"/>
        <v>0</v>
      </c>
      <c r="AO35" s="138">
        <v>-108.1</v>
      </c>
      <c r="AP35" s="132">
        <v>0</v>
      </c>
      <c r="AQ35" s="132">
        <f>0-AP35</f>
        <v>0</v>
      </c>
      <c r="AR35" s="132">
        <v>0</v>
      </c>
      <c r="AS35" s="132">
        <v>0</v>
      </c>
      <c r="AT35" s="138">
        <f>SUM(AP35:AS35)</f>
        <v>0</v>
      </c>
      <c r="AU35" s="132">
        <v>0</v>
      </c>
      <c r="AV35" s="132">
        <v>0</v>
      </c>
      <c r="AW35" s="132">
        <v>0</v>
      </c>
      <c r="AX35" s="132">
        <v>0</v>
      </c>
      <c r="AY35" s="138">
        <f>SUM(AU35:AX35)</f>
        <v>0</v>
      </c>
      <c r="AZ35" s="132">
        <v>0</v>
      </c>
      <c r="BA35" s="132">
        <v>0</v>
      </c>
      <c r="BB35" s="132">
        <v>0</v>
      </c>
      <c r="BC35" s="132">
        <v>0</v>
      </c>
      <c r="BD35" s="138">
        <f>SUM(AZ35:BC35)</f>
        <v>0</v>
      </c>
      <c r="BE35" s="132">
        <v>0</v>
      </c>
      <c r="BF35" s="132">
        <v>0</v>
      </c>
      <c r="BG35" s="132">
        <v>0</v>
      </c>
      <c r="BH35" s="132">
        <v>0</v>
      </c>
      <c r="BI35" s="138">
        <f>SUM(BE35:BH35)</f>
        <v>0</v>
      </c>
    </row>
    <row r="36" spans="1:61" x14ac:dyDescent="0.2">
      <c r="B36" s="4"/>
      <c r="C36" s="4"/>
      <c r="D36" s="4"/>
      <c r="E36" s="112"/>
      <c r="F36" s="114"/>
      <c r="G36" s="136"/>
      <c r="H36" s="136"/>
      <c r="I36" s="136"/>
      <c r="J36" s="136"/>
      <c r="K36" s="141"/>
      <c r="L36" s="136"/>
      <c r="M36" s="136"/>
      <c r="N36" s="136"/>
      <c r="O36" s="136"/>
      <c r="P36" s="141"/>
      <c r="Q36" s="136"/>
      <c r="R36" s="136"/>
      <c r="S36" s="136"/>
      <c r="T36" s="136"/>
      <c r="U36" s="141"/>
      <c r="V36" s="136"/>
      <c r="W36" s="136"/>
      <c r="X36" s="136"/>
      <c r="Y36" s="136"/>
      <c r="Z36" s="141"/>
      <c r="AA36" s="136"/>
      <c r="AB36" s="136"/>
      <c r="AC36" s="136"/>
      <c r="AD36" s="136"/>
      <c r="AE36" s="141"/>
      <c r="AF36" s="136"/>
      <c r="AG36" s="136"/>
      <c r="AH36" s="136"/>
      <c r="AI36" s="136"/>
      <c r="AJ36" s="141"/>
      <c r="AK36" s="136"/>
      <c r="AL36" s="136"/>
      <c r="AM36" s="136"/>
      <c r="AN36" s="136"/>
      <c r="AO36" s="141"/>
      <c r="AP36" s="136"/>
      <c r="AQ36" s="136"/>
      <c r="AR36" s="136"/>
      <c r="AS36" s="136"/>
      <c r="AT36" s="141"/>
      <c r="AU36" s="136"/>
      <c r="AV36" s="136"/>
      <c r="AW36" s="136"/>
      <c r="AX36" s="136"/>
      <c r="AY36" s="141"/>
      <c r="AZ36" s="136"/>
      <c r="BA36" s="136"/>
      <c r="BB36" s="136"/>
      <c r="BC36" s="136"/>
      <c r="BD36" s="141"/>
      <c r="BE36" s="136"/>
      <c r="BF36" s="136"/>
      <c r="BG36" s="136"/>
      <c r="BH36" s="136"/>
      <c r="BI36" s="141"/>
    </row>
    <row r="37" spans="1:61" x14ac:dyDescent="0.2">
      <c r="A37" s="4" t="s">
        <v>178</v>
      </c>
      <c r="B37" s="4"/>
      <c r="C37" s="4"/>
      <c r="D37" s="4"/>
      <c r="E37" s="112">
        <v>-1</v>
      </c>
      <c r="F37" s="114">
        <v>-1</v>
      </c>
      <c r="G37" s="142">
        <v>2</v>
      </c>
      <c r="H37" s="142">
        <f>-1-G37</f>
        <v>-3</v>
      </c>
      <c r="I37" s="142">
        <f>-1-SUM(G37:H37)</f>
        <v>0</v>
      </c>
      <c r="J37" s="132">
        <f>K37-SUM(G37:I37)</f>
        <v>0</v>
      </c>
      <c r="K37" s="141">
        <v>-1</v>
      </c>
      <c r="L37" s="142">
        <v>-1</v>
      </c>
      <c r="M37" s="142">
        <f>2-L37</f>
        <v>3</v>
      </c>
      <c r="N37" s="142">
        <f>-3-SUM(L37:M37)</f>
        <v>-5</v>
      </c>
      <c r="O37" s="142">
        <f>P37-SUM(L37:N37)</f>
        <v>0</v>
      </c>
      <c r="P37" s="141">
        <v>-3</v>
      </c>
      <c r="Q37" s="142">
        <v>-1</v>
      </c>
      <c r="R37" s="142">
        <f>0-Q37</f>
        <v>1</v>
      </c>
      <c r="S37" s="142">
        <v>0</v>
      </c>
      <c r="T37" s="132">
        <f t="shared" ref="T37" si="68">U37-SUM(Q37:S37)</f>
        <v>-3</v>
      </c>
      <c r="U37" s="141">
        <v>-3</v>
      </c>
      <c r="V37" s="142">
        <v>3</v>
      </c>
      <c r="W37" s="142">
        <f>-4-V37</f>
        <v>-7</v>
      </c>
      <c r="X37" s="142">
        <f>-1-SUM(V37:W37)</f>
        <v>3</v>
      </c>
      <c r="Y37" s="132">
        <f>Z37-SUM(V37:X37)</f>
        <v>3</v>
      </c>
      <c r="Z37" s="141">
        <v>2</v>
      </c>
      <c r="AA37" s="142">
        <v>6</v>
      </c>
      <c r="AB37" s="142">
        <f>4-AA37</f>
        <v>-2</v>
      </c>
      <c r="AC37" s="142">
        <f>5-SUM(AA37:AB37)</f>
        <v>1</v>
      </c>
      <c r="AD37" s="132">
        <f>AE37-SUM(AA37:AC37)</f>
        <v>-3</v>
      </c>
      <c r="AE37" s="141">
        <v>2</v>
      </c>
      <c r="AF37" s="142">
        <v>0.1</v>
      </c>
      <c r="AG37" s="142">
        <f>0.7-AF37</f>
        <v>0.6</v>
      </c>
      <c r="AH37" s="142">
        <f>-1-SUM(AF37:AG37)</f>
        <v>-1.7</v>
      </c>
      <c r="AI37" s="132">
        <f>AJ37-SUM(AF37:AH37)</f>
        <v>-4.2</v>
      </c>
      <c r="AJ37" s="141">
        <v>-5.2</v>
      </c>
      <c r="AK37" s="142">
        <v>2.1</v>
      </c>
      <c r="AL37" s="142">
        <f>1.1-AK37</f>
        <v>-1</v>
      </c>
      <c r="AM37" s="142">
        <f>0.6-SUM(AK37:AL37)</f>
        <v>-0.50000000000000011</v>
      </c>
      <c r="AN37" s="132">
        <f>AO37-SUM(AK37:AM37)</f>
        <v>-0.7</v>
      </c>
      <c r="AO37" s="141">
        <v>-0.1</v>
      </c>
      <c r="AP37" s="142">
        <v>0.1</v>
      </c>
      <c r="AQ37" s="142">
        <f>0.2-AP37</f>
        <v>0.1</v>
      </c>
      <c r="AR37" s="142">
        <f>0.1-AQ37-AP37</f>
        <v>-0.1</v>
      </c>
      <c r="AS37" s="132">
        <f t="shared" ref="AS37" si="69">+AT37-SUM(AP37:AR37)</f>
        <v>-0.1</v>
      </c>
      <c r="AT37" s="141">
        <v>0</v>
      </c>
      <c r="AU37" s="142">
        <v>-0.8</v>
      </c>
      <c r="AV37" s="142">
        <f>-0.7-AU37</f>
        <v>0.10000000000000009</v>
      </c>
      <c r="AW37" s="142">
        <f>-0.2-SUM(AU37:AV37)</f>
        <v>0.49999999999999994</v>
      </c>
      <c r="AX37" s="132">
        <f t="shared" ref="AX37" si="70">+AY37-SUM(AU37:AW37)</f>
        <v>-9.9999999999999978E-2</v>
      </c>
      <c r="AY37" s="141">
        <v>-0.3</v>
      </c>
      <c r="AZ37" s="142">
        <v>0.2</v>
      </c>
      <c r="BA37" s="142">
        <v>0</v>
      </c>
      <c r="BB37" s="142">
        <v>0</v>
      </c>
      <c r="BC37" s="142">
        <v>0</v>
      </c>
      <c r="BD37" s="141">
        <f>SUM(AZ37:BC37)</f>
        <v>0.2</v>
      </c>
      <c r="BE37" s="142">
        <v>0</v>
      </c>
      <c r="BF37" s="142">
        <v>0</v>
      </c>
      <c r="BG37" s="142">
        <v>0</v>
      </c>
      <c r="BH37" s="142">
        <v>0</v>
      </c>
      <c r="BI37" s="141">
        <f>SUM(BE37:BH37)</f>
        <v>0</v>
      </c>
    </row>
    <row r="38" spans="1:61" x14ac:dyDescent="0.2">
      <c r="B38" s="4"/>
      <c r="C38" s="4"/>
      <c r="D38" s="4"/>
      <c r="E38" s="112"/>
      <c r="F38" s="114"/>
      <c r="G38" s="136"/>
      <c r="H38" s="136"/>
      <c r="I38" s="136"/>
      <c r="J38" s="136"/>
      <c r="K38" s="141"/>
      <c r="L38" s="136"/>
      <c r="M38" s="136"/>
      <c r="N38" s="136"/>
      <c r="O38" s="136"/>
      <c r="P38" s="141"/>
      <c r="Q38" s="136"/>
      <c r="R38" s="136"/>
      <c r="S38" s="136"/>
      <c r="T38" s="136"/>
      <c r="U38" s="141"/>
      <c r="V38" s="136"/>
      <c r="W38" s="136"/>
      <c r="X38" s="136"/>
      <c r="Y38" s="136"/>
      <c r="Z38" s="141"/>
      <c r="AA38" s="136"/>
      <c r="AB38" s="136"/>
      <c r="AC38" s="136"/>
      <c r="AD38" s="136"/>
      <c r="AE38" s="141"/>
      <c r="AF38" s="136"/>
      <c r="AG38" s="136"/>
      <c r="AH38" s="136"/>
      <c r="AI38" s="136"/>
      <c r="AJ38" s="141"/>
      <c r="AK38" s="136"/>
      <c r="AL38" s="136"/>
      <c r="AM38" s="136"/>
      <c r="AN38" s="136"/>
      <c r="AO38" s="141"/>
      <c r="AP38" s="136"/>
      <c r="AQ38" s="136"/>
      <c r="AR38" s="136"/>
      <c r="AS38" s="136"/>
      <c r="AT38" s="141"/>
      <c r="AU38" s="136"/>
      <c r="AV38" s="136"/>
      <c r="AW38" s="136"/>
      <c r="AX38" s="136"/>
      <c r="AY38" s="141"/>
      <c r="AZ38" s="136"/>
      <c r="BA38" s="136"/>
      <c r="BB38" s="136"/>
      <c r="BC38" s="136"/>
      <c r="BD38" s="141"/>
      <c r="BE38" s="136"/>
      <c r="BF38" s="136"/>
      <c r="BG38" s="136"/>
      <c r="BH38" s="136"/>
      <c r="BI38" s="141"/>
    </row>
    <row r="39" spans="1:61" x14ac:dyDescent="0.2">
      <c r="A39" s="120" t="s">
        <v>146</v>
      </c>
      <c r="B39" s="109"/>
      <c r="C39" s="109"/>
      <c r="D39" s="109"/>
      <c r="E39" s="143">
        <f t="shared" ref="E39:Z39" si="71">SUM(E18,E26,E34,E19,E27,E35,E37)</f>
        <v>172</v>
      </c>
      <c r="F39" s="138">
        <f t="shared" si="71"/>
        <v>172</v>
      </c>
      <c r="G39" s="143">
        <f t="shared" si="71"/>
        <v>64</v>
      </c>
      <c r="H39" s="143">
        <f t="shared" si="71"/>
        <v>-101</v>
      </c>
      <c r="I39" s="143">
        <f t="shared" si="71"/>
        <v>-3</v>
      </c>
      <c r="J39" s="143">
        <f t="shared" si="71"/>
        <v>69</v>
      </c>
      <c r="K39" s="138">
        <f t="shared" si="71"/>
        <v>29</v>
      </c>
      <c r="L39" s="143">
        <f t="shared" si="71"/>
        <v>-86</v>
      </c>
      <c r="M39" s="143">
        <f t="shared" si="71"/>
        <v>12</v>
      </c>
      <c r="N39" s="143">
        <f t="shared" si="71"/>
        <v>-20</v>
      </c>
      <c r="O39" s="143">
        <f t="shared" si="71"/>
        <v>-11</v>
      </c>
      <c r="P39" s="138">
        <f t="shared" si="71"/>
        <v>-105</v>
      </c>
      <c r="Q39" s="143">
        <f t="shared" si="71"/>
        <v>3</v>
      </c>
      <c r="R39" s="143">
        <f t="shared" si="71"/>
        <v>26</v>
      </c>
      <c r="S39" s="143">
        <f t="shared" si="71"/>
        <v>12</v>
      </c>
      <c r="T39" s="143">
        <f t="shared" si="71"/>
        <v>22</v>
      </c>
      <c r="U39" s="138">
        <f t="shared" si="71"/>
        <v>63</v>
      </c>
      <c r="V39" s="143">
        <f t="shared" si="71"/>
        <v>4</v>
      </c>
      <c r="W39" s="143">
        <f t="shared" si="71"/>
        <v>612</v>
      </c>
      <c r="X39" s="143">
        <f t="shared" si="71"/>
        <v>-24</v>
      </c>
      <c r="Y39" s="143">
        <f t="shared" si="71"/>
        <v>10</v>
      </c>
      <c r="Z39" s="138">
        <f t="shared" si="71"/>
        <v>602</v>
      </c>
      <c r="AA39" s="143">
        <f t="shared" ref="AA39:AE39" si="72">SUM(AA18,AA26,AA34,AA19,AA27,AA35,AA37)</f>
        <v>-233</v>
      </c>
      <c r="AB39" s="143">
        <f t="shared" si="72"/>
        <v>-280</v>
      </c>
      <c r="AC39" s="143">
        <f t="shared" si="72"/>
        <v>-20</v>
      </c>
      <c r="AD39" s="143">
        <f t="shared" si="72"/>
        <v>3</v>
      </c>
      <c r="AE39" s="138">
        <f t="shared" si="72"/>
        <v>-530</v>
      </c>
      <c r="AF39" s="143">
        <f t="shared" ref="AF39:AI39" si="73">SUM(AF18,AF26,AF34,AF19,AF27,AF35,AF37)</f>
        <v>-77.700000000000017</v>
      </c>
      <c r="AG39" s="143">
        <f t="shared" si="73"/>
        <v>-33.5</v>
      </c>
      <c r="AH39" s="143">
        <f t="shared" si="73"/>
        <v>-115.1</v>
      </c>
      <c r="AI39" s="143">
        <f t="shared" si="73"/>
        <v>78.80000000000004</v>
      </c>
      <c r="AJ39" s="138">
        <f>SUM(AJ18,AJ26,AJ34,AJ19,AJ27,AJ35,AJ37)</f>
        <v>-147.49999999999983</v>
      </c>
      <c r="AK39" s="143">
        <f>SUM(AK18,AK26,AK34,AK19,AK27,AK35,AK37)</f>
        <v>9.0999999999999925</v>
      </c>
      <c r="AL39" s="143">
        <f>SUM(AL18,AL26,AL34,AL19,AL27,AL35,AL37)</f>
        <v>2241.5</v>
      </c>
      <c r="AM39" s="143">
        <f>SUM(AM18,AM26,AM34,AM19,AM27,AM35,AM37)</f>
        <v>-1807.8000000000002</v>
      </c>
      <c r="AN39" s="143">
        <f t="shared" ref="AN39" si="74">SUM(AN18,AN26,AN34,AN19,AN27,AN35,AN37)</f>
        <v>-113.59999999999958</v>
      </c>
      <c r="AO39" s="138">
        <f>SUM(AO18,AO26,AO34,AO19,AO27,AO35,AO37)</f>
        <v>329.2000000000005</v>
      </c>
      <c r="AP39" s="143">
        <f>SUM(AP18,AP26,AP34,AP19,AP27,AP35,AP37)</f>
        <v>7.6000000000000281</v>
      </c>
      <c r="AQ39" s="143">
        <f>SUM(AQ18,AQ26,AQ34,AQ19,AQ27,AQ35,AQ37)</f>
        <v>73.800000000000011</v>
      </c>
      <c r="AR39" s="143">
        <f t="shared" ref="AR39" si="75">SUM(AR18,AR26,AR34,AR19,AR27,AR35,AR37)</f>
        <v>-428.50000000000006</v>
      </c>
      <c r="AS39" s="132">
        <f t="shared" ref="AS39" si="76">+AT39-SUM(AP39:AR39)</f>
        <v>2.7000000000000455</v>
      </c>
      <c r="AT39" s="138">
        <f>SUM(AT18,AT26,AT34,AT19,AT27,AT35,AT37)</f>
        <v>-344.4</v>
      </c>
      <c r="AU39" s="143">
        <f>SUM(AU18,AU26,AU34,AU19,AU27,AU35,AU37)</f>
        <v>-8.3000000000000114</v>
      </c>
      <c r="AV39" s="143">
        <f>SUM(AV18,AV26,AV34,AV19,AV27,AV35,AV37)</f>
        <v>1.9000000000000008</v>
      </c>
      <c r="AW39" s="143">
        <f t="shared" ref="AW39:AX39" si="77">SUM(AW18,AW26,AW34,AW19,AW27,AW35,AW37)</f>
        <v>6.000000000000016</v>
      </c>
      <c r="AX39" s="143">
        <f t="shared" si="77"/>
        <v>-16.699999999999992</v>
      </c>
      <c r="AY39" s="138">
        <f>SUM(AY18,AY26,AY34,AY19,AY27,AY35,AY37)</f>
        <v>-17.099999999999905</v>
      </c>
      <c r="AZ39" s="143">
        <f>SUM(AZ18,AZ26,AZ34,AZ19,AZ27,AZ35,AZ37)</f>
        <v>18.299999999999908</v>
      </c>
      <c r="BA39" s="143">
        <f>SUM(BA18,BA26,BA34,BA19,BA27,BA35,BA37)</f>
        <v>1.1584858273678975</v>
      </c>
      <c r="BB39" s="143">
        <f t="shared" ref="BB39:BC39" si="78">SUM(BB18,BB26,BB34,BB19,BB27,BB35,BB37)</f>
        <v>3.2015299771562269</v>
      </c>
      <c r="BC39" s="143">
        <f t="shared" si="78"/>
        <v>2.6181827231034163</v>
      </c>
      <c r="BD39" s="138">
        <f>SUM(BD18,BD26,BD34,BD19,BD27,BD35,BD37)</f>
        <v>25.278198527627477</v>
      </c>
      <c r="BE39" s="143">
        <f>SUM(BE18,BE26,BE34,BE19,BE27,BE35,BE37)</f>
        <v>2.1373052857609025</v>
      </c>
      <c r="BF39" s="143">
        <f>SUM(BF18,BF26,BF34,BF19,BF27,BF35,BF37)</f>
        <v>2.3328733104870878</v>
      </c>
      <c r="BG39" s="143">
        <f t="shared" ref="BG39:BH39" si="79">SUM(BG18,BG26,BG34,BG19,BG27,BG35,BG37)</f>
        <v>3.1607453413699602</v>
      </c>
      <c r="BH39" s="143">
        <f t="shared" si="79"/>
        <v>3.6414519764201003</v>
      </c>
      <c r="BI39" s="138">
        <f>SUM(BI18,BI26,BI34,BI19,BI27,BI35,BI37)</f>
        <v>11.272375914038037</v>
      </c>
    </row>
    <row r="40" spans="1:61" x14ac:dyDescent="0.2">
      <c r="A40" s="120"/>
      <c r="B40" s="4"/>
      <c r="C40" s="4"/>
      <c r="D40" s="4"/>
      <c r="E40" s="112"/>
      <c r="F40" s="110"/>
      <c r="G40" s="133"/>
      <c r="H40" s="133"/>
      <c r="I40" s="136"/>
      <c r="J40" s="136"/>
      <c r="K40" s="138"/>
      <c r="L40" s="133"/>
      <c r="M40" s="133"/>
      <c r="N40" s="136"/>
      <c r="O40" s="136"/>
      <c r="P40" s="138"/>
      <c r="Q40" s="133"/>
      <c r="R40" s="133"/>
      <c r="S40" s="136"/>
      <c r="T40" s="136"/>
      <c r="U40" s="138"/>
      <c r="V40" s="133"/>
      <c r="W40" s="133"/>
      <c r="X40" s="136"/>
      <c r="Y40" s="136"/>
      <c r="Z40" s="138"/>
      <c r="AA40" s="133"/>
      <c r="AB40" s="133"/>
      <c r="AC40" s="136"/>
      <c r="AD40" s="136"/>
      <c r="AE40" s="138"/>
      <c r="AF40" s="133"/>
      <c r="AG40" s="133"/>
      <c r="AH40" s="136"/>
      <c r="AI40" s="136"/>
      <c r="AJ40" s="138"/>
      <c r="AK40" s="133"/>
      <c r="AL40" s="133"/>
      <c r="AM40" s="136"/>
      <c r="AN40" s="136"/>
      <c r="AO40" s="138"/>
      <c r="AP40" s="133"/>
      <c r="AQ40" s="133"/>
      <c r="AR40" s="136"/>
      <c r="AS40" s="136"/>
      <c r="AT40" s="138"/>
      <c r="AU40" s="133"/>
      <c r="AV40" s="133"/>
      <c r="AW40" s="136"/>
      <c r="AX40" s="136"/>
      <c r="AY40" s="138"/>
      <c r="AZ40" s="133"/>
      <c r="BA40" s="133"/>
      <c r="BB40" s="136"/>
      <c r="BC40" s="136"/>
      <c r="BD40" s="138"/>
      <c r="BE40" s="133"/>
      <c r="BF40" s="133"/>
      <c r="BG40" s="136"/>
      <c r="BH40" s="136"/>
      <c r="BI40" s="138"/>
    </row>
    <row r="41" spans="1:61" x14ac:dyDescent="0.2">
      <c r="A41" s="120" t="s">
        <v>147</v>
      </c>
      <c r="B41" s="109"/>
      <c r="C41" s="109"/>
      <c r="D41" s="109"/>
      <c r="E41" s="111">
        <v>0</v>
      </c>
      <c r="F41" s="110"/>
      <c r="G41" s="132">
        <f>F42</f>
        <v>172</v>
      </c>
      <c r="H41" s="132">
        <f>G42</f>
        <v>236</v>
      </c>
      <c r="I41" s="132">
        <f>H42</f>
        <v>135</v>
      </c>
      <c r="J41" s="132">
        <f>I42</f>
        <v>132</v>
      </c>
      <c r="K41" s="138">
        <f>F42</f>
        <v>172</v>
      </c>
      <c r="L41" s="132">
        <f>K42</f>
        <v>201</v>
      </c>
      <c r="M41" s="132">
        <f>L42</f>
        <v>115</v>
      </c>
      <c r="N41" s="132">
        <f>M42</f>
        <v>127</v>
      </c>
      <c r="O41" s="132">
        <f>N42</f>
        <v>107</v>
      </c>
      <c r="P41" s="138">
        <f>K42</f>
        <v>201</v>
      </c>
      <c r="Q41" s="132">
        <f>P42</f>
        <v>96</v>
      </c>
      <c r="R41" s="132">
        <f>Q42</f>
        <v>99</v>
      </c>
      <c r="S41" s="132">
        <f>R42</f>
        <v>125</v>
      </c>
      <c r="T41" s="132">
        <f>S42</f>
        <v>137</v>
      </c>
      <c r="U41" s="138">
        <f>P42</f>
        <v>96</v>
      </c>
      <c r="V41" s="132">
        <f>U42</f>
        <v>159</v>
      </c>
      <c r="W41" s="132">
        <f>V42</f>
        <v>163</v>
      </c>
      <c r="X41" s="132">
        <f>W42</f>
        <v>775</v>
      </c>
      <c r="Y41" s="132">
        <f>X42</f>
        <v>751</v>
      </c>
      <c r="Z41" s="138">
        <f>U42</f>
        <v>159</v>
      </c>
      <c r="AA41" s="132">
        <f>Z42</f>
        <v>761</v>
      </c>
      <c r="AB41" s="132">
        <f>AA42</f>
        <v>528</v>
      </c>
      <c r="AC41" s="132">
        <f>AB42</f>
        <v>248</v>
      </c>
      <c r="AD41" s="132">
        <f>AC42</f>
        <v>228</v>
      </c>
      <c r="AE41" s="138">
        <f>Z42</f>
        <v>761</v>
      </c>
      <c r="AF41" s="132">
        <f>AE42</f>
        <v>231.4</v>
      </c>
      <c r="AG41" s="132">
        <f>AF42</f>
        <v>153.69999999999999</v>
      </c>
      <c r="AH41" s="132">
        <f>AG42</f>
        <v>120.19999999999999</v>
      </c>
      <c r="AI41" s="132">
        <f>AH42</f>
        <v>5.0999999999999943</v>
      </c>
      <c r="AJ41" s="138">
        <f>AE42</f>
        <v>231.4</v>
      </c>
      <c r="AK41" s="132">
        <f>AJ42</f>
        <v>83.900000000000034</v>
      </c>
      <c r="AL41" s="132">
        <f>AK42</f>
        <v>93.000000000000028</v>
      </c>
      <c r="AM41" s="132">
        <f t="shared" ref="AM41:AN41" si="80">AL42</f>
        <v>2334.5</v>
      </c>
      <c r="AN41" s="132">
        <f t="shared" si="80"/>
        <v>526.69999999999982</v>
      </c>
      <c r="AO41" s="138">
        <f>AJ42</f>
        <v>83.900000000000034</v>
      </c>
      <c r="AP41" s="132">
        <f>AO42</f>
        <v>413.10000000000025</v>
      </c>
      <c r="AQ41" s="132">
        <f>AP42</f>
        <v>420.70000000000027</v>
      </c>
      <c r="AR41" s="132">
        <f t="shared" ref="AR41:AS41" si="81">AQ42</f>
        <v>494.50000000000028</v>
      </c>
      <c r="AS41" s="132">
        <f t="shared" si="81"/>
        <v>66.000000000000227</v>
      </c>
      <c r="AT41" s="138">
        <f>AO42</f>
        <v>413.10000000000025</v>
      </c>
      <c r="AU41" s="132">
        <f>AT42</f>
        <v>68.700000000000273</v>
      </c>
      <c r="AV41" s="132">
        <f>AU42</f>
        <v>60.400000000000261</v>
      </c>
      <c r="AW41" s="132">
        <f t="shared" ref="AW41" si="82">AV42</f>
        <v>62.30000000000026</v>
      </c>
      <c r="AX41" s="132">
        <f t="shared" ref="AX41" si="83">AW42</f>
        <v>68.300000000000281</v>
      </c>
      <c r="AY41" s="138">
        <f>AT42</f>
        <v>68.700000000000273</v>
      </c>
      <c r="AZ41" s="132">
        <f>AY42</f>
        <v>51.600000000000293</v>
      </c>
      <c r="BA41" s="132">
        <f>AZ42</f>
        <v>69.900000000000205</v>
      </c>
      <c r="BB41" s="132">
        <f t="shared" ref="BB41" si="84">BA42</f>
        <v>71.058485827368102</v>
      </c>
      <c r="BC41" s="132">
        <f t="shared" ref="BC41" si="85">BB42</f>
        <v>74.260015804524329</v>
      </c>
      <c r="BD41" s="138">
        <f>AY42</f>
        <v>51.600000000000293</v>
      </c>
      <c r="BE41" s="132">
        <f>BD42</f>
        <v>76.878198527627745</v>
      </c>
      <c r="BF41" s="132">
        <f>BE42</f>
        <v>79.015503813388648</v>
      </c>
      <c r="BG41" s="132">
        <f t="shared" ref="BG41" si="86">BF42</f>
        <v>81.348377123875736</v>
      </c>
      <c r="BH41" s="132">
        <f t="shared" ref="BH41" si="87">BG42</f>
        <v>84.509122465245696</v>
      </c>
      <c r="BI41" s="138">
        <f>BD42</f>
        <v>76.878198527627745</v>
      </c>
    </row>
    <row r="42" spans="1:61" s="117" customFormat="1" ht="13.5" thickBot="1" x14ac:dyDescent="0.25">
      <c r="A42" s="123" t="s">
        <v>148</v>
      </c>
      <c r="B42" s="124"/>
      <c r="C42" s="124"/>
      <c r="D42" s="124"/>
      <c r="E42" s="125">
        <f>E41+E39</f>
        <v>172</v>
      </c>
      <c r="F42" s="140">
        <f>E42</f>
        <v>172</v>
      </c>
      <c r="G42" s="125">
        <f>G41+G39</f>
        <v>236</v>
      </c>
      <c r="H42" s="125">
        <f>H41+H39</f>
        <v>135</v>
      </c>
      <c r="I42" s="125">
        <f>I41+I39</f>
        <v>132</v>
      </c>
      <c r="J42" s="125">
        <f>J41+J39</f>
        <v>201</v>
      </c>
      <c r="K42" s="140">
        <f>J42</f>
        <v>201</v>
      </c>
      <c r="L42" s="125">
        <f>L41+L39</f>
        <v>115</v>
      </c>
      <c r="M42" s="125">
        <f>M41+M39</f>
        <v>127</v>
      </c>
      <c r="N42" s="125">
        <f>N41+N39</f>
        <v>107</v>
      </c>
      <c r="O42" s="125">
        <f>O41+O39</f>
        <v>96</v>
      </c>
      <c r="P42" s="140">
        <f>O42</f>
        <v>96</v>
      </c>
      <c r="Q42" s="125">
        <f>Q41+Q39</f>
        <v>99</v>
      </c>
      <c r="R42" s="125">
        <f>R41+R39</f>
        <v>125</v>
      </c>
      <c r="S42" s="125">
        <f>S41+S39</f>
        <v>137</v>
      </c>
      <c r="T42" s="125">
        <f>T41+T39</f>
        <v>159</v>
      </c>
      <c r="U42" s="140">
        <f>T42</f>
        <v>159</v>
      </c>
      <c r="V42" s="125">
        <f>V41+V39</f>
        <v>163</v>
      </c>
      <c r="W42" s="125">
        <f>W41+W39</f>
        <v>775</v>
      </c>
      <c r="X42" s="125">
        <f>X41+X39</f>
        <v>751</v>
      </c>
      <c r="Y42" s="125">
        <f>Y41+Y39</f>
        <v>761</v>
      </c>
      <c r="Z42" s="140">
        <f>Y42</f>
        <v>761</v>
      </c>
      <c r="AA42" s="125">
        <f>AA41+AA39</f>
        <v>528</v>
      </c>
      <c r="AB42" s="125">
        <f>AB41+AB39</f>
        <v>248</v>
      </c>
      <c r="AC42" s="125">
        <f>AC41+AC39</f>
        <v>228</v>
      </c>
      <c r="AD42" s="125">
        <f>AD41+AD39</f>
        <v>231</v>
      </c>
      <c r="AE42" s="140">
        <v>231.4</v>
      </c>
      <c r="AF42" s="125">
        <f>AF41+AF39</f>
        <v>153.69999999999999</v>
      </c>
      <c r="AG42" s="125">
        <f>AG41+AG39</f>
        <v>120.19999999999999</v>
      </c>
      <c r="AH42" s="125">
        <f>AH41+AH39</f>
        <v>5.0999999999999943</v>
      </c>
      <c r="AI42" s="125">
        <f>AI41+AI39</f>
        <v>83.900000000000034</v>
      </c>
      <c r="AJ42" s="140">
        <f>AI42</f>
        <v>83.900000000000034</v>
      </c>
      <c r="AK42" s="125">
        <f>AK41+AK39</f>
        <v>93.000000000000028</v>
      </c>
      <c r="AL42" s="125">
        <f>AL41+AL39</f>
        <v>2334.5</v>
      </c>
      <c r="AM42" s="125">
        <f>AM41+AM39</f>
        <v>526.69999999999982</v>
      </c>
      <c r="AN42" s="125">
        <f t="shared" ref="AN42" si="88">AN41+AN39</f>
        <v>413.10000000000025</v>
      </c>
      <c r="AO42" s="140">
        <f>AN42</f>
        <v>413.10000000000025</v>
      </c>
      <c r="AP42" s="125">
        <f>AP41+AP39</f>
        <v>420.70000000000027</v>
      </c>
      <c r="AQ42" s="125">
        <f>AQ41+AQ39</f>
        <v>494.50000000000028</v>
      </c>
      <c r="AR42" s="125">
        <f t="shared" ref="AR42" si="89">AR41+AR39</f>
        <v>66.000000000000227</v>
      </c>
      <c r="AS42" s="125">
        <f t="shared" ref="AS42" si="90">AS41+AS39</f>
        <v>68.700000000000273</v>
      </c>
      <c r="AT42" s="140">
        <f>AS42</f>
        <v>68.700000000000273</v>
      </c>
      <c r="AU42" s="125">
        <f>AU41+AU39</f>
        <v>60.400000000000261</v>
      </c>
      <c r="AV42" s="125">
        <f>AV41+AV39</f>
        <v>62.30000000000026</v>
      </c>
      <c r="AW42" s="125">
        <f t="shared" ref="AW42:AX42" si="91">AW41+AW39</f>
        <v>68.300000000000281</v>
      </c>
      <c r="AX42" s="125">
        <f t="shared" si="91"/>
        <v>51.600000000000293</v>
      </c>
      <c r="AY42" s="140">
        <f>AX42</f>
        <v>51.600000000000293</v>
      </c>
      <c r="AZ42" s="125">
        <f>AZ41+AZ39</f>
        <v>69.900000000000205</v>
      </c>
      <c r="BA42" s="125">
        <f>BA41+BA39</f>
        <v>71.058485827368102</v>
      </c>
      <c r="BB42" s="125">
        <f t="shared" ref="BB42:BC42" si="92">BB41+BB39</f>
        <v>74.260015804524329</v>
      </c>
      <c r="BC42" s="125">
        <f t="shared" si="92"/>
        <v>76.878198527627745</v>
      </c>
      <c r="BD42" s="140">
        <f>BC42</f>
        <v>76.878198527627745</v>
      </c>
      <c r="BE42" s="125">
        <f>BE41+BE39</f>
        <v>79.015503813388648</v>
      </c>
      <c r="BF42" s="125">
        <f>BF41+BF39</f>
        <v>81.348377123875736</v>
      </c>
      <c r="BG42" s="125">
        <f t="shared" ref="BG42:BH42" si="93">BG41+BG39</f>
        <v>84.509122465245696</v>
      </c>
      <c r="BH42" s="125">
        <f t="shared" si="93"/>
        <v>88.150574441665796</v>
      </c>
      <c r="BI42" s="140">
        <f>BH42</f>
        <v>88.150574441665796</v>
      </c>
    </row>
    <row r="43" spans="1:61" ht="13.5" thickTop="1" x14ac:dyDescent="0.2">
      <c r="O43" s="119"/>
      <c r="P43" s="9"/>
      <c r="Q43" s="59"/>
      <c r="R43" s="59"/>
      <c r="S43" s="59"/>
      <c r="T43" s="59"/>
      <c r="U43" s="59"/>
      <c r="V43" s="109"/>
      <c r="W43" s="109"/>
      <c r="X43" s="109"/>
      <c r="Y43" s="109"/>
      <c r="Z43" s="109"/>
      <c r="AA43" s="109"/>
      <c r="AB43" s="109"/>
      <c r="AI43" s="132"/>
      <c r="AK43" s="126"/>
      <c r="AL43" s="126"/>
      <c r="AM43" s="9"/>
    </row>
    <row r="44" spans="1:61" x14ac:dyDescent="0.2">
      <c r="A44" s="127" t="s">
        <v>149</v>
      </c>
      <c r="E44" s="109"/>
      <c r="O44" s="119"/>
      <c r="AA44" s="109"/>
    </row>
    <row r="45" spans="1:61" x14ac:dyDescent="0.2">
      <c r="A45" s="4" t="s">
        <v>150</v>
      </c>
      <c r="B45" s="109">
        <f t="shared" ref="B45:AT45" si="94">B18</f>
        <v>0</v>
      </c>
      <c r="C45" s="109">
        <f t="shared" si="94"/>
        <v>0</v>
      </c>
      <c r="D45" s="109">
        <f t="shared" si="94"/>
        <v>0</v>
      </c>
      <c r="E45" s="132">
        <f t="shared" si="94"/>
        <v>125</v>
      </c>
      <c r="F45" s="132">
        <f t="shared" si="94"/>
        <v>311</v>
      </c>
      <c r="G45" s="132">
        <f t="shared" si="94"/>
        <v>88</v>
      </c>
      <c r="H45" s="132">
        <f t="shared" si="94"/>
        <v>-18</v>
      </c>
      <c r="I45" s="132">
        <f t="shared" si="94"/>
        <v>87</v>
      </c>
      <c r="J45" s="132">
        <f t="shared" si="94"/>
        <v>-287</v>
      </c>
      <c r="K45" s="132">
        <f t="shared" si="94"/>
        <v>-130</v>
      </c>
      <c r="L45" s="132">
        <f t="shared" si="94"/>
        <v>20</v>
      </c>
      <c r="M45" s="132">
        <f t="shared" si="94"/>
        <v>88</v>
      </c>
      <c r="N45" s="132">
        <f t="shared" si="94"/>
        <v>73</v>
      </c>
      <c r="O45" s="132">
        <f t="shared" si="94"/>
        <v>139</v>
      </c>
      <c r="P45" s="132">
        <f t="shared" si="94"/>
        <v>320</v>
      </c>
      <c r="Q45" s="132">
        <f t="shared" si="94"/>
        <v>85</v>
      </c>
      <c r="R45" s="132">
        <f t="shared" si="94"/>
        <v>49</v>
      </c>
      <c r="S45" s="132">
        <f t="shared" si="94"/>
        <v>80</v>
      </c>
      <c r="T45" s="132">
        <f t="shared" si="94"/>
        <v>111</v>
      </c>
      <c r="U45" s="132">
        <f t="shared" si="94"/>
        <v>325</v>
      </c>
      <c r="V45" s="132">
        <f t="shared" si="94"/>
        <v>59</v>
      </c>
      <c r="W45" s="132">
        <f t="shared" si="94"/>
        <v>95</v>
      </c>
      <c r="X45" s="132">
        <f t="shared" si="94"/>
        <v>117</v>
      </c>
      <c r="Y45" s="132">
        <f t="shared" si="94"/>
        <v>101</v>
      </c>
      <c r="Z45" s="132">
        <f t="shared" si="94"/>
        <v>372</v>
      </c>
      <c r="AA45" s="132">
        <f t="shared" si="94"/>
        <v>79</v>
      </c>
      <c r="AB45" s="132">
        <f t="shared" si="94"/>
        <v>111</v>
      </c>
      <c r="AC45" s="132">
        <f t="shared" si="94"/>
        <v>106</v>
      </c>
      <c r="AD45" s="132">
        <f t="shared" si="94"/>
        <v>108</v>
      </c>
      <c r="AE45" s="132">
        <f t="shared" si="94"/>
        <v>404</v>
      </c>
      <c r="AF45" s="132">
        <f t="shared" si="94"/>
        <v>37.700000000000003</v>
      </c>
      <c r="AG45" s="132">
        <f t="shared" si="94"/>
        <v>9.0999999999999943</v>
      </c>
      <c r="AH45" s="132">
        <f t="shared" si="94"/>
        <v>10.100000000000009</v>
      </c>
      <c r="AI45" s="132">
        <f t="shared" si="94"/>
        <v>77.500000000000057</v>
      </c>
      <c r="AJ45" s="132">
        <f t="shared" si="94"/>
        <v>134.40000000000009</v>
      </c>
      <c r="AK45" s="132">
        <f>AK18</f>
        <v>48.500000000000007</v>
      </c>
      <c r="AL45" s="132">
        <f t="shared" si="94"/>
        <v>125.00000000000023</v>
      </c>
      <c r="AM45" s="132">
        <f t="shared" si="94"/>
        <v>76.399999999999778</v>
      </c>
      <c r="AN45" s="132">
        <f t="shared" si="94"/>
        <v>103.10000000000022</v>
      </c>
      <c r="AO45" s="132">
        <f t="shared" si="94"/>
        <v>353.00000000000023</v>
      </c>
      <c r="AP45" s="132">
        <f t="shared" si="94"/>
        <v>21.9</v>
      </c>
      <c r="AQ45" s="132">
        <f t="shared" si="94"/>
        <v>70.200000000000017</v>
      </c>
      <c r="AR45" s="132">
        <f t="shared" si="94"/>
        <v>77.899999999999991</v>
      </c>
      <c r="AS45" s="132">
        <f t="shared" si="94"/>
        <v>112.89999999999999</v>
      </c>
      <c r="AT45" s="132">
        <f t="shared" si="94"/>
        <v>282.90000000000003</v>
      </c>
      <c r="AU45" s="132">
        <f t="shared" ref="AU45:AY45" si="95">AU18</f>
        <v>41.399999999999991</v>
      </c>
      <c r="AV45" s="132">
        <f t="shared" si="95"/>
        <v>51.8</v>
      </c>
      <c r="AW45" s="132">
        <f t="shared" si="95"/>
        <v>86.800000000000011</v>
      </c>
      <c r="AX45" s="132">
        <f t="shared" si="95"/>
        <v>127.1</v>
      </c>
      <c r="AY45" s="132">
        <f t="shared" si="95"/>
        <v>307.10000000000008</v>
      </c>
      <c r="AZ45" s="132">
        <f t="shared" ref="AZ45:BD45" si="96">AZ18</f>
        <v>64.8</v>
      </c>
      <c r="BA45" s="132">
        <f t="shared" si="96"/>
        <v>81.158485827367898</v>
      </c>
      <c r="BB45" s="132">
        <f t="shared" si="96"/>
        <v>93.201529977156227</v>
      </c>
      <c r="BC45" s="132">
        <f t="shared" si="96"/>
        <v>97.618182723103416</v>
      </c>
      <c r="BD45" s="132">
        <f t="shared" si="96"/>
        <v>336.77819852762752</v>
      </c>
      <c r="BE45" s="132">
        <f t="shared" ref="BE45:BI45" si="97">BE18</f>
        <v>87.137305285760903</v>
      </c>
      <c r="BF45" s="132">
        <f t="shared" si="97"/>
        <v>92.332873310487088</v>
      </c>
      <c r="BG45" s="132">
        <f t="shared" si="97"/>
        <v>113.16074534136996</v>
      </c>
      <c r="BH45" s="132">
        <f t="shared" si="97"/>
        <v>118.6414519764201</v>
      </c>
      <c r="BI45" s="132">
        <f t="shared" si="97"/>
        <v>411.27237591403804</v>
      </c>
    </row>
    <row r="46" spans="1:61" x14ac:dyDescent="0.2">
      <c r="A46" s="4" t="s">
        <v>151</v>
      </c>
      <c r="B46" s="109">
        <f t="shared" ref="B46:AT46" si="98">B21</f>
        <v>0</v>
      </c>
      <c r="C46" s="109">
        <f t="shared" si="98"/>
        <v>0</v>
      </c>
      <c r="D46" s="109">
        <f t="shared" si="98"/>
        <v>0</v>
      </c>
      <c r="E46" s="132">
        <f t="shared" si="98"/>
        <v>-34</v>
      </c>
      <c r="F46" s="132">
        <f t="shared" si="98"/>
        <v>-66</v>
      </c>
      <c r="G46" s="132">
        <f t="shared" si="98"/>
        <v>-9</v>
      </c>
      <c r="H46" s="132">
        <f t="shared" si="98"/>
        <v>-18</v>
      </c>
      <c r="I46" s="132">
        <f t="shared" si="98"/>
        <v>-16</v>
      </c>
      <c r="J46" s="132">
        <f t="shared" si="98"/>
        <v>-25</v>
      </c>
      <c r="K46" s="132">
        <f t="shared" si="98"/>
        <v>-68</v>
      </c>
      <c r="L46" s="132">
        <f t="shared" si="98"/>
        <v>-14</v>
      </c>
      <c r="M46" s="132">
        <f t="shared" si="98"/>
        <v>-16</v>
      </c>
      <c r="N46" s="132">
        <f t="shared" si="98"/>
        <v>-21</v>
      </c>
      <c r="O46" s="132">
        <f t="shared" si="98"/>
        <v>-42</v>
      </c>
      <c r="P46" s="132">
        <f t="shared" si="98"/>
        <v>-93</v>
      </c>
      <c r="Q46" s="132">
        <f t="shared" si="98"/>
        <v>-27</v>
      </c>
      <c r="R46" s="132">
        <f t="shared" si="98"/>
        <v>-21</v>
      </c>
      <c r="S46" s="132">
        <f t="shared" si="98"/>
        <v>-25</v>
      </c>
      <c r="T46" s="132">
        <f t="shared" si="98"/>
        <v>-35</v>
      </c>
      <c r="U46" s="132">
        <f t="shared" si="98"/>
        <v>-108</v>
      </c>
      <c r="V46" s="132">
        <f t="shared" si="98"/>
        <v>-28</v>
      </c>
      <c r="W46" s="132">
        <f t="shared" si="98"/>
        <v>-29</v>
      </c>
      <c r="X46" s="132">
        <f t="shared" si="98"/>
        <v>-37</v>
      </c>
      <c r="Y46" s="132">
        <f t="shared" si="98"/>
        <v>-57</v>
      </c>
      <c r="Z46" s="132">
        <f t="shared" si="98"/>
        <v>-151</v>
      </c>
      <c r="AA46" s="132">
        <f t="shared" si="98"/>
        <v>-35</v>
      </c>
      <c r="AB46" s="132">
        <f t="shared" si="98"/>
        <v>-39</v>
      </c>
      <c r="AC46" s="132">
        <f t="shared" si="98"/>
        <v>-32</v>
      </c>
      <c r="AD46" s="132">
        <f t="shared" si="98"/>
        <v>-38</v>
      </c>
      <c r="AE46" s="132">
        <f t="shared" si="98"/>
        <v>-144</v>
      </c>
      <c r="AF46" s="132">
        <f t="shared" si="98"/>
        <v>-32</v>
      </c>
      <c r="AG46" s="132">
        <f t="shared" si="98"/>
        <v>-25.700000000000003</v>
      </c>
      <c r="AH46" s="132">
        <f t="shared" si="98"/>
        <v>-44.3</v>
      </c>
      <c r="AI46" s="132">
        <f t="shared" si="98"/>
        <v>-30</v>
      </c>
      <c r="AJ46" s="132">
        <f t="shared" si="98"/>
        <v>-132</v>
      </c>
      <c r="AK46" s="132">
        <f>AK21</f>
        <v>-39.9</v>
      </c>
      <c r="AL46" s="132">
        <f t="shared" si="98"/>
        <v>-39.500000000000007</v>
      </c>
      <c r="AM46" s="132">
        <f t="shared" si="98"/>
        <v>-46.5</v>
      </c>
      <c r="AN46" s="132">
        <f t="shared" si="98"/>
        <v>-54.599999999999994</v>
      </c>
      <c r="AO46" s="132">
        <f t="shared" si="98"/>
        <v>-180.5</v>
      </c>
      <c r="AP46" s="132">
        <f t="shared" si="98"/>
        <v>-42.3</v>
      </c>
      <c r="AQ46" s="132">
        <f t="shared" si="98"/>
        <v>-44.900000000000006</v>
      </c>
      <c r="AR46" s="132">
        <f t="shared" si="98"/>
        <v>-65.8</v>
      </c>
      <c r="AS46" s="132">
        <f t="shared" si="98"/>
        <v>-71.400000000000006</v>
      </c>
      <c r="AT46" s="132">
        <f t="shared" si="98"/>
        <v>-224.4</v>
      </c>
      <c r="AU46" s="132">
        <f t="shared" ref="AU46:AY46" si="99">AU21</f>
        <v>-53.6</v>
      </c>
      <c r="AV46" s="132">
        <f t="shared" si="99"/>
        <v>-51.800000000000004</v>
      </c>
      <c r="AW46" s="132">
        <f t="shared" si="99"/>
        <v>-54.900000000000006</v>
      </c>
      <c r="AX46" s="132">
        <f t="shared" si="99"/>
        <v>-98.899999999999977</v>
      </c>
      <c r="AY46" s="132">
        <f t="shared" si="99"/>
        <v>-259.2</v>
      </c>
      <c r="AZ46" s="132">
        <f t="shared" ref="AZ46:BD46" si="100">AZ21</f>
        <v>-57.4</v>
      </c>
      <c r="BA46" s="132">
        <f t="shared" si="100"/>
        <v>-60</v>
      </c>
      <c r="BB46" s="132">
        <f t="shared" si="100"/>
        <v>-70</v>
      </c>
      <c r="BC46" s="132">
        <f t="shared" si="100"/>
        <v>-75</v>
      </c>
      <c r="BD46" s="132">
        <f t="shared" si="100"/>
        <v>-262.39999999999998</v>
      </c>
      <c r="BE46" s="132">
        <f t="shared" ref="BE46:BI46" si="101">BE21</f>
        <v>-60</v>
      </c>
      <c r="BF46" s="132">
        <f t="shared" si="101"/>
        <v>-65</v>
      </c>
      <c r="BG46" s="132">
        <f t="shared" si="101"/>
        <v>-85</v>
      </c>
      <c r="BH46" s="132">
        <f t="shared" si="101"/>
        <v>-90</v>
      </c>
      <c r="BI46" s="132">
        <f t="shared" si="101"/>
        <v>-300</v>
      </c>
    </row>
    <row r="47" spans="1:61" x14ac:dyDescent="0.2">
      <c r="A47" s="4" t="s">
        <v>152</v>
      </c>
      <c r="B47" s="109">
        <f t="shared" ref="B47:E47" si="102">SUM(B45:B46)</f>
        <v>0</v>
      </c>
      <c r="C47" s="109">
        <f t="shared" si="102"/>
        <v>0</v>
      </c>
      <c r="D47" s="109">
        <f t="shared" si="102"/>
        <v>0</v>
      </c>
      <c r="E47" s="132">
        <f t="shared" si="102"/>
        <v>91</v>
      </c>
      <c r="F47" s="132">
        <f>SUM(F45:F46)</f>
        <v>245</v>
      </c>
      <c r="G47" s="132">
        <f t="shared" ref="G47:J47" si="103">SUM(G45:G46)</f>
        <v>79</v>
      </c>
      <c r="H47" s="132">
        <f t="shared" si="103"/>
        <v>-36</v>
      </c>
      <c r="I47" s="132">
        <f t="shared" si="103"/>
        <v>71</v>
      </c>
      <c r="J47" s="132">
        <f t="shared" si="103"/>
        <v>-312</v>
      </c>
      <c r="K47" s="132">
        <f>SUM(K45:K46)</f>
        <v>-198</v>
      </c>
      <c r="L47" s="132">
        <f t="shared" ref="L47:O47" si="104">SUM(L45:L46)</f>
        <v>6</v>
      </c>
      <c r="M47" s="132">
        <f t="shared" si="104"/>
        <v>72</v>
      </c>
      <c r="N47" s="132">
        <f t="shared" si="104"/>
        <v>52</v>
      </c>
      <c r="O47" s="132">
        <f t="shared" si="104"/>
        <v>97</v>
      </c>
      <c r="P47" s="132">
        <f>SUM(P45:P46)</f>
        <v>227</v>
      </c>
      <c r="Q47" s="132">
        <f t="shared" ref="Q47:T47" si="105">SUM(Q45:Q46)</f>
        <v>58</v>
      </c>
      <c r="R47" s="132">
        <f>SUM(R45:R46)</f>
        <v>28</v>
      </c>
      <c r="S47" s="132">
        <f t="shared" si="105"/>
        <v>55</v>
      </c>
      <c r="T47" s="132">
        <f t="shared" si="105"/>
        <v>76</v>
      </c>
      <c r="U47" s="132">
        <f>SUM(U45:U46)</f>
        <v>217</v>
      </c>
      <c r="V47" s="132">
        <f t="shared" ref="V47:Y47" si="106">SUM(V45:V46)</f>
        <v>31</v>
      </c>
      <c r="W47" s="132">
        <f t="shared" si="106"/>
        <v>66</v>
      </c>
      <c r="X47" s="132">
        <f t="shared" si="106"/>
        <v>80</v>
      </c>
      <c r="Y47" s="132">
        <f t="shared" si="106"/>
        <v>44</v>
      </c>
      <c r="Z47" s="132">
        <f>SUM(Z45:Z46)</f>
        <v>221</v>
      </c>
      <c r="AA47" s="132">
        <f t="shared" ref="AA47:AD47" si="107">SUM(AA45:AA46)</f>
        <v>44</v>
      </c>
      <c r="AB47" s="132">
        <f t="shared" si="107"/>
        <v>72</v>
      </c>
      <c r="AC47" s="132">
        <f t="shared" si="107"/>
        <v>74</v>
      </c>
      <c r="AD47" s="132">
        <f t="shared" si="107"/>
        <v>70</v>
      </c>
      <c r="AE47" s="132">
        <f>SUM(AE45:AE46)</f>
        <v>260</v>
      </c>
      <c r="AF47" s="132">
        <f t="shared" ref="AF47:AI47" si="108">SUM(AF45:AF46)</f>
        <v>5.7000000000000028</v>
      </c>
      <c r="AG47" s="132">
        <f t="shared" si="108"/>
        <v>-16.600000000000009</v>
      </c>
      <c r="AH47" s="132">
        <f t="shared" si="108"/>
        <v>-34.199999999999989</v>
      </c>
      <c r="AI47" s="132">
        <f t="shared" si="108"/>
        <v>47.500000000000057</v>
      </c>
      <c r="AJ47" s="132">
        <f>SUM(AJ45:AJ46)</f>
        <v>2.4000000000000909</v>
      </c>
      <c r="AK47" s="132">
        <f>SUM(AK45:AK46)</f>
        <v>8.6000000000000085</v>
      </c>
      <c r="AL47" s="132">
        <f t="shared" ref="AL47:AN47" si="109">SUM(AL45:AL46)</f>
        <v>85.500000000000227</v>
      </c>
      <c r="AM47" s="132">
        <f t="shared" si="109"/>
        <v>29.899999999999778</v>
      </c>
      <c r="AN47" s="132">
        <f t="shared" si="109"/>
        <v>48.500000000000227</v>
      </c>
      <c r="AO47" s="132">
        <f>SUM(AO45:AO46)</f>
        <v>172.50000000000023</v>
      </c>
      <c r="AP47" s="132">
        <f t="shared" ref="AP47:AS47" si="110">SUM(AP45:AP46)</f>
        <v>-20.399999999999999</v>
      </c>
      <c r="AQ47" s="132">
        <f t="shared" si="110"/>
        <v>25.300000000000011</v>
      </c>
      <c r="AR47" s="132">
        <f t="shared" si="110"/>
        <v>12.099999999999994</v>
      </c>
      <c r="AS47" s="132">
        <f t="shared" si="110"/>
        <v>41.499999999999986</v>
      </c>
      <c r="AT47" s="132">
        <f>SUM(AT45:AT46)</f>
        <v>58.500000000000028</v>
      </c>
      <c r="AU47" s="132">
        <f t="shared" ref="AU47:AX47" si="111">SUM(AU45:AU46)</f>
        <v>-12.20000000000001</v>
      </c>
      <c r="AV47" s="132">
        <f t="shared" si="111"/>
        <v>0</v>
      </c>
      <c r="AW47" s="132">
        <f t="shared" si="111"/>
        <v>31.900000000000006</v>
      </c>
      <c r="AX47" s="132">
        <f t="shared" si="111"/>
        <v>28.200000000000017</v>
      </c>
      <c r="AY47" s="132">
        <f>SUM(AY45:AY46)</f>
        <v>47.900000000000091</v>
      </c>
      <c r="AZ47" s="132">
        <f t="shared" ref="AZ47:BC47" si="112">SUM(AZ45:AZ46)</f>
        <v>7.3999999999999986</v>
      </c>
      <c r="BA47" s="132">
        <f t="shared" si="112"/>
        <v>21.158485827367898</v>
      </c>
      <c r="BB47" s="132">
        <f t="shared" si="112"/>
        <v>23.201529977156227</v>
      </c>
      <c r="BC47" s="132">
        <f t="shared" si="112"/>
        <v>22.618182723103416</v>
      </c>
      <c r="BD47" s="132">
        <f>SUM(BD45:BD46)</f>
        <v>74.378198527627546</v>
      </c>
      <c r="BE47" s="132">
        <f t="shared" ref="BE47:BH47" si="113">SUM(BE45:BE46)</f>
        <v>27.137305285760903</v>
      </c>
      <c r="BF47" s="132">
        <f t="shared" si="113"/>
        <v>27.332873310487088</v>
      </c>
      <c r="BG47" s="132">
        <f t="shared" si="113"/>
        <v>28.16074534136996</v>
      </c>
      <c r="BH47" s="132">
        <f t="shared" si="113"/>
        <v>28.6414519764201</v>
      </c>
      <c r="BI47" s="132">
        <f>SUM(BI45:BI46)</f>
        <v>111.27237591403804</v>
      </c>
    </row>
    <row r="48" spans="1:61" x14ac:dyDescent="0.2">
      <c r="A48" s="4" t="s">
        <v>179</v>
      </c>
      <c r="B48" s="101">
        <v>0</v>
      </c>
      <c r="C48" s="101">
        <v>0</v>
      </c>
      <c r="D48" s="101">
        <v>0</v>
      </c>
      <c r="E48" s="101">
        <v>0</v>
      </c>
      <c r="F48" s="101">
        <v>0</v>
      </c>
      <c r="G48" s="101" t="str">
        <f>IFERROR(G47/B47-1,"NM")</f>
        <v>NM</v>
      </c>
      <c r="H48" s="101" t="str">
        <f t="shared" ref="H48:K48" si="114">IFERROR(H47/C47-1,"NM")</f>
        <v>NM</v>
      </c>
      <c r="I48" s="101" t="str">
        <f t="shared" si="114"/>
        <v>NM</v>
      </c>
      <c r="J48" s="101">
        <f t="shared" si="114"/>
        <v>-4.4285714285714288</v>
      </c>
      <c r="K48" s="101">
        <f t="shared" si="114"/>
        <v>-1.8081632653061224</v>
      </c>
      <c r="L48" s="101">
        <f t="shared" ref="L48:O48" si="115">L47/G47-1</f>
        <v>-0.92405063291139244</v>
      </c>
      <c r="M48" s="101">
        <f t="shared" si="115"/>
        <v>-3</v>
      </c>
      <c r="N48" s="101">
        <f t="shared" si="115"/>
        <v>-0.26760563380281688</v>
      </c>
      <c r="O48" s="101">
        <f t="shared" si="115"/>
        <v>-1.3108974358974359</v>
      </c>
      <c r="P48" s="101">
        <f>P47/K47-1</f>
        <v>-2.1464646464646462</v>
      </c>
      <c r="Q48" s="101">
        <f>Q47/L47-1</f>
        <v>8.6666666666666661</v>
      </c>
      <c r="R48" s="101">
        <f t="shared" ref="R48:T48" si="116">R47/M47-1</f>
        <v>-0.61111111111111116</v>
      </c>
      <c r="S48" s="101">
        <f t="shared" si="116"/>
        <v>5.7692307692307709E-2</v>
      </c>
      <c r="T48" s="101">
        <f t="shared" si="116"/>
        <v>-0.21649484536082475</v>
      </c>
      <c r="U48" s="101">
        <f>U47/P47-1</f>
        <v>-4.4052863436123357E-2</v>
      </c>
      <c r="V48" s="101">
        <f t="shared" ref="V48:Y48" si="117">V47/Q47-1</f>
        <v>-0.46551724137931039</v>
      </c>
      <c r="W48" s="101">
        <f t="shared" si="117"/>
        <v>1.3571428571428572</v>
      </c>
      <c r="X48" s="101">
        <f t="shared" si="117"/>
        <v>0.45454545454545459</v>
      </c>
      <c r="Y48" s="101">
        <f t="shared" si="117"/>
        <v>-0.42105263157894735</v>
      </c>
      <c r="Z48" s="101">
        <f>Z47/U47-1</f>
        <v>1.8433179723502224E-2</v>
      </c>
      <c r="AA48" s="101">
        <f t="shared" ref="AA48:AD48" si="118">AA47/V47-1</f>
        <v>0.41935483870967749</v>
      </c>
      <c r="AB48" s="101">
        <f t="shared" si="118"/>
        <v>9.0909090909090828E-2</v>
      </c>
      <c r="AC48" s="101">
        <f t="shared" si="118"/>
        <v>-7.4999999999999956E-2</v>
      </c>
      <c r="AD48" s="101">
        <f t="shared" si="118"/>
        <v>0.59090909090909083</v>
      </c>
      <c r="AE48" s="101">
        <f>AE47/Z47-1</f>
        <v>0.17647058823529416</v>
      </c>
      <c r="AF48" s="101">
        <f t="shared" ref="AF48:AI48" si="119">AF47/AA47-1</f>
        <v>-0.87045454545454537</v>
      </c>
      <c r="AG48" s="101">
        <f t="shared" si="119"/>
        <v>-1.2305555555555556</v>
      </c>
      <c r="AH48" s="101">
        <f t="shared" si="119"/>
        <v>-1.4621621621621621</v>
      </c>
      <c r="AI48" s="101">
        <f t="shared" si="119"/>
        <v>-0.32142857142857062</v>
      </c>
      <c r="AJ48" s="101">
        <f>AJ47/AE47-1</f>
        <v>-0.9907692307692304</v>
      </c>
      <c r="AK48" s="101">
        <f t="shared" ref="AK48:AN48" si="120">AK47/AF47-1</f>
        <v>0.5087719298245621</v>
      </c>
      <c r="AL48" s="101">
        <f t="shared" si="120"/>
        <v>-6.150602409638565</v>
      </c>
      <c r="AM48" s="101">
        <f t="shared" si="120"/>
        <v>-1.874269005847947</v>
      </c>
      <c r="AN48" s="101">
        <f t="shared" si="120"/>
        <v>2.1052631578950987E-2</v>
      </c>
      <c r="AO48" s="101">
        <f>AO47/AJ47-1</f>
        <v>70.874999999997371</v>
      </c>
      <c r="AP48" s="101">
        <f t="shared" ref="AP48:AS48" si="121">AP47/AK47-1</f>
        <v>-3.3720930232558115</v>
      </c>
      <c r="AQ48" s="101">
        <f t="shared" si="121"/>
        <v>-0.70409356725146266</v>
      </c>
      <c r="AR48" s="101">
        <f t="shared" si="121"/>
        <v>-0.59531772575250552</v>
      </c>
      <c r="AS48" s="101">
        <f t="shared" si="121"/>
        <v>-0.14432989690722076</v>
      </c>
      <c r="AT48" s="101">
        <f>AT47/AO47-1</f>
        <v>-0.6608695652173916</v>
      </c>
      <c r="AU48" s="101">
        <f t="shared" ref="AU48" si="122">AU47/AP47-1</f>
        <v>-0.40196078431372495</v>
      </c>
      <c r="AV48" s="101">
        <f t="shared" ref="AV48" si="123">AV47/AQ47-1</f>
        <v>-1</v>
      </c>
      <c r="AW48" s="101">
        <f t="shared" ref="AW48" si="124">AW47/AR47-1</f>
        <v>1.636363636363638</v>
      </c>
      <c r="AX48" s="101">
        <f t="shared" ref="AX48" si="125">AX47/AS47-1</f>
        <v>-0.32048192771084272</v>
      </c>
      <c r="AY48" s="101">
        <f>AY47/AT47-1</f>
        <v>-0.18119658119658</v>
      </c>
      <c r="AZ48" s="101">
        <f t="shared" ref="AZ48" si="126">AZ47/AU47-1</f>
        <v>-1.6065573770491797</v>
      </c>
      <c r="BA48" s="101" t="e">
        <f>BA47/AV47-1</f>
        <v>#DIV/0!</v>
      </c>
      <c r="BB48" s="101">
        <f t="shared" ref="BB48" si="127">BB47/AW47-1</f>
        <v>-0.27267931106093346</v>
      </c>
      <c r="BC48" s="101">
        <f t="shared" ref="BC48" si="128">BC47/AX47-1</f>
        <v>-0.19793678286867367</v>
      </c>
      <c r="BD48" s="101">
        <f>BD47/AY47-1</f>
        <v>0.55278076258094799</v>
      </c>
      <c r="BE48" s="101">
        <f t="shared" ref="BE48" si="129">BE47/AZ47-1</f>
        <v>2.6672034169947172</v>
      </c>
      <c r="BF48" s="101">
        <f>BF47/BA47-1</f>
        <v>0.29181613152737018</v>
      </c>
      <c r="BG48" s="101">
        <f t="shared" ref="BG48" si="130">BG47/BB47-1</f>
        <v>0.21374518702415224</v>
      </c>
      <c r="BH48" s="101">
        <f t="shared" ref="BH48" si="131">BH47/BC47-1</f>
        <v>0.26630208655818288</v>
      </c>
      <c r="BI48" s="101">
        <f>BI47/BD47-1</f>
        <v>0.49603483435682127</v>
      </c>
    </row>
    <row r="50" spans="1:61" x14ac:dyDescent="0.2">
      <c r="A50" s="4" t="s">
        <v>153</v>
      </c>
      <c r="B50" s="128">
        <f>B47/IS!B113</f>
        <v>0</v>
      </c>
      <c r="C50" s="128">
        <f>C47/IS!C113</f>
        <v>0</v>
      </c>
      <c r="D50" s="128">
        <f>D47/IS!D113</f>
        <v>0</v>
      </c>
      <c r="E50" s="128">
        <f>E47/IS!E113</f>
        <v>0.53216374269005851</v>
      </c>
      <c r="F50" s="128">
        <f>F47/IS!F113</f>
        <v>1.3049267643142477</v>
      </c>
      <c r="G50" s="128">
        <f>G47/IS!G113</f>
        <v>0.38536585365853659</v>
      </c>
      <c r="H50" s="128">
        <f>H47/IS!H113</f>
        <v>-0.17560975609756097</v>
      </c>
      <c r="I50" s="128">
        <f>I47/IS!I113</f>
        <v>0.34803921568627449</v>
      </c>
      <c r="J50" s="128">
        <f>J47/IS!J113</f>
        <v>-1.5369458128078817</v>
      </c>
      <c r="K50" s="128">
        <f>K47/IS!K113</f>
        <v>-0.96940024479804165</v>
      </c>
      <c r="L50" s="128">
        <f>L47/IS!L113</f>
        <v>2.9702970297029702E-2</v>
      </c>
      <c r="M50" s="128">
        <f>M47/IS!M113</f>
        <v>0.36</v>
      </c>
      <c r="N50" s="128">
        <f>N47/IS!N113</f>
        <v>0.26530612244897961</v>
      </c>
      <c r="O50" s="128">
        <f>O47/IS!O113</f>
        <v>0.50785340314136129</v>
      </c>
      <c r="P50" s="128">
        <f>P47/IS!P113</f>
        <v>1.1508238276299112</v>
      </c>
      <c r="Q50" s="128">
        <f>Q47/IS!Q113</f>
        <v>0.30687830687830686</v>
      </c>
      <c r="R50" s="128">
        <f>R47/IS!R113</f>
        <v>0.14814814814814814</v>
      </c>
      <c r="S50" s="128">
        <f>S47/IS!S113</f>
        <v>0.29100529100529099</v>
      </c>
      <c r="T50" s="128">
        <f>T47/IS!T113</f>
        <v>0.40211640211640209</v>
      </c>
      <c r="U50" s="128">
        <f>U47/IS!U113</f>
        <v>1.1481481481481481</v>
      </c>
      <c r="V50" s="128">
        <f>V47/IS!V113</f>
        <v>0.16402116402116401</v>
      </c>
      <c r="W50" s="128">
        <f>W47/IS!W113</f>
        <v>0.35106382978723405</v>
      </c>
      <c r="X50" s="128">
        <f>X47/IS!X113</f>
        <v>0.43010752688172044</v>
      </c>
      <c r="Y50" s="128">
        <f>Y47/IS!Y113</f>
        <v>0.23655913978494625</v>
      </c>
      <c r="Z50" s="128">
        <f>Z47/IS!Z113</f>
        <v>1.1802403204272363</v>
      </c>
      <c r="AA50" s="128">
        <f>AA47/IS!AA113</f>
        <v>0.23655913978494625</v>
      </c>
      <c r="AB50" s="128">
        <f>AB47/IS!AB113</f>
        <v>0.39344262295081966</v>
      </c>
      <c r="AC50" s="128">
        <f>AC47/IS!AC113</f>
        <v>0.40437158469945356</v>
      </c>
      <c r="AD50" s="128">
        <f>AD47/IS!AD113</f>
        <v>0.38461538461538464</v>
      </c>
      <c r="AE50" s="128">
        <f>AE47/IS!AE113</f>
        <v>1.4168937329700273</v>
      </c>
      <c r="AF50" s="128">
        <f>AF47/IS!AF113</f>
        <v>3.1318681318681332E-2</v>
      </c>
      <c r="AG50" s="128">
        <f>AG47/IS!AG113</f>
        <v>-9.1712707182320483E-2</v>
      </c>
      <c r="AH50" s="128">
        <f>AH47/IS!AH113</f>
        <v>-0.19106145251396642</v>
      </c>
      <c r="AI50" s="128">
        <f>AI47/IS!AI113</f>
        <v>0.26595744680851097</v>
      </c>
      <c r="AJ50" s="128">
        <f>AJ47/IS!AJ113</f>
        <v>1.3322231473772362E-2</v>
      </c>
      <c r="AK50" s="128">
        <f>AK47/IS!AK113</f>
        <v>4.8780487804878092E-2</v>
      </c>
      <c r="AL50" s="128">
        <f>AL47/IS!AL113</f>
        <v>0.49507817023740724</v>
      </c>
      <c r="AM50" s="128">
        <f>AM47/IS!AM113</f>
        <v>0.18399999999999864</v>
      </c>
      <c r="AN50" s="128">
        <f>AN47/IS!AN113</f>
        <v>0.34841954022988669</v>
      </c>
      <c r="AO50" s="128">
        <f>AO47/IS!AO113</f>
        <v>1.0603964960811447</v>
      </c>
      <c r="AP50" s="128">
        <f>AP47/IS!AP113</f>
        <v>-0.15373021853805577</v>
      </c>
      <c r="AQ50" s="128">
        <f>AQ47/IS!AQ113</f>
        <v>0.19357306809487387</v>
      </c>
      <c r="AR50" s="128">
        <f>AR47/IS!AR113</f>
        <v>9.2933947772657413E-2</v>
      </c>
      <c r="AS50" s="128">
        <f>AS47/IS!AS113</f>
        <v>0.31849577897160386</v>
      </c>
      <c r="AT50" s="128">
        <f>AT47/IS!AT113</f>
        <v>0.44665012406947913</v>
      </c>
      <c r="AU50" s="128">
        <f>AU47/IS!AU113</f>
        <v>-9.4208494208494281E-2</v>
      </c>
      <c r="AV50" s="128">
        <f>AV47/IS!AV113</f>
        <v>0</v>
      </c>
      <c r="AW50" s="128">
        <f>AW47/IS!AW113</f>
        <v>0.24882995319812798</v>
      </c>
      <c r="AX50" s="128">
        <f>AX47/IS!AX113</f>
        <v>0.2196261682242992</v>
      </c>
      <c r="AY50" s="128">
        <f>AY47/IS!AY113</f>
        <v>0.37254520707758193</v>
      </c>
      <c r="AZ50" s="128">
        <f>AZ47/IS!AZ113</f>
        <v>5.7722308892355689E-2</v>
      </c>
      <c r="BA50" s="128">
        <f>BA47/IS!BA113</f>
        <v>0.16504279116511622</v>
      </c>
      <c r="BB50" s="128">
        <f>BB47/IS!BB113</f>
        <v>0.18097917298873814</v>
      </c>
      <c r="BC50" s="128">
        <f>BC47/IS!BC113</f>
        <v>0.17636846037693962</v>
      </c>
      <c r="BD50" s="128">
        <f>BD47/IS!BD113</f>
        <v>0.58012346935985937</v>
      </c>
      <c r="BE50" s="128">
        <f>BE47/IS!BE113</f>
        <v>0.21167944840687133</v>
      </c>
      <c r="BF50" s="128">
        <f>BF47/IS!BF113</f>
        <v>0.21320494001940007</v>
      </c>
      <c r="BG50" s="128">
        <f>BG47/IS!BG113</f>
        <v>0.21966260016669237</v>
      </c>
      <c r="BH50" s="128">
        <f>BH47/IS!BH113</f>
        <v>0.22333574937837286</v>
      </c>
      <c r="BI50" s="128">
        <f>BI47/IS!BI113</f>
        <v>0.86788491839028159</v>
      </c>
    </row>
    <row r="51" spans="1:61" x14ac:dyDescent="0.2">
      <c r="A51" s="4" t="s">
        <v>179</v>
      </c>
      <c r="B51" s="101">
        <v>0</v>
      </c>
      <c r="C51" s="101">
        <v>0</v>
      </c>
      <c r="D51" s="101">
        <v>0</v>
      </c>
      <c r="E51" s="101">
        <v>0</v>
      </c>
      <c r="F51" s="101">
        <v>0</v>
      </c>
      <c r="G51" s="101" t="str">
        <f>IFERROR(G50/B50-1,"NM")</f>
        <v>NM</v>
      </c>
      <c r="H51" s="101" t="str">
        <f t="shared" ref="H51:K51" si="132">IFERROR(H50/C50-1,"NM")</f>
        <v>NM</v>
      </c>
      <c r="I51" s="101" t="str">
        <f t="shared" si="132"/>
        <v>NM</v>
      </c>
      <c r="J51" s="101">
        <f t="shared" si="132"/>
        <v>-3.8881069669247004</v>
      </c>
      <c r="K51" s="101">
        <f t="shared" si="132"/>
        <v>-1.7428771263707441</v>
      </c>
      <c r="L51" s="101">
        <f t="shared" ref="L51:O51" si="133">L50/G50-1</f>
        <v>-0.92292267201403688</v>
      </c>
      <c r="M51" s="101">
        <f t="shared" si="133"/>
        <v>-3.0500000000000003</v>
      </c>
      <c r="N51" s="101">
        <f t="shared" si="133"/>
        <v>-0.23771198620293177</v>
      </c>
      <c r="O51" s="101">
        <f t="shared" si="133"/>
        <v>-1.3304302590951806</v>
      </c>
      <c r="P51" s="101">
        <f>P50/K50-1</f>
        <v>-2.1871503373404515</v>
      </c>
      <c r="Q51" s="101">
        <f t="shared" ref="Q51:T51" si="134">Q50/L50-1</f>
        <v>9.3315696649029984</v>
      </c>
      <c r="R51" s="101">
        <f t="shared" si="134"/>
        <v>-0.58847736625514402</v>
      </c>
      <c r="S51" s="101">
        <f t="shared" si="134"/>
        <v>9.6866096866096818E-2</v>
      </c>
      <c r="T51" s="101">
        <f t="shared" si="134"/>
        <v>-0.20820378552337326</v>
      </c>
      <c r="U51" s="101">
        <f>U50/P50-1</f>
        <v>-2.3250122369063986E-3</v>
      </c>
      <c r="V51" s="101">
        <f t="shared" ref="V51:Y51" si="135">V50/Q50-1</f>
        <v>-0.46551724137931039</v>
      </c>
      <c r="W51" s="101">
        <f t="shared" si="135"/>
        <v>1.3696808510638299</v>
      </c>
      <c r="X51" s="101">
        <f t="shared" si="135"/>
        <v>0.47800586510263932</v>
      </c>
      <c r="Y51" s="101">
        <f t="shared" si="135"/>
        <v>-0.41171477079796259</v>
      </c>
      <c r="Z51" s="101">
        <f>Z50/U50-1</f>
        <v>2.7951246823721965E-2</v>
      </c>
      <c r="AA51" s="101">
        <f t="shared" ref="AA51:AD51" si="136">AA50/V50-1</f>
        <v>0.44224765868886595</v>
      </c>
      <c r="AB51" s="101">
        <f t="shared" si="136"/>
        <v>0.12071535022354696</v>
      </c>
      <c r="AC51" s="101">
        <f t="shared" si="136"/>
        <v>-5.9836065573770525E-2</v>
      </c>
      <c r="AD51" s="101">
        <f t="shared" si="136"/>
        <v>0.62587412587412583</v>
      </c>
      <c r="AE51" s="101">
        <f>AE50/Z50-1</f>
        <v>0.20051290270876754</v>
      </c>
      <c r="AF51" s="101">
        <f t="shared" ref="AF51:AI51" si="137">AF50/AA50-1</f>
        <v>-0.86760739260739261</v>
      </c>
      <c r="AG51" s="101">
        <f t="shared" si="137"/>
        <v>-1.2331031307550646</v>
      </c>
      <c r="AH51" s="101">
        <f t="shared" si="137"/>
        <v>-1.4724898082439979</v>
      </c>
      <c r="AI51" s="101">
        <f t="shared" si="137"/>
        <v>-0.30851063829787151</v>
      </c>
      <c r="AJ51" s="101">
        <f>AJ50/AE50-1</f>
        <v>-0.99059757894062606</v>
      </c>
      <c r="AK51" s="101">
        <f t="shared" ref="AK51:AN51" si="138">AK50/AF50-1</f>
        <v>0.55755241762944019</v>
      </c>
      <c r="AL51" s="101">
        <f t="shared" si="138"/>
        <v>-6.3981414947572697</v>
      </c>
      <c r="AM51" s="101">
        <f t="shared" si="138"/>
        <v>-1.9630409356725078</v>
      </c>
      <c r="AN51" s="101">
        <f t="shared" si="138"/>
        <v>0.31005747126437244</v>
      </c>
      <c r="AO51" s="101">
        <f>AO50/AJ50-1</f>
        <v>78.596011987087905</v>
      </c>
      <c r="AP51" s="101">
        <f t="shared" ref="AP51:AS51" si="139">AP50/AK50-1</f>
        <v>-4.1514694800301406</v>
      </c>
      <c r="AQ51" s="101">
        <f t="shared" si="139"/>
        <v>-0.60900504257327914</v>
      </c>
      <c r="AR51" s="101">
        <f t="shared" si="139"/>
        <v>-0.49492419688772771</v>
      </c>
      <c r="AS51" s="101">
        <f t="shared" si="139"/>
        <v>-8.5884279735112368E-2</v>
      </c>
      <c r="AT51" s="101">
        <f>AT50/AO50-1</f>
        <v>-0.57878951343187002</v>
      </c>
      <c r="AU51" s="101">
        <f t="shared" ref="AU51" si="140">AU50/AP50-1</f>
        <v>-0.38718298130062789</v>
      </c>
      <c r="AV51" s="101">
        <f t="shared" ref="AV51" si="141">AV50/AQ50-1</f>
        <v>-1</v>
      </c>
      <c r="AW51" s="101">
        <f t="shared" ref="AW51" si="142">AW50/AR50-1</f>
        <v>1.677492554247626</v>
      </c>
      <c r="AX51" s="101">
        <f t="shared" ref="AX51" si="143">AX50/AS50-1</f>
        <v>-0.31042675374394701</v>
      </c>
      <c r="AY51" s="101">
        <f>AY50/AT50-1</f>
        <v>-0.16591267526519193</v>
      </c>
      <c r="AZ51" s="101">
        <f t="shared" ref="AZ51" si="144">AZ50/AU50-1</f>
        <v>-1.612708114881972</v>
      </c>
      <c r="BA51" s="101" t="e">
        <f>BA50/AV50-1</f>
        <v>#DIV/0!</v>
      </c>
      <c r="BB51" s="101">
        <f t="shared" ref="BB51" si="145">BB50/AW50-1</f>
        <v>-0.27267931106093335</v>
      </c>
      <c r="BC51" s="101">
        <f t="shared" ref="BC51" si="146">BC50/AX50-1</f>
        <v>-0.19696062721989238</v>
      </c>
      <c r="BD51" s="101">
        <f>BD50/AY50-1</f>
        <v>0.55718945872533965</v>
      </c>
      <c r="BE51" s="101">
        <f t="shared" ref="BE51" si="147">BE50/AZ50-1</f>
        <v>2.6672034169947172</v>
      </c>
      <c r="BF51" s="101">
        <f t="shared" ref="BF51" si="148">BF50/BA50-1</f>
        <v>0.29181613152737018</v>
      </c>
      <c r="BG51" s="101">
        <f t="shared" ref="BG51" si="149">BG50/BB50-1</f>
        <v>0.21374518702415224</v>
      </c>
      <c r="BH51" s="101">
        <f t="shared" ref="BH51" si="150">BH50/BC50-1</f>
        <v>0.26630208655818288</v>
      </c>
      <c r="BI51" s="101">
        <f>BI50/BD50-1</f>
        <v>0.49603483435682105</v>
      </c>
    </row>
    <row r="52" spans="1:61" x14ac:dyDescent="0.2">
      <c r="A52" s="4" t="s">
        <v>236</v>
      </c>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9">
        <v>32</v>
      </c>
      <c r="AG52" s="9">
        <v>32</v>
      </c>
      <c r="AH52" s="9">
        <v>32</v>
      </c>
      <c r="AI52" s="9">
        <v>32</v>
      </c>
      <c r="AJ52" s="9"/>
      <c r="AK52" s="9">
        <v>34</v>
      </c>
      <c r="AL52" s="9">
        <v>37</v>
      </c>
      <c r="AM52" s="9">
        <v>38</v>
      </c>
      <c r="AN52" s="9">
        <v>32</v>
      </c>
      <c r="AO52" s="9"/>
      <c r="AP52" s="9">
        <v>34</v>
      </c>
      <c r="AQ52" s="9">
        <v>40</v>
      </c>
      <c r="AR52" s="9">
        <v>40</v>
      </c>
      <c r="AS52" s="9">
        <v>45</v>
      </c>
      <c r="AT52" s="101"/>
      <c r="AU52" s="9">
        <f>AS52</f>
        <v>45</v>
      </c>
      <c r="AV52" s="9">
        <f>AU52</f>
        <v>45</v>
      </c>
      <c r="AW52" s="9">
        <f t="shared" ref="AW52:AX52" si="151">AU52</f>
        <v>45</v>
      </c>
      <c r="AX52" s="9">
        <f t="shared" si="151"/>
        <v>45</v>
      </c>
      <c r="AY52" s="101"/>
      <c r="AZ52" s="9">
        <f>AX52</f>
        <v>45</v>
      </c>
      <c r="BA52" s="9">
        <f>AZ52</f>
        <v>45</v>
      </c>
      <c r="BB52" s="9">
        <f t="shared" ref="BB52" si="152">AZ52</f>
        <v>45</v>
      </c>
      <c r="BC52" s="9">
        <f t="shared" ref="BC52" si="153">BA52</f>
        <v>45</v>
      </c>
      <c r="BD52" s="101"/>
      <c r="BE52" s="9">
        <f>BC52</f>
        <v>45</v>
      </c>
      <c r="BF52" s="9">
        <f>BE52</f>
        <v>45</v>
      </c>
      <c r="BG52" s="9">
        <f t="shared" ref="BG52" si="154">BE52</f>
        <v>45</v>
      </c>
      <c r="BH52" s="9">
        <f t="shared" ref="BH52" si="155">BF52</f>
        <v>45</v>
      </c>
      <c r="BI52" s="101"/>
    </row>
    <row r="53" spans="1:61" x14ac:dyDescent="0.2">
      <c r="A53" s="4" t="s">
        <v>205</v>
      </c>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f>(AF50+AD50+AC50+AB50)/AF52</f>
        <v>3.7929633549510601E-2</v>
      </c>
      <c r="AG53" s="101">
        <f>(AG50+AF50+AD50+AC50)/AG52</f>
        <v>2.2768529482849971E-2</v>
      </c>
      <c r="AH53" s="101">
        <f>(AH50+AG50+AF50+AD50)/AH52</f>
        <v>4.1612470699305959E-3</v>
      </c>
      <c r="AI53" s="101">
        <f>(AI50+AH50+AG50+AF50)/AI52</f>
        <v>4.5318651346579371E-4</v>
      </c>
      <c r="AJ53" s="101"/>
      <c r="AK53" s="101">
        <f>(AK50+AI50+AH50+AG50)/AK52</f>
        <v>9.4011102697359294E-4</v>
      </c>
      <c r="AL53" s="101">
        <f>(AL50+AK50+AI50+AH50)/AL52</f>
        <v>1.672309871180621E-2</v>
      </c>
      <c r="AM53" s="101">
        <f>(AM50+AL50+AK50+AI50)/AM52</f>
        <v>2.6153055390810392E-2</v>
      </c>
      <c r="AN53" s="101">
        <f>(AN50+AM50+AL50+AK50)/AN52</f>
        <v>3.3633693696005336E-2</v>
      </c>
      <c r="AO53" s="101"/>
      <c r="AP53" s="101">
        <f>(AP50+AN50+AM50+AL50)/AP52</f>
        <v>2.5699043880271673E-2</v>
      </c>
      <c r="AQ53" s="101">
        <f>(AQ50+AP50+AN50+AM50)/AQ52</f>
        <v>1.4306559744667584E-2</v>
      </c>
      <c r="AR53" s="101">
        <f>(AR50+AQ50+AP50+AN50)/AR52</f>
        <v>1.2029908438984055E-2</v>
      </c>
      <c r="AS53" s="101">
        <f>(AS50+AR50+AQ50+AP50)/AS52</f>
        <v>1.0028279473357318E-2</v>
      </c>
      <c r="AT53" s="101"/>
      <c r="AU53" s="101">
        <f>(AU50+AS50+AR50+AQ50)/AU52</f>
        <v>1.1350984458458687E-2</v>
      </c>
      <c r="AV53" s="101">
        <f>(AV50+AU50+AS50+AR50)/AV52</f>
        <v>7.0493607230170448E-3</v>
      </c>
      <c r="AW53" s="101">
        <f>(AW50+AV50+AU50+AS50)/AW52</f>
        <v>1.0513716399138612E-2</v>
      </c>
      <c r="AX53" s="101">
        <f>(AX50+AW50+AV50+AU50)/AX52</f>
        <v>8.3166139380873982E-3</v>
      </c>
      <c r="AY53" s="101"/>
      <c r="AZ53" s="101">
        <f>(AZ50+AX50+AW50+AV50)/AZ52</f>
        <v>1.1692854006995174E-2</v>
      </c>
      <c r="BA53" s="101">
        <f>(BA50+AZ50+AX50+AW50)/BA52</f>
        <v>1.5360471588442202E-2</v>
      </c>
      <c r="BB53" s="101">
        <f>(BB50+BA50+AZ50+AX50)/BB52</f>
        <v>1.3852676472677983E-2</v>
      </c>
      <c r="BC53" s="101">
        <f>(BC50+BB50+BA50+AZ50)/BC52</f>
        <v>1.2891394076069995E-2</v>
      </c>
      <c r="BD53" s="101"/>
      <c r="BE53" s="101">
        <f>(BE50+BC50+BB50+BA50)/BE52</f>
        <v>1.6312663843059232E-2</v>
      </c>
      <c r="BF53" s="101">
        <f>(BF50+BE50+BC50+BB50)/BF52</f>
        <v>1.738293381759887E-2</v>
      </c>
      <c r="BG53" s="101">
        <f>(BG50+BF50+BE50+BC50)/BG52</f>
        <v>1.8242565532664519E-2</v>
      </c>
      <c r="BH53" s="101">
        <f>(BH50+BG50+BF50+BE50)/BH52</f>
        <v>1.9286283066029704E-2</v>
      </c>
      <c r="BI53" s="101"/>
    </row>
    <row r="55" spans="1:61" x14ac:dyDescent="0.2">
      <c r="A55" s="127" t="s">
        <v>154</v>
      </c>
    </row>
    <row r="56" spans="1:61" x14ac:dyDescent="0.2">
      <c r="A56" s="129" t="s">
        <v>155</v>
      </c>
      <c r="B56" s="101">
        <v>0</v>
      </c>
      <c r="C56" s="101">
        <v>0</v>
      </c>
      <c r="D56" s="101">
        <v>0</v>
      </c>
      <c r="E56" s="101">
        <f>-(E21/IS!E86)</f>
        <v>6.8825910931174086E-2</v>
      </c>
      <c r="F56" s="101">
        <f>-(F21/IS!F86)</f>
        <v>3.4214618973561428E-2</v>
      </c>
      <c r="G56" s="101">
        <f>-(G21/IS!G86)</f>
        <v>1.8404907975460124E-2</v>
      </c>
      <c r="H56" s="101">
        <f>-(H21/IS!H86)</f>
        <v>3.5019455252918288E-2</v>
      </c>
      <c r="I56" s="101">
        <f>-(I21/IS!I86)</f>
        <v>2.9962546816479401E-2</v>
      </c>
      <c r="J56" s="101">
        <f>-(J21/IS!J86)</f>
        <v>4.5703839122486288E-2</v>
      </c>
      <c r="K56" s="101">
        <f>-(K21/IS!K86)</f>
        <v>3.2629558541266791E-2</v>
      </c>
      <c r="L56" s="101">
        <f>-(L21/IS!L86)</f>
        <v>2.5688073394495414E-2</v>
      </c>
      <c r="M56" s="101">
        <f>-(M21/IS!M86)</f>
        <v>2.8119507908611598E-2</v>
      </c>
      <c r="N56" s="101">
        <f>-(N21/IS!N86)</f>
        <v>3.6395147313691506E-2</v>
      </c>
      <c r="O56" s="101">
        <f>-(O21/IS!O86)</f>
        <v>7.0707070707070704E-2</v>
      </c>
      <c r="P56" s="101">
        <f>-(P21/IS!P86)</f>
        <v>4.0700218818380741E-2</v>
      </c>
      <c r="Q56" s="101">
        <f>-(Q21/IS!Q86)</f>
        <v>4.8473967684021541E-2</v>
      </c>
      <c r="R56" s="101">
        <f>-(R21/IS!R86)</f>
        <v>3.553299492385787E-2</v>
      </c>
      <c r="S56" s="101">
        <f>-(S21/IS!S86)</f>
        <v>4.0783034257748776E-2</v>
      </c>
      <c r="T56" s="101">
        <f>-(T21/IS!T86)</f>
        <v>5.5643879173290937E-2</v>
      </c>
      <c r="U56" s="101">
        <f>-(U21/IS!U86)</f>
        <v>4.5188284518828455E-2</v>
      </c>
      <c r="V56" s="101">
        <f>-(V21/IS!V86)</f>
        <v>4.6128500823723231E-2</v>
      </c>
      <c r="W56" s="101">
        <f>-(W21/IS!W86)</f>
        <v>5.0173010380622836E-2</v>
      </c>
      <c r="X56" s="101">
        <f>-(X21/IS!X86)</f>
        <v>7.170542635658915E-2</v>
      </c>
      <c r="Y56" s="101">
        <f>-(Y21/IS!Y86)</f>
        <v>8.7423312883435578E-2</v>
      </c>
      <c r="Z56" s="101">
        <f>-(Z21/IS!Z86)</f>
        <v>6.4173395665108379E-2</v>
      </c>
      <c r="AA56" s="101">
        <f>-(AA21/IS!AA86)</f>
        <v>5.359877488514548E-2</v>
      </c>
      <c r="AB56" s="101">
        <f>-(AB21/IS!AB86)</f>
        <v>5.5634807417974323E-2</v>
      </c>
      <c r="AC56" s="101">
        <f>-(AC21/IS!AC86)</f>
        <v>4.0404040404040407E-2</v>
      </c>
      <c r="AD56" s="101">
        <f>-(AD21/IS!AD86)</f>
        <v>4.5508982035928146E-2</v>
      </c>
      <c r="AE56" s="101">
        <f>-(AE21/IS!AE86)</f>
        <v>4.8305937604830596E-2</v>
      </c>
      <c r="AF56" s="101">
        <f>-(AF21/IS!AF86)</f>
        <v>0.11138183083884441</v>
      </c>
      <c r="AG56" s="101">
        <f>-(AG21/IS!AG86)</f>
        <v>8.682432432432434E-2</v>
      </c>
      <c r="AH56" s="101">
        <f>-(AH21/IS!AH86)</f>
        <v>0.13957151858853181</v>
      </c>
      <c r="AI56" s="101">
        <f>-(AI21/IS!AI86)</f>
        <v>8.9445438282647588E-2</v>
      </c>
      <c r="AJ56" s="101">
        <f>-(AJ21/IS!AJ86)</f>
        <v>0.10678747674136398</v>
      </c>
      <c r="AK56" s="101">
        <f>-(AK21/IS!AK86)</f>
        <v>0.11989182692307691</v>
      </c>
      <c r="AL56" s="101">
        <f>-(AL21/IS!AL86)</f>
        <v>0.11465892597968072</v>
      </c>
      <c r="AM56" s="101">
        <f>-(AM21/IS!AM86)</f>
        <v>0.12360446570972887</v>
      </c>
      <c r="AN56" s="101">
        <f>-(AN21/IS!AN86)</f>
        <v>0.13999999999999999</v>
      </c>
      <c r="AO56" s="101">
        <f>-(AO21/IS!AO86)</f>
        <v>0.12504329754069968</v>
      </c>
      <c r="AP56" s="101">
        <f>-(AP21/IS!AP86)</f>
        <v>0.11328334226031066</v>
      </c>
      <c r="AQ56" s="101">
        <f>-(AQ21/IS!AQ86)</f>
        <v>0.11551324929251353</v>
      </c>
      <c r="AR56" s="101">
        <f>-(AR21/IS!AR86)</f>
        <v>0.15614617940199335</v>
      </c>
      <c r="AS56" s="101">
        <f>-(AS21/IS!AS86)</f>
        <v>0.16394948335246845</v>
      </c>
      <c r="AT56" s="101">
        <f>-(AT21/IS!AT86)</f>
        <v>0.13860407659048796</v>
      </c>
      <c r="AU56" s="101">
        <f>-(AU21/IS!AU86)</f>
        <v>0.12937484914313299</v>
      </c>
      <c r="AV56" s="101">
        <f>-(AV21/IS!AV86)</f>
        <v>0.12847222222222224</v>
      </c>
      <c r="AW56" s="101">
        <f>-(AW21/IS!AW86)</f>
        <v>0.12505694760820046</v>
      </c>
      <c r="AX56" s="101">
        <f>-(AX21/IS!AX86)</f>
        <v>0.21793741736447769</v>
      </c>
      <c r="AY56" s="101">
        <f>-(AY21/IS!AY86)</f>
        <v>0.1515523592352219</v>
      </c>
      <c r="AZ56" s="101">
        <f>-(AZ21/IS!AZ86)</f>
        <v>0.12429623213512342</v>
      </c>
      <c r="BA56" s="101">
        <f>-(BA21/IS!BA86)</f>
        <v>0.11864248831043038</v>
      </c>
      <c r="BB56" s="101">
        <f>-(BB21/IS!BB86)</f>
        <v>0.12920622997704578</v>
      </c>
      <c r="BC56" s="101">
        <f>-(BC21/IS!BC86)</f>
        <v>0.13386554164044873</v>
      </c>
      <c r="BD56" s="101">
        <f>-(BD21/IS!BD86)</f>
        <v>0.12679058894065179</v>
      </c>
      <c r="BE56" s="101">
        <f>-(BE21/IS!BE86)</f>
        <v>0.11210331636420018</v>
      </c>
      <c r="BF56" s="101">
        <f>-(BF21/IS!BF86)</f>
        <v>0.11783111682079998</v>
      </c>
      <c r="BG56" s="101">
        <f>-(BG21/IS!BG86)</f>
        <v>0.14412569713377094</v>
      </c>
      <c r="BH56" s="101">
        <f>-(BH21/IS!BH86)</f>
        <v>0.1488677463489245</v>
      </c>
      <c r="BI56" s="101">
        <f>-(BI21/IS!BI86)</f>
        <v>0.13151065603123713</v>
      </c>
    </row>
    <row r="57" spans="1:61" x14ac:dyDescent="0.2">
      <c r="A57" s="129" t="s">
        <v>156</v>
      </c>
      <c r="B57" s="101">
        <v>0</v>
      </c>
      <c r="C57" s="101">
        <v>0</v>
      </c>
      <c r="D57" s="101">
        <v>0</v>
      </c>
      <c r="E57" s="101">
        <f>E9/BS!E18</f>
        <v>3.0864197530864196E-2</v>
      </c>
      <c r="F57" s="101">
        <f>F9/BS!F18</f>
        <v>0.11728395061728394</v>
      </c>
      <c r="G57" s="101">
        <f>G9/BS!G18</f>
        <v>2.7190332326283987E-2</v>
      </c>
      <c r="H57" s="101">
        <f>H9/BS!H18</f>
        <v>2.5787965616045846E-2</v>
      </c>
      <c r="I57" s="101">
        <f>I9/BS!I18</f>
        <v>3.2520325203252036E-2</v>
      </c>
      <c r="J57" s="101">
        <f>J9/BS!J18</f>
        <v>3.0690537084398978E-2</v>
      </c>
      <c r="K57" s="101">
        <f>K9/BS!K18</f>
        <v>0.10741687979539642</v>
      </c>
      <c r="L57" s="101">
        <f>L9/BS!L18</f>
        <v>2.8645833333333332E-2</v>
      </c>
      <c r="M57" s="101">
        <f>M9/BS!M18</f>
        <v>3.5897435897435895E-2</v>
      </c>
      <c r="N57" s="101">
        <f>N9/BS!N18</f>
        <v>3.5087719298245612E-2</v>
      </c>
      <c r="O57" s="101">
        <f>O9/BS!O18</f>
        <v>3.5714285714285712E-2</v>
      </c>
      <c r="P57" s="101">
        <f>P9/BS!P18</f>
        <v>0.12857142857142856</v>
      </c>
      <c r="Q57" s="101">
        <f>Q9/BS!Q18</f>
        <v>3.2710280373831772E-2</v>
      </c>
      <c r="R57" s="101">
        <f>R9/BS!R18</f>
        <v>3.1746031746031744E-2</v>
      </c>
      <c r="S57" s="101">
        <f>S9/BS!S18</f>
        <v>3.2967032967032968E-2</v>
      </c>
      <c r="T57" s="101">
        <f>T9/BS!T18</f>
        <v>3.614457831325301E-2</v>
      </c>
      <c r="U57" s="101">
        <f>U9/BS!U18</f>
        <v>0.12248995983935743</v>
      </c>
      <c r="V57" s="101">
        <f>V9/BS!V18</f>
        <v>3.3402922755741124E-2</v>
      </c>
      <c r="W57" s="101">
        <f>W9/BS!W18</f>
        <v>2.9469548133595286E-2</v>
      </c>
      <c r="X57" s="101">
        <f>X9/BS!X18</f>
        <v>3.041144901610018E-2</v>
      </c>
      <c r="Y57" s="101">
        <f>Y9/BS!Y18</f>
        <v>2.936378466557912E-2</v>
      </c>
      <c r="Z57" s="101">
        <f>Z9/BS!Z18</f>
        <v>0.10766721044045677</v>
      </c>
      <c r="AA57" s="101">
        <f>AA9/BS!AA18</f>
        <v>2.9453015427769985E-2</v>
      </c>
      <c r="AB57" s="101">
        <f>AB9/BS!AB18</f>
        <v>3.1039136302294199E-2</v>
      </c>
      <c r="AC57" s="101">
        <f>AC9/BS!AC18</f>
        <v>3.1047865459249677E-2</v>
      </c>
      <c r="AD57" s="101">
        <f>AD9/BS!AD18</f>
        <v>2.937576499388005E-2</v>
      </c>
      <c r="AE57" s="101">
        <f>AE9/BS!AE18</f>
        <v>0.11260709914320685</v>
      </c>
      <c r="AF57" s="101">
        <f>AF9/BS!AF18</f>
        <v>2.0509708737864077E-2</v>
      </c>
      <c r="AG57" s="101">
        <f>AG9/BS!AG18</f>
        <v>2.0877817319098459E-2</v>
      </c>
      <c r="AH57" s="101">
        <f>AH9/BS!AH18</f>
        <v>2.0137299771167051E-2</v>
      </c>
      <c r="AI57" s="101">
        <f>AI9/BS!AI18</f>
        <v>2.8866287765480114E-2</v>
      </c>
      <c r="AJ57" s="101">
        <f>AJ9/BS!AJ18</f>
        <v>0.10679030810649118</v>
      </c>
      <c r="AK57" s="101">
        <f>AK9/BS!AK18</f>
        <v>2.6683975191114959E-2</v>
      </c>
      <c r="AL57" s="101">
        <f>AL9/BS!AL18</f>
        <v>2.85121107266436E-2</v>
      </c>
      <c r="AM57" s="101">
        <f>AM9/BS!AM18</f>
        <v>2.8361344537815126E-2</v>
      </c>
      <c r="AN57" s="101">
        <f>AN9/BS!AN18</f>
        <v>3.4339484296712693E-2</v>
      </c>
      <c r="AO57" s="101">
        <f>AO9/BS!AO18</f>
        <v>0.10851765856043016</v>
      </c>
      <c r="AP57" s="101">
        <f>AP9/BS!AP18</f>
        <v>2.9233511586452765E-2</v>
      </c>
      <c r="AQ57" s="101">
        <f>AQ9/BS!AQ18</f>
        <v>2.9160496639708398E-2</v>
      </c>
      <c r="AR57" s="101">
        <f>AR9/BS!AR18</f>
        <v>2.9012079378774796E-2</v>
      </c>
      <c r="AS57" s="101">
        <f>AS9/BS!AS18</f>
        <v>3.0040680087618659E-2</v>
      </c>
      <c r="AT57" s="101">
        <f>AT9/BS!AT18</f>
        <v>0.11046208407218108</v>
      </c>
      <c r="AU57" s="101">
        <f>AU9/BS!AU18</f>
        <v>2.9974093818913652E-2</v>
      </c>
      <c r="AV57" s="101">
        <f>AV9/BS!AV18</f>
        <v>2.8528377699648416E-2</v>
      </c>
      <c r="AW57" s="101">
        <f>AW9/BS!AW18</f>
        <v>2.874821513564969E-2</v>
      </c>
      <c r="AX57" s="101">
        <f>AX9/BS!AX18</f>
        <v>2.8908866560902535E-2</v>
      </c>
      <c r="AY57" s="101">
        <f>AY9/BS!AY18</f>
        <v>0.10523532522474882</v>
      </c>
      <c r="AZ57" s="101">
        <f>AZ9/BS!AZ18</f>
        <v>2.7519921136942415E-2</v>
      </c>
      <c r="BA57" s="101">
        <f>BA9/BS!BA18</f>
        <v>3.0167133116510623E-2</v>
      </c>
      <c r="BB57" s="101">
        <f>BB9/BS!BB18</f>
        <v>3.1423884139677512E-2</v>
      </c>
      <c r="BC57" s="101">
        <f>BC9/BS!BC18</f>
        <v>3.2754728528081749E-2</v>
      </c>
      <c r="BD57" s="101">
        <f>BD9/BS!BD18</f>
        <v>0.1218656669212123</v>
      </c>
      <c r="BE57" s="101">
        <f>BE9/BS!BE18</f>
        <v>3.4009693584161678E-2</v>
      </c>
      <c r="BF57" s="101">
        <f>BF9/BS!BF18</f>
        <v>3.51597798406309E-2</v>
      </c>
      <c r="BG57" s="101">
        <f>BG9/BS!BG18</f>
        <v>3.6556313152057832E-2</v>
      </c>
      <c r="BH57" s="101">
        <f>BH9/BS!BH18</f>
        <v>3.7940634077347546E-2</v>
      </c>
      <c r="BI57" s="101">
        <f>BI9/BS!BI18</f>
        <v>0.14366642065419796</v>
      </c>
    </row>
    <row r="58" spans="1:61" x14ac:dyDescent="0.2">
      <c r="A58" s="129" t="s">
        <v>157</v>
      </c>
      <c r="B58" s="101">
        <v>0</v>
      </c>
      <c r="C58" s="101">
        <v>0</v>
      </c>
      <c r="D58" s="101">
        <v>0</v>
      </c>
      <c r="E58" s="101">
        <f>E9/IS!E86</f>
        <v>2.0242914979757085E-2</v>
      </c>
      <c r="F58" s="101">
        <f>F9/IS!F86</f>
        <v>1.9699326075686883E-2</v>
      </c>
      <c r="G58" s="101">
        <f>G9/IS!G86</f>
        <v>1.8404907975460124E-2</v>
      </c>
      <c r="H58" s="101">
        <f>H9/IS!H86</f>
        <v>1.7509727626459144E-2</v>
      </c>
      <c r="I58" s="101">
        <f>I9/IS!I86</f>
        <v>2.247191011235955E-2</v>
      </c>
      <c r="J58" s="101">
        <f>J9/IS!J86</f>
        <v>2.1937842778793418E-2</v>
      </c>
      <c r="K58" s="101">
        <f>K9/IS!K86</f>
        <v>2.0153550863723609E-2</v>
      </c>
      <c r="L58" s="101">
        <f>L9/IS!L86</f>
        <v>2.0183486238532111E-2</v>
      </c>
      <c r="M58" s="101">
        <f>M9/IS!M86</f>
        <v>2.4604569420035149E-2</v>
      </c>
      <c r="N58" s="101">
        <f>N9/IS!N86</f>
        <v>2.4263431542461005E-2</v>
      </c>
      <c r="O58" s="101">
        <f>O9/IS!O86</f>
        <v>2.5252525252525252E-2</v>
      </c>
      <c r="P58" s="101">
        <f>P9/IS!P86</f>
        <v>2.3632385120350111E-2</v>
      </c>
      <c r="Q58" s="101">
        <f>Q9/IS!Q86</f>
        <v>2.5134649910233394E-2</v>
      </c>
      <c r="R58" s="101">
        <f>R9/IS!R86</f>
        <v>2.3688663282571912E-2</v>
      </c>
      <c r="S58" s="101">
        <f>S9/IS!S86</f>
        <v>2.4469820554649267E-2</v>
      </c>
      <c r="T58" s="101">
        <f>T9/IS!T86</f>
        <v>2.8616852146263912E-2</v>
      </c>
      <c r="U58" s="101">
        <f>U9/IS!U86</f>
        <v>2.5523012552301255E-2</v>
      </c>
      <c r="V58" s="101">
        <f>V9/IS!V86</f>
        <v>2.6359143327841845E-2</v>
      </c>
      <c r="W58" s="101">
        <f>W9/IS!W86</f>
        <v>2.5951557093425604E-2</v>
      </c>
      <c r="X58" s="101">
        <f>X9/IS!X86</f>
        <v>3.294573643410853E-2</v>
      </c>
      <c r="Y58" s="101">
        <f>Y9/IS!Y86</f>
        <v>2.7607361963190184E-2</v>
      </c>
      <c r="Z58" s="101">
        <f>Z9/IS!Z86</f>
        <v>2.804929876753081E-2</v>
      </c>
      <c r="AA58" s="101">
        <f>AA9/IS!AA86</f>
        <v>3.2159264931087291E-2</v>
      </c>
      <c r="AB58" s="101">
        <f>AB9/IS!AB86</f>
        <v>3.2810271041369472E-2</v>
      </c>
      <c r="AC58" s="101">
        <f>AC9/IS!AC86</f>
        <v>3.0303030303030304E-2</v>
      </c>
      <c r="AD58" s="101">
        <f>AD9/IS!AD86</f>
        <v>2.874251497005988E-2</v>
      </c>
      <c r="AE58" s="101">
        <f>AE9/IS!AE86</f>
        <v>3.0862126803086212E-2</v>
      </c>
      <c r="AF58" s="101">
        <f>AF9/IS!AF86</f>
        <v>5.8823529411764698E-2</v>
      </c>
      <c r="AG58" s="101">
        <f>AG9/IS!AG86</f>
        <v>5.9459459459459463E-2</v>
      </c>
      <c r="AH58" s="101">
        <f>AH9/IS!AH86</f>
        <v>5.5450535601764342E-2</v>
      </c>
      <c r="AI58" s="101">
        <f>AI9/IS!AI86</f>
        <v>5.7543231961836631E-2</v>
      </c>
      <c r="AJ58" s="101">
        <f>AJ9/IS!AJ86</f>
        <v>5.7762316964646884E-2</v>
      </c>
      <c r="AK58" s="101">
        <f>AK9/IS!AK86</f>
        <v>5.5588942307692304E-2</v>
      </c>
      <c r="AL58" s="101">
        <f>AL9/IS!AL86</f>
        <v>5.9796806966618293E-2</v>
      </c>
      <c r="AM58" s="101">
        <f>AM9/IS!AM86</f>
        <v>5.741626794258374E-2</v>
      </c>
      <c r="AN58" s="101">
        <f>AN9/IS!AN86</f>
        <v>7.2051282051282042E-2</v>
      </c>
      <c r="AO58" s="101">
        <f>AO9/IS!AO86</f>
        <v>6.1517145826117073E-2</v>
      </c>
      <c r="AP58" s="101">
        <f>AP9/IS!AP86</f>
        <v>6.5881092662024646E-2</v>
      </c>
      <c r="AQ58" s="101">
        <f>AQ9/IS!AQ86</f>
        <v>6.5860560843838442E-2</v>
      </c>
      <c r="AR58" s="101">
        <f>AR9/IS!AR86</f>
        <v>6.3834836260085417E-2</v>
      </c>
      <c r="AS58" s="101">
        <f>AS9/IS!AS86</f>
        <v>6.6130884041331828E-2</v>
      </c>
      <c r="AT58" s="101">
        <f>AT9/IS!AT86</f>
        <v>6.5410747374922792E-2</v>
      </c>
      <c r="AU58" s="101">
        <f>AU9/IS!AU86</f>
        <v>6.758387641805455E-2</v>
      </c>
      <c r="AV58" s="101">
        <f>AV9/IS!AV86</f>
        <v>7.0436507936507936E-2</v>
      </c>
      <c r="AW58" s="101">
        <f>AW9/IS!AW86</f>
        <v>6.879271070615034E-2</v>
      </c>
      <c r="AX58" s="101">
        <f>AX9/IS!AX86</f>
        <v>7.2278536800352608E-2</v>
      </c>
      <c r="AY58" s="101">
        <v>7.3945354120932089E-2</v>
      </c>
      <c r="AZ58" s="101">
        <f>AZ9/IS!AZ86</f>
        <v>7.254222607189259E-2</v>
      </c>
      <c r="BA58" s="182">
        <v>7.2614049673858386E-2</v>
      </c>
      <c r="BB58" s="182">
        <v>7.0606210240054701E-2</v>
      </c>
      <c r="BC58" s="182">
        <v>7.1167082543554569E-2</v>
      </c>
      <c r="BD58" s="101">
        <v>7.6846948856800421E-2</v>
      </c>
      <c r="BE58" s="182">
        <v>7.7351288291298129E-2</v>
      </c>
      <c r="BF58" s="182">
        <v>7.7587258460465214E-2</v>
      </c>
      <c r="BG58" s="182">
        <v>7.5454041440621247E-2</v>
      </c>
      <c r="BH58" s="182">
        <v>7.6394186587913457E-2</v>
      </c>
      <c r="BI58" s="101">
        <v>7.6846948856800421E-2</v>
      </c>
    </row>
    <row r="59" spans="1:61" x14ac:dyDescent="0.2">
      <c r="A59" s="129"/>
      <c r="G59" s="101"/>
      <c r="H59" s="101"/>
      <c r="I59" s="101"/>
      <c r="J59" s="101"/>
      <c r="L59" s="101"/>
    </row>
    <row r="60" spans="1:61" x14ac:dyDescent="0.2">
      <c r="A60" s="129"/>
      <c r="G60" s="87"/>
      <c r="H60" s="87"/>
      <c r="I60" s="87"/>
      <c r="J60" s="87"/>
      <c r="L60" s="87"/>
      <c r="V60" s="100"/>
      <c r="AU60" s="59"/>
      <c r="AV60" s="59"/>
      <c r="AW60" s="59"/>
      <c r="AX60" s="59"/>
      <c r="AY60" s="59"/>
      <c r="AZ60" s="59"/>
      <c r="BA60" s="59"/>
      <c r="BB60" s="59"/>
      <c r="BC60" s="59"/>
      <c r="BD60" s="59"/>
      <c r="BE60" s="59"/>
      <c r="BF60" s="59"/>
      <c r="BG60" s="59"/>
      <c r="BH60" s="59"/>
      <c r="BI60" s="59"/>
    </row>
    <row r="61" spans="1:61" x14ac:dyDescent="0.2">
      <c r="S61" s="128"/>
    </row>
    <row r="62" spans="1:61" x14ac:dyDescent="0.2">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30"/>
      <c r="AS62" s="130"/>
      <c r="AT62" s="130"/>
      <c r="AU62" s="130"/>
      <c r="AV62" s="130"/>
      <c r="AW62" s="130"/>
      <c r="AX62" s="130"/>
      <c r="AY62" s="130"/>
      <c r="AZ62" s="130"/>
      <c r="BA62" s="130"/>
      <c r="BB62" s="130"/>
      <c r="BC62" s="130"/>
      <c r="BD62" s="130"/>
      <c r="BE62" s="130"/>
      <c r="BF62" s="130"/>
      <c r="BG62" s="130"/>
      <c r="BH62" s="130"/>
      <c r="BI62" s="130"/>
    </row>
    <row r="63" spans="1:61" x14ac:dyDescent="0.2">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130"/>
      <c r="AV63" s="130"/>
      <c r="AW63" s="130"/>
      <c r="AX63" s="130"/>
      <c r="AY63" s="130"/>
      <c r="AZ63" s="130"/>
      <c r="BA63" s="130"/>
      <c r="BB63" s="130"/>
      <c r="BC63" s="130"/>
      <c r="BD63" s="130"/>
      <c r="BE63" s="130"/>
      <c r="BF63" s="130"/>
      <c r="BG63" s="130"/>
      <c r="BH63" s="130"/>
      <c r="BI63" s="130"/>
    </row>
    <row r="64" spans="1:61" x14ac:dyDescent="0.2">
      <c r="E64" s="131"/>
      <c r="F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1"/>
      <c r="BF64" s="131"/>
      <c r="BG64" s="131"/>
      <c r="BH64" s="131"/>
      <c r="BI64" s="131"/>
    </row>
    <row r="65" spans="1:61" x14ac:dyDescent="0.2">
      <c r="A65" s="129"/>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c r="BC65" s="101"/>
      <c r="BD65" s="101"/>
      <c r="BE65" s="101"/>
      <c r="BF65" s="101"/>
      <c r="BG65" s="101"/>
      <c r="BH65" s="101"/>
      <c r="BI65" s="101"/>
    </row>
  </sheetData>
  <pageMargins left="0.7" right="0.7" top="0.75" bottom="0.75" header="0.3" footer="0.3"/>
  <pageSetup scale="34"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70242846"><![CDATA[{"VVV^FE_ESTIMATE(EPS,MEAN,ANN,+2,NOW,,,'')":1.646,"VVV^FE_ESTIMATE(SALES,MEAN,ANN,+3,NOW,,,'')":1795.753,"VVV^FE_ESTIMATE(EPS,MEAN,ANNUAL,+3,NOW,,,'')":2.0458817,"VVV^FE_ESTIMATE(EPS,MEAN,ANNUAL,+2,NOW,,,'')":1.9907912,"VVV^FE_ESTIMATE(EPS,MEAN,ANNUAL,+1,NOW,,,'')":1.6840503,"VVV^FE_ESTIMATE(SALES,MEAN,ANN,+2,NOW,,,'')":2248.4165,"VVV^FE_ESTIMATE(SALES,MEAN,ANN,+1,NOW,,,'')":2038.6299,"VVV-US^FF_PE(ANN_R,0)":10.7738095238095,"VVV-US^FF_PE(CURR,0)":null,"VVV-US^FE_VALUATION(PE,MEAN,ANN_ROLL,+1,NOW,,,'')":33.340332,"VVV-US^FE_VALUATION(PE,MEAN,ANN_ROLL,+2,NOW,,,'')":22.56379,"VVV-US^FE_VALUATION(PE,MEAN,ANN_ROLL,+2,-2AY,,,'')":16.449162,"VVV-US^FE_VALUATION(PE,MEAN,ANN_ROLL,+2,-10AY,,,'')":null,"VVV-US^FE_VALUATION(PE,MEAN,ANN_ROLL,+2,-5AY,,,'')":13.60855,"VVV-US^RTP_PRICE":37.14}]]></FdsFormulaCache>
</file>

<file path=customXml/itemProps1.xml><?xml version="1.0" encoding="utf-8"?>
<ds:datastoreItem xmlns:ds="http://schemas.openxmlformats.org/officeDocument/2006/customXml" ds:itemID="{B21CE185-F0DE-4013-9B6B-0906546124F2}">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JEF DISCLAIMER</vt:lpstr>
      <vt:lpstr>IS</vt:lpstr>
      <vt:lpstr>BS</vt:lpstr>
      <vt:lpstr>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Liam Straker</dc:creator>
  <cp:lastModifiedBy>Yuuji Anderson</cp:lastModifiedBy>
  <cp:lastPrinted>2026-02-04T22:05:33Z</cp:lastPrinted>
  <dcterms:created xsi:type="dcterms:W3CDTF">2023-03-03T13:21:11Z</dcterms:created>
  <dcterms:modified xsi:type="dcterms:W3CDTF">2026-04-09T13:48:29Z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9710c708-530f-4d7a-9e21-5b7a9d54ffb9</vt:lpwstr>
  </property>
</Properties>
</file>